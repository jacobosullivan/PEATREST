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orestresearch-my.sharepoint.com/personal/jacob_osullivan_forestresearch_gov_uk/Documents/Turbines and trees/CCWoP/Templates/"/>
    </mc:Choice>
  </mc:AlternateContent>
  <xr:revisionPtr revIDLastSave="0" documentId="8_{1D326299-BB82-439B-819E-A8C1998A3C9F}" xr6:coauthVersionLast="47" xr6:coauthVersionMax="47" xr10:uidLastSave="{00000000-0000-0000-0000-000000000000}"/>
  <bookViews>
    <workbookView xWindow="-110" yWindow="-110" windowWidth="19420" windowHeight="10300" xr2:uid="{95F37BCE-569E-4047-978A-D68535612C7C}"/>
  </bookViews>
  <sheets>
    <sheet name="Sheet1" sheetId="1" r:id="rId1"/>
    <sheet name="Over to underbark" sheetId="2" r:id="rId2"/>
    <sheet name="Sheet3" sheetId="4" r:id="rId3"/>
    <sheet name="CARBINE OUTPUTS" sheetId="3" state="hidden" r:id="rId4"/>
  </sheets>
  <definedNames>
    <definedName name="_xlnm._FilterDatabase" localSheetId="0" hidden="1">Sheet1!$A$2:$AI$621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38" i="1" l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V622" i="1"/>
  <c r="W622" i="1" s="1"/>
  <c r="AJ622" i="1"/>
  <c r="AK622" i="1" s="1"/>
  <c r="V623" i="1"/>
  <c r="W623" i="1" s="1"/>
  <c r="AJ623" i="1"/>
  <c r="AK623" i="1" s="1"/>
  <c r="V624" i="1"/>
  <c r="W624" i="1" s="1"/>
  <c r="AJ624" i="1"/>
  <c r="AK624" i="1" s="1"/>
  <c r="AM624" i="1" s="1"/>
  <c r="AO624" i="1" s="1"/>
  <c r="V625" i="1"/>
  <c r="X625" i="1" s="1"/>
  <c r="AC625" i="1" s="1"/>
  <c r="AG625" i="1" s="1"/>
  <c r="AJ625" i="1"/>
  <c r="V626" i="1"/>
  <c r="W626" i="1" s="1"/>
  <c r="AJ626" i="1"/>
  <c r="AL626" i="1" s="1"/>
  <c r="V627" i="1"/>
  <c r="W627" i="1" s="1"/>
  <c r="AJ627" i="1"/>
  <c r="AK627" i="1" s="1"/>
  <c r="V628" i="1"/>
  <c r="X628" i="1" s="1"/>
  <c r="AC628" i="1" s="1"/>
  <c r="AG628" i="1" s="1"/>
  <c r="AJ628" i="1"/>
  <c r="V629" i="1"/>
  <c r="AJ629" i="1"/>
  <c r="AK629" i="1" s="1"/>
  <c r="V630" i="1"/>
  <c r="W630" i="1" s="1"/>
  <c r="AJ630" i="1"/>
  <c r="AK630" i="1" s="1"/>
  <c r="AM630" i="1" s="1"/>
  <c r="AO630" i="1" s="1"/>
  <c r="AL630" i="1"/>
  <c r="V631" i="1"/>
  <c r="X631" i="1" s="1"/>
  <c r="AC631" i="1" s="1"/>
  <c r="AG631" i="1" s="1"/>
  <c r="AJ631" i="1"/>
  <c r="AL631" i="1" s="1"/>
  <c r="V632" i="1"/>
  <c r="W632" i="1" s="1"/>
  <c r="AJ632" i="1"/>
  <c r="AK632" i="1" s="1"/>
  <c r="AL632" i="1"/>
  <c r="V633" i="1"/>
  <c r="AJ633" i="1"/>
  <c r="AK633" i="1" s="1"/>
  <c r="V634" i="1"/>
  <c r="X634" i="1" s="1"/>
  <c r="AC634" i="1" s="1"/>
  <c r="AG634" i="1" s="1"/>
  <c r="AJ634" i="1"/>
  <c r="AL634" i="1" s="1"/>
  <c r="V635" i="1"/>
  <c r="W635" i="1" s="1"/>
  <c r="AJ635" i="1"/>
  <c r="V636" i="1"/>
  <c r="AJ636" i="1"/>
  <c r="AK636" i="1" s="1"/>
  <c r="V637" i="1"/>
  <c r="X637" i="1" s="1"/>
  <c r="AC637" i="1" s="1"/>
  <c r="AG637" i="1" s="1"/>
  <c r="AJ637" i="1"/>
  <c r="AL637" i="1" s="1"/>
  <c r="V638" i="1"/>
  <c r="X638" i="1"/>
  <c r="AC638" i="1" s="1"/>
  <c r="AG638" i="1" s="1"/>
  <c r="AJ638" i="1"/>
  <c r="AL638" i="1" s="1"/>
  <c r="AK638" i="1"/>
  <c r="V639" i="1"/>
  <c r="Y639" i="1"/>
  <c r="AJ639" i="1"/>
  <c r="V640" i="1"/>
  <c r="X640" i="1" s="1"/>
  <c r="AC640" i="1" s="1"/>
  <c r="AG640" i="1" s="1"/>
  <c r="AJ640" i="1"/>
  <c r="AK640" i="1" s="1"/>
  <c r="V641" i="1"/>
  <c r="W641" i="1" s="1"/>
  <c r="AJ641" i="1"/>
  <c r="V642" i="1"/>
  <c r="AJ642" i="1"/>
  <c r="AK642" i="1" s="1"/>
  <c r="V643" i="1"/>
  <c r="X643" i="1"/>
  <c r="AC643" i="1" s="1"/>
  <c r="AG643" i="1" s="1"/>
  <c r="AJ643" i="1"/>
  <c r="V644" i="1"/>
  <c r="X644" i="1" s="1"/>
  <c r="AC644" i="1" s="1"/>
  <c r="AG644" i="1" s="1"/>
  <c r="W644" i="1"/>
  <c r="AJ644" i="1"/>
  <c r="AK644" i="1" s="1"/>
  <c r="V645" i="1"/>
  <c r="AJ645" i="1"/>
  <c r="V646" i="1"/>
  <c r="AJ646" i="1"/>
  <c r="AL646" i="1" s="1"/>
  <c r="V647" i="1"/>
  <c r="AJ647" i="1"/>
  <c r="AL647" i="1" s="1"/>
  <c r="AK647" i="1"/>
  <c r="V648" i="1"/>
  <c r="X648" i="1" s="1"/>
  <c r="AC648" i="1" s="1"/>
  <c r="AG648" i="1" s="1"/>
  <c r="AJ648" i="1"/>
  <c r="AK648" i="1" s="1"/>
  <c r="AM648" i="1"/>
  <c r="AO648" i="1" s="1"/>
  <c r="V649" i="1"/>
  <c r="X649" i="1" s="1"/>
  <c r="AC649" i="1" s="1"/>
  <c r="AG649" i="1" s="1"/>
  <c r="AJ649" i="1"/>
  <c r="AK649" i="1" s="1"/>
  <c r="AL649" i="1"/>
  <c r="AM649" i="1"/>
  <c r="AO649" i="1" s="1"/>
  <c r="V650" i="1"/>
  <c r="AJ650" i="1"/>
  <c r="V651" i="1"/>
  <c r="Y651" i="1" s="1"/>
  <c r="AJ651" i="1"/>
  <c r="V652" i="1"/>
  <c r="X652" i="1" s="1"/>
  <c r="AC652" i="1" s="1"/>
  <c r="AG652" i="1" s="1"/>
  <c r="AJ652" i="1"/>
  <c r="V653" i="1"/>
  <c r="W653" i="1" s="1"/>
  <c r="X653" i="1"/>
  <c r="Y653" i="1"/>
  <c r="AA653" i="1" s="1"/>
  <c r="AE653" i="1"/>
  <c r="AJ653" i="1"/>
  <c r="AL653" i="1" s="1"/>
  <c r="V654" i="1"/>
  <c r="AJ654" i="1"/>
  <c r="V655" i="1"/>
  <c r="AJ655" i="1"/>
  <c r="AL655" i="1" s="1"/>
  <c r="V656" i="1"/>
  <c r="Y656" i="1" s="1"/>
  <c r="X656" i="1"/>
  <c r="AC656" i="1" s="1"/>
  <c r="AG656" i="1" s="1"/>
  <c r="AJ656" i="1"/>
  <c r="V657" i="1"/>
  <c r="W657" i="1" s="1"/>
  <c r="AJ657" i="1"/>
  <c r="AK657" i="1" s="1"/>
  <c r="V658" i="1"/>
  <c r="X658" i="1" s="1"/>
  <c r="AC658" i="1" s="1"/>
  <c r="AG658" i="1" s="1"/>
  <c r="AJ658" i="1"/>
  <c r="AK658" i="1" s="1"/>
  <c r="V659" i="1"/>
  <c r="Y659" i="1" s="1"/>
  <c r="AJ659" i="1"/>
  <c r="AL659" i="1" s="1"/>
  <c r="V660" i="1"/>
  <c r="Y660" i="1" s="1"/>
  <c r="W660" i="1"/>
  <c r="AJ660" i="1"/>
  <c r="V661" i="1"/>
  <c r="X661" i="1" s="1"/>
  <c r="AC661" i="1" s="1"/>
  <c r="AG661" i="1" s="1"/>
  <c r="AJ661" i="1"/>
  <c r="AK661" i="1" s="1"/>
  <c r="AL661" i="1"/>
  <c r="V662" i="1"/>
  <c r="W662" i="1" s="1"/>
  <c r="AJ662" i="1"/>
  <c r="AK662" i="1" s="1"/>
  <c r="V663" i="1"/>
  <c r="AJ663" i="1"/>
  <c r="V664" i="1"/>
  <c r="AJ664" i="1"/>
  <c r="AL664" i="1" s="1"/>
  <c r="V665" i="1"/>
  <c r="Y665" i="1" s="1"/>
  <c r="AJ665" i="1"/>
  <c r="AL665" i="1" s="1"/>
  <c r="V666" i="1"/>
  <c r="Y666" i="1" s="1"/>
  <c r="AJ666" i="1"/>
  <c r="AK666" i="1" s="1"/>
  <c r="AM666" i="1" s="1"/>
  <c r="AO666" i="1" s="1"/>
  <c r="AL666" i="1"/>
  <c r="V667" i="1"/>
  <c r="X667" i="1"/>
  <c r="AC667" i="1" s="1"/>
  <c r="AG667" i="1" s="1"/>
  <c r="AJ667" i="1"/>
  <c r="AK667" i="1" s="1"/>
  <c r="V668" i="1"/>
  <c r="AJ668" i="1"/>
  <c r="V669" i="1"/>
  <c r="Y669" i="1" s="1"/>
  <c r="X669" i="1"/>
  <c r="AC669" i="1" s="1"/>
  <c r="AG669" i="1" s="1"/>
  <c r="AJ669" i="1"/>
  <c r="AL669" i="1" s="1"/>
  <c r="AK669" i="1"/>
  <c r="V670" i="1"/>
  <c r="X670" i="1" s="1"/>
  <c r="AC670" i="1" s="1"/>
  <c r="AG670" i="1" s="1"/>
  <c r="AJ670" i="1"/>
  <c r="V671" i="1"/>
  <c r="X671" i="1" s="1"/>
  <c r="W671" i="1"/>
  <c r="AJ671" i="1"/>
  <c r="AK671" i="1" s="1"/>
  <c r="AL671" i="1"/>
  <c r="V672" i="1"/>
  <c r="W672" i="1" s="1"/>
  <c r="AJ672" i="1"/>
  <c r="V673" i="1"/>
  <c r="Y673" i="1" s="1"/>
  <c r="AJ673" i="1"/>
  <c r="AL673" i="1" s="1"/>
  <c r="V674" i="1"/>
  <c r="X674" i="1" s="1"/>
  <c r="AC674" i="1" s="1"/>
  <c r="AG674" i="1" s="1"/>
  <c r="W674" i="1"/>
  <c r="Y674" i="1"/>
  <c r="AI674" i="1"/>
  <c r="AJ674" i="1"/>
  <c r="AL674" i="1" s="1"/>
  <c r="V675" i="1"/>
  <c r="AJ675" i="1"/>
  <c r="V676" i="1"/>
  <c r="Y676" i="1" s="1"/>
  <c r="AJ676" i="1"/>
  <c r="AL676" i="1" s="1"/>
  <c r="AK676" i="1"/>
  <c r="AM676" i="1" s="1"/>
  <c r="AO676" i="1" s="1"/>
  <c r="V677" i="1"/>
  <c r="AJ677" i="1"/>
  <c r="AK677" i="1" s="1"/>
  <c r="V678" i="1"/>
  <c r="X678" i="1" s="1"/>
  <c r="AC678" i="1"/>
  <c r="AG678" i="1"/>
  <c r="AJ678" i="1"/>
  <c r="AL678" i="1" s="1"/>
  <c r="V679" i="1"/>
  <c r="AJ679" i="1"/>
  <c r="V680" i="1"/>
  <c r="AJ680" i="1"/>
  <c r="AK680" i="1" s="1"/>
  <c r="AM680" i="1"/>
  <c r="AO680" i="1" s="1"/>
  <c r="V681" i="1"/>
  <c r="Y681" i="1" s="1"/>
  <c r="AJ681" i="1"/>
  <c r="V682" i="1"/>
  <c r="AJ682" i="1"/>
  <c r="AL682" i="1" s="1"/>
  <c r="AK682" i="1"/>
  <c r="AM682" i="1" s="1"/>
  <c r="AO682" i="1" s="1"/>
  <c r="V683" i="1"/>
  <c r="W683" i="1" s="1"/>
  <c r="AJ683" i="1"/>
  <c r="V684" i="1"/>
  <c r="Y684" i="1" s="1"/>
  <c r="AJ684" i="1"/>
  <c r="AK684" i="1" s="1"/>
  <c r="V685" i="1"/>
  <c r="Y685" i="1" s="1"/>
  <c r="AJ685" i="1"/>
  <c r="AL685" i="1" s="1"/>
  <c r="AK685" i="1"/>
  <c r="AM685" i="1" s="1"/>
  <c r="AO685" i="1"/>
  <c r="V686" i="1"/>
  <c r="X686" i="1" s="1"/>
  <c r="AC686" i="1" s="1"/>
  <c r="AG686" i="1" s="1"/>
  <c r="AJ686" i="1"/>
  <c r="AK686" i="1" s="1"/>
  <c r="V687" i="1"/>
  <c r="X687" i="1" s="1"/>
  <c r="AJ687" i="1"/>
  <c r="V688" i="1"/>
  <c r="Y688" i="1" s="1"/>
  <c r="X688" i="1"/>
  <c r="AC688" i="1" s="1"/>
  <c r="AG688" i="1" s="1"/>
  <c r="AJ688" i="1"/>
  <c r="AK688" i="1" s="1"/>
  <c r="V689" i="1"/>
  <c r="AJ689" i="1"/>
  <c r="V690" i="1"/>
  <c r="X690" i="1" s="1"/>
  <c r="AC690" i="1" s="1"/>
  <c r="AG690" i="1" s="1"/>
  <c r="AJ690" i="1"/>
  <c r="AK690" i="1" s="1"/>
  <c r="AM690" i="1"/>
  <c r="AO690" i="1" s="1"/>
  <c r="V691" i="1"/>
  <c r="AJ691" i="1"/>
  <c r="V692" i="1"/>
  <c r="W692" i="1" s="1"/>
  <c r="AB692" i="1" s="1"/>
  <c r="AF692" i="1" s="1"/>
  <c r="X692" i="1"/>
  <c r="AC692" i="1" s="1"/>
  <c r="AG692" i="1" s="1"/>
  <c r="AJ692" i="1"/>
  <c r="AK692" i="1" s="1"/>
  <c r="V693" i="1"/>
  <c r="W693" i="1" s="1"/>
  <c r="AJ693" i="1"/>
  <c r="AK693" i="1" s="1"/>
  <c r="AL693" i="1"/>
  <c r="AM693" i="1"/>
  <c r="AO693" i="1" s="1"/>
  <c r="V694" i="1"/>
  <c r="X694" i="1" s="1"/>
  <c r="AC694" i="1" s="1"/>
  <c r="AG694" i="1" s="1"/>
  <c r="W694" i="1"/>
  <c r="Y694" i="1"/>
  <c r="AJ694" i="1"/>
  <c r="AL694" i="1" s="1"/>
  <c r="V695" i="1"/>
  <c r="X695" i="1" s="1"/>
  <c r="AC695" i="1" s="1"/>
  <c r="AG695" i="1" s="1"/>
  <c r="AJ695" i="1"/>
  <c r="AL695" i="1"/>
  <c r="V696" i="1"/>
  <c r="Y696" i="1" s="1"/>
  <c r="X696" i="1"/>
  <c r="AC696" i="1"/>
  <c r="AG696" i="1" s="1"/>
  <c r="AJ696" i="1"/>
  <c r="V697" i="1"/>
  <c r="W697" i="1" s="1"/>
  <c r="AJ697" i="1"/>
  <c r="AL697" i="1" s="1"/>
  <c r="V698" i="1"/>
  <c r="AJ698" i="1"/>
  <c r="AK698" i="1" s="1"/>
  <c r="V699" i="1"/>
  <c r="X699" i="1" s="1"/>
  <c r="AC699" i="1" s="1"/>
  <c r="AG699" i="1" s="1"/>
  <c r="AJ699" i="1"/>
  <c r="V700" i="1"/>
  <c r="AJ700" i="1"/>
  <c r="V701" i="1"/>
  <c r="Y701" i="1" s="1"/>
  <c r="AJ701" i="1"/>
  <c r="V702" i="1"/>
  <c r="Y702" i="1" s="1"/>
  <c r="AJ702" i="1"/>
  <c r="V703" i="1"/>
  <c r="W703" i="1" s="1"/>
  <c r="AJ703" i="1"/>
  <c r="AK703" i="1" s="1"/>
  <c r="V704" i="1"/>
  <c r="W704" i="1" s="1"/>
  <c r="X704" i="1"/>
  <c r="AC704" i="1"/>
  <c r="AG704" i="1" s="1"/>
  <c r="AJ704" i="1"/>
  <c r="AK704" i="1" s="1"/>
  <c r="V705" i="1"/>
  <c r="Y705" i="1" s="1"/>
  <c r="AJ705" i="1"/>
  <c r="V706" i="1"/>
  <c r="X706" i="1" s="1"/>
  <c r="AC706" i="1" s="1"/>
  <c r="AG706" i="1" s="1"/>
  <c r="W706" i="1"/>
  <c r="AJ706" i="1"/>
  <c r="AL706" i="1" s="1"/>
  <c r="V707" i="1"/>
  <c r="X707" i="1"/>
  <c r="AC707" i="1" s="1"/>
  <c r="AG707" i="1" s="1"/>
  <c r="AJ707" i="1"/>
  <c r="AL707" i="1" s="1"/>
  <c r="AK707" i="1"/>
  <c r="AM707" i="1" s="1"/>
  <c r="AO707" i="1" s="1"/>
  <c r="V708" i="1"/>
  <c r="Y708" i="1" s="1"/>
  <c r="AJ708" i="1"/>
  <c r="V709" i="1"/>
  <c r="X709" i="1"/>
  <c r="AC709" i="1" s="1"/>
  <c r="AG709" i="1" s="1"/>
  <c r="AJ709" i="1"/>
  <c r="AK709" i="1" s="1"/>
  <c r="V710" i="1"/>
  <c r="W710" i="1" s="1"/>
  <c r="AJ710" i="1"/>
  <c r="V711" i="1"/>
  <c r="Y711" i="1" s="1"/>
  <c r="Z711" i="1" s="1"/>
  <c r="AD711" i="1" s="1"/>
  <c r="W711" i="1"/>
  <c r="X711" i="1"/>
  <c r="AC711" i="1" s="1"/>
  <c r="AG711" i="1" s="1"/>
  <c r="AJ711" i="1"/>
  <c r="AL711" i="1" s="1"/>
  <c r="V712" i="1"/>
  <c r="X712" i="1" s="1"/>
  <c r="AC712" i="1" s="1"/>
  <c r="AG712" i="1" s="1"/>
  <c r="AJ712" i="1"/>
  <c r="AL712" i="1" s="1"/>
  <c r="AK712" i="1"/>
  <c r="AM712" i="1"/>
  <c r="AO712" i="1" s="1"/>
  <c r="V713" i="1"/>
  <c r="W713" i="1" s="1"/>
  <c r="AJ713" i="1"/>
  <c r="AL713" i="1" s="1"/>
  <c r="AK713" i="1"/>
  <c r="AM713" i="1" s="1"/>
  <c r="AO713" i="1" s="1"/>
  <c r="V714" i="1"/>
  <c r="X714" i="1" s="1"/>
  <c r="AC714" i="1" s="1"/>
  <c r="AG714" i="1" s="1"/>
  <c r="AJ714" i="1"/>
  <c r="AK714" i="1" s="1"/>
  <c r="AM714" i="1" s="1"/>
  <c r="AO714" i="1" s="1"/>
  <c r="V715" i="1"/>
  <c r="W715" i="1" s="1"/>
  <c r="AJ715" i="1"/>
  <c r="AK715" i="1"/>
  <c r="V716" i="1"/>
  <c r="W716" i="1" s="1"/>
  <c r="AJ716" i="1"/>
  <c r="AL716" i="1" s="1"/>
  <c r="AK716" i="1"/>
  <c r="V717" i="1"/>
  <c r="Y717" i="1" s="1"/>
  <c r="AJ717" i="1"/>
  <c r="V718" i="1"/>
  <c r="X718" i="1" s="1"/>
  <c r="AC718" i="1" s="1"/>
  <c r="AG718" i="1" s="1"/>
  <c r="AJ718" i="1"/>
  <c r="AK718" i="1"/>
  <c r="AL718" i="1"/>
  <c r="V719" i="1"/>
  <c r="X719" i="1" s="1"/>
  <c r="AC719" i="1" s="1"/>
  <c r="AG719" i="1" s="1"/>
  <c r="W719" i="1"/>
  <c r="AB719" i="1"/>
  <c r="AF719" i="1" s="1"/>
  <c r="AJ719" i="1"/>
  <c r="AK719" i="1" s="1"/>
  <c r="AL719" i="1"/>
  <c r="V720" i="1"/>
  <c r="AJ720" i="1"/>
  <c r="AK720" i="1"/>
  <c r="V721" i="1"/>
  <c r="W721" i="1" s="1"/>
  <c r="AJ721" i="1"/>
  <c r="AK721" i="1"/>
  <c r="AM721" i="1" s="1"/>
  <c r="AO721" i="1" s="1"/>
  <c r="AL721" i="1"/>
  <c r="V722" i="1"/>
  <c r="X722" i="1" s="1"/>
  <c r="AC722" i="1" s="1"/>
  <c r="AG722" i="1" s="1"/>
  <c r="W722" i="1"/>
  <c r="AB722" i="1" s="1"/>
  <c r="AF722" i="1" s="1"/>
  <c r="Y722" i="1"/>
  <c r="AA722" i="1" s="1"/>
  <c r="AE722" i="1" s="1"/>
  <c r="AJ722" i="1"/>
  <c r="AK722" i="1" s="1"/>
  <c r="V723" i="1"/>
  <c r="AJ723" i="1"/>
  <c r="V724" i="1"/>
  <c r="W724" i="1" s="1"/>
  <c r="Y724" i="1"/>
  <c r="AA724" i="1" s="1"/>
  <c r="AE724" i="1" s="1"/>
  <c r="AJ724" i="1"/>
  <c r="AK724" i="1" s="1"/>
  <c r="AM724" i="1" s="1"/>
  <c r="AO724" i="1" s="1"/>
  <c r="V725" i="1"/>
  <c r="W725" i="1" s="1"/>
  <c r="AJ725" i="1"/>
  <c r="AM725" i="1" s="1"/>
  <c r="AO725" i="1" s="1"/>
  <c r="AK725" i="1"/>
  <c r="AL725" i="1"/>
  <c r="V726" i="1"/>
  <c r="Y726" i="1" s="1"/>
  <c r="X726" i="1"/>
  <c r="AC726" i="1" s="1"/>
  <c r="AG726" i="1" s="1"/>
  <c r="AJ726" i="1"/>
  <c r="V727" i="1"/>
  <c r="W727" i="1" s="1"/>
  <c r="X727" i="1"/>
  <c r="AC727" i="1" s="1"/>
  <c r="AG727" i="1" s="1"/>
  <c r="AJ727" i="1"/>
  <c r="AL727" i="1" s="1"/>
  <c r="V728" i="1"/>
  <c r="W728" i="1" s="1"/>
  <c r="AJ728" i="1"/>
  <c r="AK728" i="1" s="1"/>
  <c r="AL728" i="1"/>
  <c r="V729" i="1"/>
  <c r="Y729" i="1" s="1"/>
  <c r="X729" i="1"/>
  <c r="AC729" i="1" s="1"/>
  <c r="AG729" i="1" s="1"/>
  <c r="AJ729" i="1"/>
  <c r="V730" i="1"/>
  <c r="W730" i="1" s="1"/>
  <c r="X730" i="1"/>
  <c r="AC730" i="1" s="1"/>
  <c r="AG730" i="1" s="1"/>
  <c r="AJ730" i="1"/>
  <c r="AK730" i="1" s="1"/>
  <c r="AL730" i="1"/>
  <c r="V731" i="1"/>
  <c r="W731" i="1" s="1"/>
  <c r="AJ731" i="1"/>
  <c r="AK731" i="1"/>
  <c r="AM731" i="1" s="1"/>
  <c r="AO731" i="1" s="1"/>
  <c r="AL731" i="1"/>
  <c r="V732" i="1"/>
  <c r="X732" i="1"/>
  <c r="AC732" i="1" s="1"/>
  <c r="AG732" i="1"/>
  <c r="AJ732" i="1"/>
  <c r="V733" i="1"/>
  <c r="W733" i="1" s="1"/>
  <c r="AJ733" i="1"/>
  <c r="AL733" i="1" s="1"/>
  <c r="V734" i="1"/>
  <c r="W734" i="1" s="1"/>
  <c r="AJ734" i="1"/>
  <c r="AK734" i="1" s="1"/>
  <c r="AM734" i="1" s="1"/>
  <c r="AO734" i="1" s="1"/>
  <c r="V735" i="1"/>
  <c r="Y735" i="1" s="1"/>
  <c r="W735" i="1"/>
  <c r="AJ735" i="1"/>
  <c r="V736" i="1"/>
  <c r="X736" i="1" s="1"/>
  <c r="AC736" i="1" s="1"/>
  <c r="AG736" i="1" s="1"/>
  <c r="AJ736" i="1"/>
  <c r="AL736" i="1" s="1"/>
  <c r="AK736" i="1"/>
  <c r="V737" i="1"/>
  <c r="W737" i="1" s="1"/>
  <c r="AJ737" i="1"/>
  <c r="AL737" i="1" s="1"/>
  <c r="AK737" i="1"/>
  <c r="AM737" i="1"/>
  <c r="AO737" i="1" s="1"/>
  <c r="V738" i="1"/>
  <c r="X738" i="1" s="1"/>
  <c r="AC738" i="1" s="1"/>
  <c r="AG738" i="1" s="1"/>
  <c r="AJ738" i="1"/>
  <c r="T678" i="1"/>
  <c r="U678" i="1"/>
  <c r="T679" i="1"/>
  <c r="U679" i="1"/>
  <c r="T680" i="1"/>
  <c r="U680" i="1"/>
  <c r="T681" i="1"/>
  <c r="U681" i="1"/>
  <c r="T682" i="1"/>
  <c r="U682" i="1"/>
  <c r="T683" i="1"/>
  <c r="U683" i="1"/>
  <c r="T684" i="1"/>
  <c r="U684" i="1"/>
  <c r="T685" i="1"/>
  <c r="U685" i="1"/>
  <c r="T686" i="1"/>
  <c r="U686" i="1"/>
  <c r="T687" i="1"/>
  <c r="U687" i="1"/>
  <c r="T688" i="1"/>
  <c r="U688" i="1"/>
  <c r="T689" i="1"/>
  <c r="U689" i="1"/>
  <c r="T690" i="1"/>
  <c r="U690" i="1"/>
  <c r="T691" i="1"/>
  <c r="U691" i="1"/>
  <c r="T692" i="1"/>
  <c r="U692" i="1"/>
  <c r="T693" i="1"/>
  <c r="U693" i="1"/>
  <c r="T694" i="1"/>
  <c r="U694" i="1"/>
  <c r="T695" i="1"/>
  <c r="U695" i="1"/>
  <c r="T696" i="1"/>
  <c r="U696" i="1"/>
  <c r="T697" i="1"/>
  <c r="U697" i="1"/>
  <c r="T698" i="1"/>
  <c r="U698" i="1"/>
  <c r="T699" i="1"/>
  <c r="U699" i="1"/>
  <c r="T700" i="1"/>
  <c r="U700" i="1"/>
  <c r="T701" i="1"/>
  <c r="U701" i="1"/>
  <c r="T702" i="1"/>
  <c r="U702" i="1"/>
  <c r="T703" i="1"/>
  <c r="U703" i="1"/>
  <c r="T704" i="1"/>
  <c r="U704" i="1"/>
  <c r="T705" i="1"/>
  <c r="U705" i="1"/>
  <c r="T706" i="1"/>
  <c r="U706" i="1"/>
  <c r="T707" i="1"/>
  <c r="U707" i="1"/>
  <c r="T708" i="1"/>
  <c r="U708" i="1"/>
  <c r="T709" i="1"/>
  <c r="U709" i="1"/>
  <c r="T710" i="1"/>
  <c r="U710" i="1"/>
  <c r="T711" i="1"/>
  <c r="U711" i="1"/>
  <c r="T712" i="1"/>
  <c r="U712" i="1"/>
  <c r="T713" i="1"/>
  <c r="U713" i="1"/>
  <c r="T714" i="1"/>
  <c r="U714" i="1"/>
  <c r="T715" i="1"/>
  <c r="U715" i="1"/>
  <c r="T716" i="1"/>
  <c r="U716" i="1"/>
  <c r="T717" i="1"/>
  <c r="U717" i="1"/>
  <c r="T718" i="1"/>
  <c r="U718" i="1"/>
  <c r="T719" i="1"/>
  <c r="U719" i="1"/>
  <c r="T720" i="1"/>
  <c r="U720" i="1"/>
  <c r="T721" i="1"/>
  <c r="U721" i="1"/>
  <c r="T722" i="1"/>
  <c r="U722" i="1"/>
  <c r="T723" i="1"/>
  <c r="U723" i="1"/>
  <c r="T724" i="1"/>
  <c r="U724" i="1"/>
  <c r="T725" i="1"/>
  <c r="U725" i="1"/>
  <c r="T726" i="1"/>
  <c r="U726" i="1"/>
  <c r="T727" i="1"/>
  <c r="U727" i="1"/>
  <c r="T728" i="1"/>
  <c r="U728" i="1"/>
  <c r="T729" i="1"/>
  <c r="U729" i="1"/>
  <c r="T730" i="1"/>
  <c r="U730" i="1"/>
  <c r="T731" i="1"/>
  <c r="U731" i="1"/>
  <c r="T732" i="1"/>
  <c r="U732" i="1"/>
  <c r="T733" i="1"/>
  <c r="U733" i="1"/>
  <c r="T734" i="1"/>
  <c r="U734" i="1"/>
  <c r="T735" i="1"/>
  <c r="U735" i="1"/>
  <c r="T736" i="1"/>
  <c r="U736" i="1"/>
  <c r="T737" i="1"/>
  <c r="U737" i="1"/>
  <c r="T738" i="1"/>
  <c r="U738" i="1"/>
  <c r="T622" i="1"/>
  <c r="U622" i="1"/>
  <c r="T623" i="1"/>
  <c r="U623" i="1"/>
  <c r="T624" i="1"/>
  <c r="U624" i="1"/>
  <c r="T625" i="1"/>
  <c r="U625" i="1"/>
  <c r="T626" i="1"/>
  <c r="U626" i="1"/>
  <c r="T627" i="1"/>
  <c r="U627" i="1"/>
  <c r="T628" i="1"/>
  <c r="U628" i="1"/>
  <c r="T629" i="1"/>
  <c r="U629" i="1"/>
  <c r="T630" i="1"/>
  <c r="U630" i="1"/>
  <c r="T631" i="1"/>
  <c r="U631" i="1"/>
  <c r="T632" i="1"/>
  <c r="U632" i="1"/>
  <c r="T633" i="1"/>
  <c r="U633" i="1"/>
  <c r="T634" i="1"/>
  <c r="U634" i="1"/>
  <c r="T635" i="1"/>
  <c r="U635" i="1"/>
  <c r="T636" i="1"/>
  <c r="U636" i="1"/>
  <c r="T637" i="1"/>
  <c r="U637" i="1"/>
  <c r="T638" i="1"/>
  <c r="U638" i="1"/>
  <c r="T639" i="1"/>
  <c r="U639" i="1"/>
  <c r="T640" i="1"/>
  <c r="U640" i="1"/>
  <c r="T641" i="1"/>
  <c r="U641" i="1"/>
  <c r="T642" i="1"/>
  <c r="U642" i="1"/>
  <c r="T643" i="1"/>
  <c r="U643" i="1"/>
  <c r="T644" i="1"/>
  <c r="U644" i="1"/>
  <c r="T645" i="1"/>
  <c r="U645" i="1"/>
  <c r="T646" i="1"/>
  <c r="U646" i="1"/>
  <c r="T647" i="1"/>
  <c r="U647" i="1"/>
  <c r="T648" i="1"/>
  <c r="U648" i="1"/>
  <c r="T649" i="1"/>
  <c r="U649" i="1"/>
  <c r="T650" i="1"/>
  <c r="U650" i="1"/>
  <c r="T651" i="1"/>
  <c r="U651" i="1"/>
  <c r="T652" i="1"/>
  <c r="U652" i="1"/>
  <c r="T653" i="1"/>
  <c r="U653" i="1"/>
  <c r="T654" i="1"/>
  <c r="U654" i="1"/>
  <c r="T655" i="1"/>
  <c r="U655" i="1"/>
  <c r="T656" i="1"/>
  <c r="U656" i="1"/>
  <c r="T657" i="1"/>
  <c r="U657" i="1"/>
  <c r="T658" i="1"/>
  <c r="U658" i="1"/>
  <c r="T659" i="1"/>
  <c r="U659" i="1"/>
  <c r="T660" i="1"/>
  <c r="U660" i="1"/>
  <c r="T661" i="1"/>
  <c r="U661" i="1"/>
  <c r="T662" i="1"/>
  <c r="U662" i="1"/>
  <c r="T663" i="1"/>
  <c r="U663" i="1"/>
  <c r="T664" i="1"/>
  <c r="U664" i="1"/>
  <c r="T665" i="1"/>
  <c r="U665" i="1"/>
  <c r="T666" i="1"/>
  <c r="U666" i="1"/>
  <c r="T667" i="1"/>
  <c r="U667" i="1"/>
  <c r="T668" i="1"/>
  <c r="U668" i="1"/>
  <c r="T669" i="1"/>
  <c r="U669" i="1"/>
  <c r="T670" i="1"/>
  <c r="U670" i="1"/>
  <c r="T671" i="1"/>
  <c r="U671" i="1"/>
  <c r="T672" i="1"/>
  <c r="U672" i="1"/>
  <c r="T673" i="1"/>
  <c r="U673" i="1"/>
  <c r="T674" i="1"/>
  <c r="U674" i="1"/>
  <c r="T675" i="1"/>
  <c r="U675" i="1"/>
  <c r="T676" i="1"/>
  <c r="U676" i="1"/>
  <c r="T677" i="1"/>
  <c r="U677" i="1"/>
  <c r="V297" i="1"/>
  <c r="X297" i="1" s="1"/>
  <c r="AC297" i="1" s="1"/>
  <c r="AG297" i="1" s="1"/>
  <c r="Y297" i="1"/>
  <c r="AJ297" i="1"/>
  <c r="AL297" i="1" s="1"/>
  <c r="AK297" i="1"/>
  <c r="V298" i="1"/>
  <c r="X298" i="1" s="1"/>
  <c r="AJ298" i="1"/>
  <c r="V299" i="1"/>
  <c r="Y299" i="1" s="1"/>
  <c r="AJ299" i="1"/>
  <c r="V300" i="1"/>
  <c r="W300" i="1"/>
  <c r="AI300" i="1" s="1"/>
  <c r="X300" i="1"/>
  <c r="AC300" i="1" s="1"/>
  <c r="AG300" i="1" s="1"/>
  <c r="Y300" i="1"/>
  <c r="AB300" i="1"/>
  <c r="AF300" i="1" s="1"/>
  <c r="AJ300" i="1"/>
  <c r="AK300" i="1" s="1"/>
  <c r="AL300" i="1"/>
  <c r="V301" i="1"/>
  <c r="AJ301" i="1"/>
  <c r="V302" i="1"/>
  <c r="W302" i="1" s="1"/>
  <c r="AJ302" i="1"/>
  <c r="V303" i="1"/>
  <c r="X303" i="1" s="1"/>
  <c r="AC303" i="1" s="1"/>
  <c r="AG303" i="1" s="1"/>
  <c r="AJ303" i="1"/>
  <c r="AK303" i="1" s="1"/>
  <c r="AM303" i="1" s="1"/>
  <c r="AO303" i="1" s="1"/>
  <c r="AL303" i="1"/>
  <c r="V304" i="1"/>
  <c r="X304" i="1" s="1"/>
  <c r="AJ304" i="1"/>
  <c r="AL304" i="1" s="1"/>
  <c r="V305" i="1"/>
  <c r="W305" i="1" s="1"/>
  <c r="AJ305" i="1"/>
  <c r="V306" i="1"/>
  <c r="X306" i="1"/>
  <c r="AC306" i="1" s="1"/>
  <c r="AG306" i="1" s="1"/>
  <c r="AJ306" i="1"/>
  <c r="AM306" i="1" s="1"/>
  <c r="AO306" i="1" s="1"/>
  <c r="AK306" i="1"/>
  <c r="AL306" i="1"/>
  <c r="V307" i="1"/>
  <c r="X307" i="1" s="1"/>
  <c r="AC307" i="1" s="1"/>
  <c r="AG307" i="1" s="1"/>
  <c r="W307" i="1"/>
  <c r="AJ307" i="1"/>
  <c r="V308" i="1"/>
  <c r="W308" i="1"/>
  <c r="AJ308" i="1"/>
  <c r="V309" i="1"/>
  <c r="W309" i="1" s="1"/>
  <c r="AJ309" i="1"/>
  <c r="AL309" i="1" s="1"/>
  <c r="V310" i="1"/>
  <c r="Y310" i="1" s="1"/>
  <c r="AJ310" i="1"/>
  <c r="AK310" i="1" s="1"/>
  <c r="V311" i="1"/>
  <c r="AJ311" i="1"/>
  <c r="V312" i="1"/>
  <c r="X312" i="1" s="1"/>
  <c r="AC312" i="1" s="1"/>
  <c r="W312" i="1"/>
  <c r="Y312" i="1"/>
  <c r="AG312" i="1"/>
  <c r="AJ312" i="1"/>
  <c r="V313" i="1"/>
  <c r="Y313" i="1" s="1"/>
  <c r="W313" i="1"/>
  <c r="AJ313" i="1"/>
  <c r="V314" i="1"/>
  <c r="X314" i="1" s="1"/>
  <c r="AC314" i="1" s="1"/>
  <c r="AG314" i="1" s="1"/>
  <c r="AJ314" i="1"/>
  <c r="V315" i="1"/>
  <c r="Y315" i="1" s="1"/>
  <c r="X315" i="1"/>
  <c r="AC315" i="1" s="1"/>
  <c r="AG315" i="1" s="1"/>
  <c r="AJ315" i="1"/>
  <c r="V316" i="1"/>
  <c r="W316" i="1" s="1"/>
  <c r="Y316" i="1"/>
  <c r="AJ316" i="1"/>
  <c r="V317" i="1"/>
  <c r="AJ317" i="1"/>
  <c r="V318" i="1"/>
  <c r="W318" i="1" s="1"/>
  <c r="X318" i="1"/>
  <c r="AC318" i="1" s="1"/>
  <c r="AG318" i="1" s="1"/>
  <c r="Y318" i="1"/>
  <c r="Z318" i="1" s="1"/>
  <c r="AD318" i="1" s="1"/>
  <c r="AJ318" i="1"/>
  <c r="V319" i="1"/>
  <c r="Y319" i="1" s="1"/>
  <c r="W319" i="1"/>
  <c r="X319" i="1"/>
  <c r="AC319" i="1" s="1"/>
  <c r="AG319" i="1" s="1"/>
  <c r="AB319" i="1"/>
  <c r="AF319" i="1" s="1"/>
  <c r="AJ319" i="1"/>
  <c r="AL319" i="1" s="1"/>
  <c r="V320" i="1"/>
  <c r="W320" i="1" s="1"/>
  <c r="AJ320" i="1"/>
  <c r="V321" i="1"/>
  <c r="Y321" i="1" s="1"/>
  <c r="AJ321" i="1"/>
  <c r="AK321" i="1" s="1"/>
  <c r="AM321" i="1" s="1"/>
  <c r="AO321" i="1" s="1"/>
  <c r="AL321" i="1"/>
  <c r="V322" i="1"/>
  <c r="X322" i="1" s="1"/>
  <c r="Y322" i="1"/>
  <c r="AC322" i="1"/>
  <c r="AG322" i="1" s="1"/>
  <c r="AJ322" i="1"/>
  <c r="AL322" i="1" s="1"/>
  <c r="V323" i="1"/>
  <c r="Y323" i="1" s="1"/>
  <c r="AJ323" i="1"/>
  <c r="V324" i="1"/>
  <c r="X324" i="1" s="1"/>
  <c r="AC324" i="1" s="1"/>
  <c r="AG324" i="1" s="1"/>
  <c r="W324" i="1"/>
  <c r="AB324" i="1" s="1"/>
  <c r="Y324" i="1"/>
  <c r="AA324" i="1" s="1"/>
  <c r="AE324" i="1" s="1"/>
  <c r="AF324" i="1"/>
  <c r="AI324" i="1"/>
  <c r="AJ324" i="1"/>
  <c r="AK324" i="1" s="1"/>
  <c r="V325" i="1"/>
  <c r="W325" i="1"/>
  <c r="X325" i="1"/>
  <c r="AC325" i="1" s="1"/>
  <c r="AG325" i="1" s="1"/>
  <c r="Y325" i="1"/>
  <c r="AJ325" i="1"/>
  <c r="AL325" i="1" s="1"/>
  <c r="AK325" i="1"/>
  <c r="AM325" i="1" s="1"/>
  <c r="AO325" i="1" s="1"/>
  <c r="V326" i="1"/>
  <c r="AJ326" i="1"/>
  <c r="V327" i="1"/>
  <c r="W327" i="1" s="1"/>
  <c r="X327" i="1"/>
  <c r="AC327" i="1" s="1"/>
  <c r="AG327" i="1" s="1"/>
  <c r="AJ327" i="1"/>
  <c r="V328" i="1"/>
  <c r="AJ328" i="1"/>
  <c r="AK328" i="1"/>
  <c r="V329" i="1"/>
  <c r="Y329" i="1" s="1"/>
  <c r="AJ329" i="1"/>
  <c r="V330" i="1"/>
  <c r="AJ330" i="1"/>
  <c r="AK330" i="1" s="1"/>
  <c r="AL330" i="1"/>
  <c r="V331" i="1"/>
  <c r="Y331" i="1" s="1"/>
  <c r="X331" i="1"/>
  <c r="AJ331" i="1"/>
  <c r="V332" i="1"/>
  <c r="W332" i="1" s="1"/>
  <c r="AJ332" i="1"/>
  <c r="V333" i="1"/>
  <c r="X333" i="1" s="1"/>
  <c r="AC333" i="1" s="1"/>
  <c r="Y333" i="1"/>
  <c r="AG333" i="1"/>
  <c r="AJ333" i="1"/>
  <c r="AK333" i="1"/>
  <c r="V334" i="1"/>
  <c r="Y334" i="1" s="1"/>
  <c r="W334" i="1"/>
  <c r="AJ334" i="1"/>
  <c r="AL334" i="1" s="1"/>
  <c r="V335" i="1"/>
  <c r="W335" i="1"/>
  <c r="AJ335" i="1"/>
  <c r="V336" i="1"/>
  <c r="X336" i="1" s="1"/>
  <c r="AC336" i="1" s="1"/>
  <c r="AG336" i="1" s="1"/>
  <c r="W336" i="1"/>
  <c r="AJ336" i="1"/>
  <c r="AL336" i="1"/>
  <c r="V337" i="1"/>
  <c r="X337" i="1" s="1"/>
  <c r="AC337" i="1" s="1"/>
  <c r="AG337" i="1" s="1"/>
  <c r="AJ337" i="1"/>
  <c r="AK337" i="1" s="1"/>
  <c r="V338" i="1"/>
  <c r="AJ338" i="1"/>
  <c r="V339" i="1"/>
  <c r="AJ339" i="1"/>
  <c r="AK339" i="1"/>
  <c r="V340" i="1"/>
  <c r="W340" i="1" s="1"/>
  <c r="X340" i="1"/>
  <c r="AC340" i="1" s="1"/>
  <c r="AG340" i="1" s="1"/>
  <c r="Y340" i="1"/>
  <c r="AB340" i="1"/>
  <c r="AF340" i="1" s="1"/>
  <c r="AJ340" i="1"/>
  <c r="V341" i="1"/>
  <c r="Y341" i="1" s="1"/>
  <c r="AJ341" i="1"/>
  <c r="V342" i="1"/>
  <c r="X342" i="1"/>
  <c r="AC342" i="1" s="1"/>
  <c r="AG342" i="1" s="1"/>
  <c r="AJ342" i="1"/>
  <c r="AK342" i="1"/>
  <c r="V343" i="1"/>
  <c r="Y343" i="1" s="1"/>
  <c r="X343" i="1"/>
  <c r="AC343" i="1" s="1"/>
  <c r="AG343" i="1" s="1"/>
  <c r="AJ343" i="1"/>
  <c r="V344" i="1"/>
  <c r="W344" i="1" s="1"/>
  <c r="AJ344" i="1"/>
  <c r="V345" i="1"/>
  <c r="X345" i="1" s="1"/>
  <c r="AC345" i="1" s="1"/>
  <c r="AG345" i="1" s="1"/>
  <c r="Y345" i="1"/>
  <c r="AJ345" i="1"/>
  <c r="V346" i="1"/>
  <c r="AJ346" i="1"/>
  <c r="V347" i="1"/>
  <c r="X347" i="1" s="1"/>
  <c r="AC347" i="1" s="1"/>
  <c r="AG347" i="1" s="1"/>
  <c r="AJ347" i="1"/>
  <c r="AL347" i="1" s="1"/>
  <c r="V348" i="1"/>
  <c r="AJ348" i="1"/>
  <c r="AL348" i="1" s="1"/>
  <c r="AK348" i="1"/>
  <c r="V349" i="1"/>
  <c r="Y349" i="1" s="1"/>
  <c r="W349" i="1"/>
  <c r="X349" i="1"/>
  <c r="AC349" i="1" s="1"/>
  <c r="AG349" i="1" s="1"/>
  <c r="AJ349" i="1"/>
  <c r="AL349" i="1" s="1"/>
  <c r="AK349" i="1"/>
  <c r="V350" i="1"/>
  <c r="Y350" i="1" s="1"/>
  <c r="AJ350" i="1"/>
  <c r="AL350" i="1" s="1"/>
  <c r="V351" i="1"/>
  <c r="Y351" i="1" s="1"/>
  <c r="AJ351" i="1"/>
  <c r="AK351" i="1" s="1"/>
  <c r="AM351" i="1" s="1"/>
  <c r="AO351" i="1" s="1"/>
  <c r="AL351" i="1"/>
  <c r="V352" i="1"/>
  <c r="X352" i="1" s="1"/>
  <c r="AC352" i="1"/>
  <c r="AG352" i="1" s="1"/>
  <c r="AJ352" i="1"/>
  <c r="AL352" i="1" s="1"/>
  <c r="V353" i="1"/>
  <c r="AJ353" i="1"/>
  <c r="AK353" i="1" s="1"/>
  <c r="AM353" i="1" s="1"/>
  <c r="AO353" i="1" s="1"/>
  <c r="V354" i="1"/>
  <c r="X354" i="1" s="1"/>
  <c r="AC354" i="1"/>
  <c r="AG354" i="1" s="1"/>
  <c r="AJ354" i="1"/>
  <c r="AL354" i="1" s="1"/>
  <c r="V355" i="1"/>
  <c r="AJ355" i="1"/>
  <c r="AK355" i="1" s="1"/>
  <c r="AM355" i="1" s="1"/>
  <c r="AO355" i="1" s="1"/>
  <c r="V356" i="1"/>
  <c r="W356" i="1" s="1"/>
  <c r="AJ356" i="1"/>
  <c r="V357" i="1"/>
  <c r="AJ357" i="1"/>
  <c r="AL357" i="1" s="1"/>
  <c r="AK357" i="1"/>
  <c r="AM357" i="1" s="1"/>
  <c r="AO357" i="1"/>
  <c r="V358" i="1"/>
  <c r="AJ358" i="1"/>
  <c r="V359" i="1"/>
  <c r="AJ359" i="1"/>
  <c r="V360" i="1"/>
  <c r="X360" i="1" s="1"/>
  <c r="AC360" i="1" s="1"/>
  <c r="AG360" i="1" s="1"/>
  <c r="AJ360" i="1"/>
  <c r="AL360" i="1" s="1"/>
  <c r="AK360" i="1"/>
  <c r="AM360" i="1" s="1"/>
  <c r="AO360" i="1" s="1"/>
  <c r="V361" i="1"/>
  <c r="X361" i="1" s="1"/>
  <c r="AC361" i="1" s="1"/>
  <c r="AG361" i="1" s="1"/>
  <c r="AJ361" i="1"/>
  <c r="AK361" i="1"/>
  <c r="AM361" i="1" s="1"/>
  <c r="AO361" i="1" s="1"/>
  <c r="AL361" i="1"/>
  <c r="V362" i="1"/>
  <c r="Y362" i="1" s="1"/>
  <c r="AJ362" i="1"/>
  <c r="AK362" i="1" s="1"/>
  <c r="AL362" i="1"/>
  <c r="V363" i="1"/>
  <c r="X363" i="1" s="1"/>
  <c r="AC363" i="1" s="1"/>
  <c r="AG363" i="1" s="1"/>
  <c r="Y363" i="1"/>
  <c r="AJ363" i="1"/>
  <c r="AK363" i="1" s="1"/>
  <c r="AM363" i="1" s="1"/>
  <c r="AO363" i="1" s="1"/>
  <c r="AL363" i="1"/>
  <c r="V364" i="1"/>
  <c r="W364" i="1" s="1"/>
  <c r="AJ364" i="1"/>
  <c r="AL364" i="1" s="1"/>
  <c r="AK364" i="1"/>
  <c r="V365" i="1"/>
  <c r="X365" i="1" s="1"/>
  <c r="AC365" i="1" s="1"/>
  <c r="AG365" i="1" s="1"/>
  <c r="AJ365" i="1"/>
  <c r="AK365" i="1" s="1"/>
  <c r="AM365" i="1"/>
  <c r="AO365" i="1" s="1"/>
  <c r="V366" i="1"/>
  <c r="X366" i="1" s="1"/>
  <c r="AC366" i="1" s="1"/>
  <c r="AG366" i="1" s="1"/>
  <c r="AJ366" i="1"/>
  <c r="AK366" i="1" s="1"/>
  <c r="AM366" i="1" s="1"/>
  <c r="AO366" i="1" s="1"/>
  <c r="AL366" i="1"/>
  <c r="V367" i="1"/>
  <c r="X367" i="1" s="1"/>
  <c r="AC367" i="1" s="1"/>
  <c r="AG367" i="1" s="1"/>
  <c r="W367" i="1"/>
  <c r="AJ367" i="1"/>
  <c r="V368" i="1"/>
  <c r="AJ368" i="1"/>
  <c r="V369" i="1"/>
  <c r="W369" i="1"/>
  <c r="AJ369" i="1"/>
  <c r="AL369" i="1" s="1"/>
  <c r="AK369" i="1"/>
  <c r="AM369" i="1"/>
  <c r="AO369" i="1" s="1"/>
  <c r="V370" i="1"/>
  <c r="AJ370" i="1"/>
  <c r="AL370" i="1" s="1"/>
  <c r="V371" i="1"/>
  <c r="W371" i="1" s="1"/>
  <c r="AJ371" i="1"/>
  <c r="AL371" i="1" s="1"/>
  <c r="V372" i="1"/>
  <c r="X372" i="1" s="1"/>
  <c r="AC372" i="1" s="1"/>
  <c r="AG372" i="1" s="1"/>
  <c r="W372" i="1"/>
  <c r="AJ372" i="1"/>
  <c r="AK372" i="1"/>
  <c r="AM372" i="1" s="1"/>
  <c r="AO372" i="1" s="1"/>
  <c r="AL372" i="1"/>
  <c r="V373" i="1"/>
  <c r="W373" i="1" s="1"/>
  <c r="AJ373" i="1"/>
  <c r="V374" i="1"/>
  <c r="AJ374" i="1"/>
  <c r="AK374" i="1"/>
  <c r="AM374" i="1" s="1"/>
  <c r="AO374" i="1" s="1"/>
  <c r="AL374" i="1"/>
  <c r="V375" i="1"/>
  <c r="W375" i="1" s="1"/>
  <c r="AJ375" i="1"/>
  <c r="V376" i="1"/>
  <c r="W376" i="1" s="1"/>
  <c r="Y376" i="1"/>
  <c r="AJ376" i="1"/>
  <c r="AL376" i="1" s="1"/>
  <c r="AK376" i="1"/>
  <c r="V377" i="1"/>
  <c r="W377" i="1" s="1"/>
  <c r="AJ377" i="1"/>
  <c r="AL377" i="1" s="1"/>
  <c r="V378" i="1"/>
  <c r="W378" i="1"/>
  <c r="AJ378" i="1"/>
  <c r="V379" i="1"/>
  <c r="Y379" i="1" s="1"/>
  <c r="W379" i="1"/>
  <c r="X379" i="1"/>
  <c r="AC379" i="1" s="1"/>
  <c r="AG379" i="1" s="1"/>
  <c r="AJ379" i="1"/>
  <c r="V380" i="1"/>
  <c r="AJ380" i="1"/>
  <c r="AK380" i="1" s="1"/>
  <c r="V381" i="1"/>
  <c r="X381" i="1" s="1"/>
  <c r="AC381" i="1" s="1"/>
  <c r="AG381" i="1" s="1"/>
  <c r="AJ381" i="1"/>
  <c r="V382" i="1"/>
  <c r="W382" i="1" s="1"/>
  <c r="AJ382" i="1"/>
  <c r="V383" i="1"/>
  <c r="X383" i="1" s="1"/>
  <c r="AC383" i="1"/>
  <c r="AG383" i="1" s="1"/>
  <c r="AJ383" i="1"/>
  <c r="AL383" i="1" s="1"/>
  <c r="AK383" i="1"/>
  <c r="V384" i="1"/>
  <c r="AJ384" i="1"/>
  <c r="AK384" i="1" s="1"/>
  <c r="V385" i="1"/>
  <c r="W385" i="1" s="1"/>
  <c r="AJ385" i="1"/>
  <c r="AK385" i="1" s="1"/>
  <c r="V386" i="1"/>
  <c r="X386" i="1" s="1"/>
  <c r="AC386" i="1" s="1"/>
  <c r="AG386" i="1" s="1"/>
  <c r="AJ386" i="1"/>
  <c r="V387" i="1"/>
  <c r="X387" i="1" s="1"/>
  <c r="AC387" i="1" s="1"/>
  <c r="AG387" i="1" s="1"/>
  <c r="AJ387" i="1"/>
  <c r="V388" i="1"/>
  <c r="X388" i="1" s="1"/>
  <c r="AC388" i="1" s="1"/>
  <c r="AG388" i="1" s="1"/>
  <c r="AJ388" i="1"/>
  <c r="AL388" i="1" s="1"/>
  <c r="V389" i="1"/>
  <c r="W389" i="1" s="1"/>
  <c r="AJ389" i="1"/>
  <c r="V390" i="1"/>
  <c r="W390" i="1" s="1"/>
  <c r="AJ390" i="1"/>
  <c r="V391" i="1"/>
  <c r="Y391" i="1" s="1"/>
  <c r="W391" i="1"/>
  <c r="AB391" i="1" s="1"/>
  <c r="AF391" i="1" s="1"/>
  <c r="X391" i="1"/>
  <c r="AC391" i="1" s="1"/>
  <c r="AG391" i="1" s="1"/>
  <c r="AA391" i="1"/>
  <c r="AE391" i="1" s="1"/>
  <c r="AJ391" i="1"/>
  <c r="AL391" i="1" s="1"/>
  <c r="V392" i="1"/>
  <c r="Y392" i="1" s="1"/>
  <c r="W392" i="1"/>
  <c r="AJ392" i="1"/>
  <c r="AL392" i="1"/>
  <c r="V393" i="1"/>
  <c r="AJ393" i="1"/>
  <c r="V394" i="1"/>
  <c r="W394" i="1" s="1"/>
  <c r="AJ394" i="1"/>
  <c r="AK394" i="1" s="1"/>
  <c r="AL394" i="1"/>
  <c r="V395" i="1"/>
  <c r="Y395" i="1" s="1"/>
  <c r="Z395" i="1" s="1"/>
  <c r="AD395" i="1" s="1"/>
  <c r="W395" i="1"/>
  <c r="AB395" i="1" s="1"/>
  <c r="AF395" i="1" s="1"/>
  <c r="X395" i="1"/>
  <c r="AC395" i="1" s="1"/>
  <c r="AG395" i="1" s="1"/>
  <c r="AI395" i="1"/>
  <c r="AJ395" i="1"/>
  <c r="AK395" i="1"/>
  <c r="AL395" i="1"/>
  <c r="V396" i="1"/>
  <c r="Y396" i="1" s="1"/>
  <c r="AJ396" i="1"/>
  <c r="AK396" i="1" s="1"/>
  <c r="V397" i="1"/>
  <c r="X397" i="1" s="1"/>
  <c r="AC397" i="1" s="1"/>
  <c r="AG397" i="1" s="1"/>
  <c r="AJ397" i="1"/>
  <c r="V398" i="1"/>
  <c r="X398" i="1" s="1"/>
  <c r="AC398" i="1" s="1"/>
  <c r="AG398" i="1" s="1"/>
  <c r="W398" i="1"/>
  <c r="Y398" i="1"/>
  <c r="AJ398" i="1"/>
  <c r="V399" i="1"/>
  <c r="W399" i="1" s="1"/>
  <c r="AJ399" i="1"/>
  <c r="AK399" i="1" s="1"/>
  <c r="AL399" i="1"/>
  <c r="V400" i="1"/>
  <c r="Y400" i="1" s="1"/>
  <c r="X400" i="1"/>
  <c r="AC400" i="1"/>
  <c r="AG400" i="1" s="1"/>
  <c r="AJ400" i="1"/>
  <c r="V401" i="1"/>
  <c r="X401" i="1" s="1"/>
  <c r="AC401" i="1" s="1"/>
  <c r="AG401" i="1" s="1"/>
  <c r="AJ401" i="1"/>
  <c r="AK401" i="1" s="1"/>
  <c r="V402" i="1"/>
  <c r="Y402" i="1" s="1"/>
  <c r="AJ402" i="1"/>
  <c r="V403" i="1"/>
  <c r="W403" i="1" s="1"/>
  <c r="AJ403" i="1"/>
  <c r="V404" i="1"/>
  <c r="W404" i="1"/>
  <c r="AJ404" i="1"/>
  <c r="V405" i="1"/>
  <c r="Y405" i="1" s="1"/>
  <c r="AJ405" i="1"/>
  <c r="V406" i="1"/>
  <c r="AJ406" i="1"/>
  <c r="AL406" i="1" s="1"/>
  <c r="V407" i="1"/>
  <c r="X407" i="1" s="1"/>
  <c r="AC407" i="1" s="1"/>
  <c r="AG407" i="1" s="1"/>
  <c r="AJ407" i="1"/>
  <c r="V408" i="1"/>
  <c r="AJ408" i="1"/>
  <c r="AK408" i="1" s="1"/>
  <c r="AL408" i="1"/>
  <c r="AM408" i="1"/>
  <c r="AO408" i="1" s="1"/>
  <c r="V409" i="1"/>
  <c r="X409" i="1" s="1"/>
  <c r="AC409" i="1" s="1"/>
  <c r="AG409" i="1" s="1"/>
  <c r="AJ409" i="1"/>
  <c r="V410" i="1"/>
  <c r="X410" i="1" s="1"/>
  <c r="AC410" i="1" s="1"/>
  <c r="AG410" i="1"/>
  <c r="AJ410" i="1"/>
  <c r="AL410" i="1" s="1"/>
  <c r="V411" i="1"/>
  <c r="W411" i="1" s="1"/>
  <c r="AJ411" i="1"/>
  <c r="AL411" i="1" s="1"/>
  <c r="AK411" i="1"/>
  <c r="AM411" i="1" s="1"/>
  <c r="AO411" i="1" s="1"/>
  <c r="V412" i="1"/>
  <c r="W412" i="1"/>
  <c r="AJ412" i="1"/>
  <c r="AK412" i="1" s="1"/>
  <c r="AL412" i="1"/>
  <c r="V413" i="1"/>
  <c r="Y413" i="1" s="1"/>
  <c r="X413" i="1"/>
  <c r="AC413" i="1" s="1"/>
  <c r="AG413" i="1" s="1"/>
  <c r="AJ413" i="1"/>
  <c r="AK413" i="1" s="1"/>
  <c r="AM413" i="1" s="1"/>
  <c r="AO413" i="1" s="1"/>
  <c r="AL413" i="1"/>
  <c r="V414" i="1"/>
  <c r="W414" i="1"/>
  <c r="X414" i="1"/>
  <c r="AC414" i="1" s="1"/>
  <c r="AG414" i="1" s="1"/>
  <c r="Y414" i="1"/>
  <c r="Z414" i="1" s="1"/>
  <c r="AD414" i="1" s="1"/>
  <c r="AJ414" i="1"/>
  <c r="AK414" i="1" s="1"/>
  <c r="V415" i="1"/>
  <c r="Y415" i="1" s="1"/>
  <c r="AJ415" i="1"/>
  <c r="AK415" i="1" s="1"/>
  <c r="V416" i="1"/>
  <c r="X416" i="1" s="1"/>
  <c r="AC416" i="1" s="1"/>
  <c r="AG416" i="1" s="1"/>
  <c r="AJ416" i="1"/>
  <c r="AK416" i="1"/>
  <c r="AL416" i="1"/>
  <c r="AM416" i="1"/>
  <c r="AO416" i="1" s="1"/>
  <c r="V417" i="1"/>
  <c r="Y417" i="1" s="1"/>
  <c r="AJ417" i="1"/>
  <c r="AK417" i="1" s="1"/>
  <c r="V418" i="1"/>
  <c r="Y418" i="1" s="1"/>
  <c r="X418" i="1"/>
  <c r="AC418" i="1" s="1"/>
  <c r="AG418" i="1" s="1"/>
  <c r="AJ418" i="1"/>
  <c r="AK418" i="1" s="1"/>
  <c r="AL418" i="1"/>
  <c r="V419" i="1"/>
  <c r="W419" i="1" s="1"/>
  <c r="AJ419" i="1"/>
  <c r="AL419" i="1" s="1"/>
  <c r="AK419" i="1"/>
  <c r="AM419" i="1" s="1"/>
  <c r="AO419" i="1" s="1"/>
  <c r="V420" i="1"/>
  <c r="X420" i="1" s="1"/>
  <c r="AJ420" i="1"/>
  <c r="V421" i="1"/>
  <c r="W421" i="1"/>
  <c r="AJ421" i="1"/>
  <c r="V422" i="1"/>
  <c r="Y422" i="1" s="1"/>
  <c r="X422" i="1"/>
  <c r="AC422" i="1" s="1"/>
  <c r="AG422" i="1" s="1"/>
  <c r="AJ422" i="1"/>
  <c r="AL422" i="1" s="1"/>
  <c r="V423" i="1"/>
  <c r="W423" i="1" s="1"/>
  <c r="AJ423" i="1"/>
  <c r="AL423" i="1" s="1"/>
  <c r="V424" i="1"/>
  <c r="W424" i="1" s="1"/>
  <c r="AJ424" i="1"/>
  <c r="V425" i="1"/>
  <c r="AJ425" i="1"/>
  <c r="AK425" i="1" s="1"/>
  <c r="V426" i="1"/>
  <c r="W426" i="1" s="1"/>
  <c r="AJ426" i="1"/>
  <c r="AL426" i="1"/>
  <c r="V427" i="1"/>
  <c r="Y427" i="1" s="1"/>
  <c r="W427" i="1"/>
  <c r="AB427" i="1" s="1"/>
  <c r="AF427" i="1" s="1"/>
  <c r="X427" i="1"/>
  <c r="AC427" i="1" s="1"/>
  <c r="AG427" i="1" s="1"/>
  <c r="Z427" i="1"/>
  <c r="AD427" i="1" s="1"/>
  <c r="AJ427" i="1"/>
  <c r="AK427" i="1" s="1"/>
  <c r="AM427" i="1" s="1"/>
  <c r="AO427" i="1" s="1"/>
  <c r="V428" i="1"/>
  <c r="W428" i="1" s="1"/>
  <c r="AJ428" i="1"/>
  <c r="V429" i="1"/>
  <c r="W429" i="1" s="1"/>
  <c r="AJ429" i="1"/>
  <c r="AL429" i="1" s="1"/>
  <c r="AK429" i="1"/>
  <c r="AM429" i="1" s="1"/>
  <c r="AO429" i="1" s="1"/>
  <c r="V430" i="1"/>
  <c r="Y430" i="1" s="1"/>
  <c r="AJ430" i="1"/>
  <c r="AK430" i="1" s="1"/>
  <c r="AM430" i="1"/>
  <c r="AO430" i="1" s="1"/>
  <c r="V431" i="1"/>
  <c r="W431" i="1" s="1"/>
  <c r="Y431" i="1"/>
  <c r="AA431" i="1" s="1"/>
  <c r="AE431" i="1" s="1"/>
  <c r="AJ431" i="1"/>
  <c r="AK431" i="1" s="1"/>
  <c r="V432" i="1"/>
  <c r="AJ432" i="1"/>
  <c r="AL432" i="1" s="1"/>
  <c r="AK432" i="1"/>
  <c r="V433" i="1"/>
  <c r="X433" i="1"/>
  <c r="AC433" i="1"/>
  <c r="AG433" i="1"/>
  <c r="AJ433" i="1"/>
  <c r="V434" i="1"/>
  <c r="X434" i="1" s="1"/>
  <c r="AC434" i="1" s="1"/>
  <c r="AG434" i="1" s="1"/>
  <c r="AJ434" i="1"/>
  <c r="AK434" i="1" s="1"/>
  <c r="V435" i="1"/>
  <c r="AJ435" i="1"/>
  <c r="V436" i="1"/>
  <c r="W436" i="1" s="1"/>
  <c r="Y436" i="1"/>
  <c r="AA436" i="1" s="1"/>
  <c r="AE436" i="1" s="1"/>
  <c r="AJ436" i="1"/>
  <c r="AL436" i="1"/>
  <c r="V437" i="1"/>
  <c r="X437" i="1" s="1"/>
  <c r="AC437" i="1" s="1"/>
  <c r="AG437" i="1" s="1"/>
  <c r="AJ437" i="1"/>
  <c r="AK437" i="1" s="1"/>
  <c r="AM437" i="1"/>
  <c r="AO437" i="1" s="1"/>
  <c r="V438" i="1"/>
  <c r="Y438" i="1" s="1"/>
  <c r="X438" i="1"/>
  <c r="AC438" i="1" s="1"/>
  <c r="AG438" i="1" s="1"/>
  <c r="AJ438" i="1"/>
  <c r="AK438" i="1" s="1"/>
  <c r="AL438" i="1"/>
  <c r="AM438" i="1"/>
  <c r="AO438" i="1" s="1"/>
  <c r="V439" i="1"/>
  <c r="W439" i="1" s="1"/>
  <c r="AJ439" i="1"/>
  <c r="AL439" i="1" s="1"/>
  <c r="AK439" i="1"/>
  <c r="AM439" i="1"/>
  <c r="AO439" i="1" s="1"/>
  <c r="V440" i="1"/>
  <c r="X440" i="1" s="1"/>
  <c r="AC440" i="1" s="1"/>
  <c r="AG440" i="1" s="1"/>
  <c r="AJ440" i="1"/>
  <c r="AL440" i="1" s="1"/>
  <c r="AK440" i="1"/>
  <c r="V441" i="1"/>
  <c r="W441" i="1" s="1"/>
  <c r="X441" i="1"/>
  <c r="AC441" i="1" s="1"/>
  <c r="AG441" i="1" s="1"/>
  <c r="AJ441" i="1"/>
  <c r="AK441" i="1" s="1"/>
  <c r="V442" i="1"/>
  <c r="W442" i="1" s="1"/>
  <c r="AJ442" i="1"/>
  <c r="V443" i="1"/>
  <c r="W443" i="1" s="1"/>
  <c r="X443" i="1"/>
  <c r="AC443" i="1" s="1"/>
  <c r="AG443" i="1" s="1"/>
  <c r="Y443" i="1"/>
  <c r="AJ443" i="1"/>
  <c r="AK443" i="1" s="1"/>
  <c r="V444" i="1"/>
  <c r="AJ444" i="1"/>
  <c r="AK444" i="1" s="1"/>
  <c r="AM444" i="1" s="1"/>
  <c r="AO444" i="1" s="1"/>
  <c r="AL444" i="1"/>
  <c r="V445" i="1"/>
  <c r="W445" i="1" s="1"/>
  <c r="AJ445" i="1"/>
  <c r="AL445" i="1" s="1"/>
  <c r="V446" i="1"/>
  <c r="W446" i="1"/>
  <c r="X446" i="1"/>
  <c r="AC446" i="1" s="1"/>
  <c r="AG446" i="1" s="1"/>
  <c r="Y446" i="1"/>
  <c r="Z446" i="1" s="1"/>
  <c r="AD446" i="1" s="1"/>
  <c r="AA446" i="1"/>
  <c r="AE446" i="1" s="1"/>
  <c r="AJ446" i="1"/>
  <c r="AL446" i="1" s="1"/>
  <c r="V447" i="1"/>
  <c r="AJ447" i="1"/>
  <c r="AL447" i="1" s="1"/>
  <c r="V448" i="1"/>
  <c r="X448" i="1" s="1"/>
  <c r="AC448" i="1" s="1"/>
  <c r="AG448" i="1" s="1"/>
  <c r="W448" i="1"/>
  <c r="Y448" i="1"/>
  <c r="AA448" i="1" s="1"/>
  <c r="AE448" i="1" s="1"/>
  <c r="AJ448" i="1"/>
  <c r="AL448" i="1" s="1"/>
  <c r="AK448" i="1"/>
  <c r="V449" i="1"/>
  <c r="X449" i="1" s="1"/>
  <c r="AJ449" i="1"/>
  <c r="AM449" i="1" s="1"/>
  <c r="AO449" i="1" s="1"/>
  <c r="AK449" i="1"/>
  <c r="AL449" i="1"/>
  <c r="V450" i="1"/>
  <c r="AJ450" i="1"/>
  <c r="AK450" i="1" s="1"/>
  <c r="AM450" i="1" s="1"/>
  <c r="AO450" i="1" s="1"/>
  <c r="AL450" i="1"/>
  <c r="V451" i="1"/>
  <c r="W451" i="1" s="1"/>
  <c r="AJ451" i="1"/>
  <c r="AK451" i="1"/>
  <c r="V452" i="1"/>
  <c r="W452" i="1" s="1"/>
  <c r="AJ452" i="1"/>
  <c r="AL452" i="1"/>
  <c r="V453" i="1"/>
  <c r="AJ453" i="1"/>
  <c r="AL453" i="1" s="1"/>
  <c r="AK453" i="1"/>
  <c r="V454" i="1"/>
  <c r="W454" i="1" s="1"/>
  <c r="Y454" i="1"/>
  <c r="AJ454" i="1"/>
  <c r="AL454" i="1" s="1"/>
  <c r="V455" i="1"/>
  <c r="X455" i="1" s="1"/>
  <c r="W455" i="1"/>
  <c r="Y455" i="1"/>
  <c r="AA455" i="1"/>
  <c r="AE455" i="1" s="1"/>
  <c r="AJ455" i="1"/>
  <c r="AK455" i="1" s="1"/>
  <c r="AM455" i="1" s="1"/>
  <c r="AO455" i="1" s="1"/>
  <c r="V456" i="1"/>
  <c r="AJ456" i="1"/>
  <c r="AK456" i="1" s="1"/>
  <c r="V457" i="1"/>
  <c r="W457" i="1" s="1"/>
  <c r="AJ457" i="1"/>
  <c r="AK457" i="1" s="1"/>
  <c r="AL457" i="1"/>
  <c r="V458" i="1"/>
  <c r="X458" i="1" s="1"/>
  <c r="W458" i="1"/>
  <c r="AJ458" i="1"/>
  <c r="AK458" i="1" s="1"/>
  <c r="AM458" i="1" s="1"/>
  <c r="AO458" i="1" s="1"/>
  <c r="T413" i="1"/>
  <c r="U413" i="1"/>
  <c r="T414" i="1"/>
  <c r="U414" i="1"/>
  <c r="T415" i="1"/>
  <c r="U415" i="1"/>
  <c r="T416" i="1"/>
  <c r="U416" i="1"/>
  <c r="T417" i="1"/>
  <c r="U417" i="1"/>
  <c r="T418" i="1"/>
  <c r="U418" i="1"/>
  <c r="T419" i="1"/>
  <c r="U419" i="1"/>
  <c r="T420" i="1"/>
  <c r="U420" i="1"/>
  <c r="T421" i="1"/>
  <c r="U421" i="1"/>
  <c r="T422" i="1"/>
  <c r="U422" i="1"/>
  <c r="T423" i="1"/>
  <c r="U423" i="1"/>
  <c r="T424" i="1"/>
  <c r="U424" i="1"/>
  <c r="T425" i="1"/>
  <c r="U425" i="1"/>
  <c r="T426" i="1"/>
  <c r="U426" i="1"/>
  <c r="T427" i="1"/>
  <c r="U427" i="1"/>
  <c r="T428" i="1"/>
  <c r="U428" i="1"/>
  <c r="T429" i="1"/>
  <c r="U429" i="1"/>
  <c r="T430" i="1"/>
  <c r="U430" i="1"/>
  <c r="T431" i="1"/>
  <c r="U431" i="1"/>
  <c r="T432" i="1"/>
  <c r="U432" i="1"/>
  <c r="T433" i="1"/>
  <c r="U433" i="1"/>
  <c r="T434" i="1"/>
  <c r="U434" i="1"/>
  <c r="T435" i="1"/>
  <c r="U435" i="1"/>
  <c r="T436" i="1"/>
  <c r="U436" i="1"/>
  <c r="T437" i="1"/>
  <c r="U437" i="1"/>
  <c r="T438" i="1"/>
  <c r="U438" i="1"/>
  <c r="T439" i="1"/>
  <c r="U439" i="1"/>
  <c r="T440" i="1"/>
  <c r="U440" i="1"/>
  <c r="T441" i="1"/>
  <c r="U441" i="1"/>
  <c r="T442" i="1"/>
  <c r="U442" i="1"/>
  <c r="T443" i="1"/>
  <c r="U443" i="1"/>
  <c r="T444" i="1"/>
  <c r="U444" i="1"/>
  <c r="T445" i="1"/>
  <c r="U445" i="1"/>
  <c r="T446" i="1"/>
  <c r="U446" i="1"/>
  <c r="T447" i="1"/>
  <c r="U447" i="1"/>
  <c r="T448" i="1"/>
  <c r="U448" i="1"/>
  <c r="T449" i="1"/>
  <c r="U449" i="1"/>
  <c r="T450" i="1"/>
  <c r="U450" i="1"/>
  <c r="T451" i="1"/>
  <c r="U451" i="1"/>
  <c r="T452" i="1"/>
  <c r="U452" i="1"/>
  <c r="T453" i="1"/>
  <c r="U453" i="1"/>
  <c r="T454" i="1"/>
  <c r="U454" i="1"/>
  <c r="T455" i="1"/>
  <c r="U455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T318" i="1"/>
  <c r="U318" i="1"/>
  <c r="T319" i="1"/>
  <c r="U319" i="1"/>
  <c r="T320" i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U330" i="1"/>
  <c r="T331" i="1"/>
  <c r="U331" i="1"/>
  <c r="T332" i="1"/>
  <c r="U332" i="1"/>
  <c r="T333" i="1"/>
  <c r="U333" i="1"/>
  <c r="T334" i="1"/>
  <c r="U334" i="1"/>
  <c r="T335" i="1"/>
  <c r="U335" i="1"/>
  <c r="T336" i="1"/>
  <c r="U336" i="1"/>
  <c r="T337" i="1"/>
  <c r="U337" i="1"/>
  <c r="T338" i="1"/>
  <c r="U338" i="1"/>
  <c r="T339" i="1"/>
  <c r="U339" i="1"/>
  <c r="T340" i="1"/>
  <c r="U340" i="1"/>
  <c r="T341" i="1"/>
  <c r="U341" i="1"/>
  <c r="T342" i="1"/>
  <c r="U342" i="1"/>
  <c r="T343" i="1"/>
  <c r="U343" i="1"/>
  <c r="T344" i="1"/>
  <c r="U344" i="1"/>
  <c r="T345" i="1"/>
  <c r="U345" i="1"/>
  <c r="T346" i="1"/>
  <c r="U346" i="1"/>
  <c r="T347" i="1"/>
  <c r="U347" i="1"/>
  <c r="T348" i="1"/>
  <c r="U348" i="1"/>
  <c r="T349" i="1"/>
  <c r="U349" i="1"/>
  <c r="T350" i="1"/>
  <c r="U350" i="1"/>
  <c r="T351" i="1"/>
  <c r="U351" i="1"/>
  <c r="T352" i="1"/>
  <c r="U352" i="1"/>
  <c r="T353" i="1"/>
  <c r="U353" i="1"/>
  <c r="T354" i="1"/>
  <c r="U354" i="1"/>
  <c r="T355" i="1"/>
  <c r="U355" i="1"/>
  <c r="T356" i="1"/>
  <c r="U356" i="1"/>
  <c r="T357" i="1"/>
  <c r="U357" i="1"/>
  <c r="T358" i="1"/>
  <c r="U358" i="1"/>
  <c r="T359" i="1"/>
  <c r="U359" i="1"/>
  <c r="T360" i="1"/>
  <c r="U360" i="1"/>
  <c r="T361" i="1"/>
  <c r="U361" i="1"/>
  <c r="T362" i="1"/>
  <c r="U362" i="1"/>
  <c r="T363" i="1"/>
  <c r="U363" i="1"/>
  <c r="T364" i="1"/>
  <c r="U364" i="1"/>
  <c r="T365" i="1"/>
  <c r="U365" i="1"/>
  <c r="T366" i="1"/>
  <c r="U366" i="1"/>
  <c r="T367" i="1"/>
  <c r="U367" i="1"/>
  <c r="T368" i="1"/>
  <c r="U368" i="1"/>
  <c r="T369" i="1"/>
  <c r="U369" i="1"/>
  <c r="T370" i="1"/>
  <c r="U370" i="1"/>
  <c r="T371" i="1"/>
  <c r="U371" i="1"/>
  <c r="T372" i="1"/>
  <c r="U372" i="1"/>
  <c r="T373" i="1"/>
  <c r="U373" i="1"/>
  <c r="T374" i="1"/>
  <c r="U374" i="1"/>
  <c r="T375" i="1"/>
  <c r="U375" i="1"/>
  <c r="T376" i="1"/>
  <c r="U376" i="1"/>
  <c r="T377" i="1"/>
  <c r="U377" i="1"/>
  <c r="T378" i="1"/>
  <c r="U378" i="1"/>
  <c r="T379" i="1"/>
  <c r="U379" i="1"/>
  <c r="T380" i="1"/>
  <c r="U380" i="1"/>
  <c r="T381" i="1"/>
  <c r="U381" i="1"/>
  <c r="T382" i="1"/>
  <c r="U382" i="1"/>
  <c r="T383" i="1"/>
  <c r="U383" i="1"/>
  <c r="T384" i="1"/>
  <c r="U384" i="1"/>
  <c r="T385" i="1"/>
  <c r="U385" i="1"/>
  <c r="T386" i="1"/>
  <c r="U386" i="1"/>
  <c r="T387" i="1"/>
  <c r="U387" i="1"/>
  <c r="T388" i="1"/>
  <c r="U388" i="1"/>
  <c r="T389" i="1"/>
  <c r="U389" i="1"/>
  <c r="T390" i="1"/>
  <c r="U390" i="1"/>
  <c r="T391" i="1"/>
  <c r="U391" i="1"/>
  <c r="T392" i="1"/>
  <c r="U392" i="1"/>
  <c r="T393" i="1"/>
  <c r="U393" i="1"/>
  <c r="T394" i="1"/>
  <c r="U394" i="1"/>
  <c r="T395" i="1"/>
  <c r="U395" i="1"/>
  <c r="T396" i="1"/>
  <c r="U396" i="1"/>
  <c r="T397" i="1"/>
  <c r="U397" i="1"/>
  <c r="T398" i="1"/>
  <c r="U398" i="1"/>
  <c r="T399" i="1"/>
  <c r="U399" i="1"/>
  <c r="T400" i="1"/>
  <c r="U400" i="1"/>
  <c r="T401" i="1"/>
  <c r="U401" i="1"/>
  <c r="T402" i="1"/>
  <c r="U402" i="1"/>
  <c r="T403" i="1"/>
  <c r="U403" i="1"/>
  <c r="T404" i="1"/>
  <c r="U404" i="1"/>
  <c r="T405" i="1"/>
  <c r="U405" i="1"/>
  <c r="T406" i="1"/>
  <c r="U406" i="1"/>
  <c r="T407" i="1"/>
  <c r="U407" i="1"/>
  <c r="T408" i="1"/>
  <c r="U408" i="1"/>
  <c r="T409" i="1"/>
  <c r="U409" i="1"/>
  <c r="T410" i="1"/>
  <c r="U410" i="1"/>
  <c r="T411" i="1"/>
  <c r="U411" i="1"/>
  <c r="T412" i="1"/>
  <c r="U412" i="1"/>
  <c r="T456" i="1"/>
  <c r="U456" i="1"/>
  <c r="T457" i="1"/>
  <c r="U457" i="1"/>
  <c r="T458" i="1"/>
  <c r="U458" i="1"/>
  <c r="AI367" i="1" l="1"/>
  <c r="AB399" i="1"/>
  <c r="AF399" i="1" s="1"/>
  <c r="Z345" i="1"/>
  <c r="AD345" i="1" s="1"/>
  <c r="Y457" i="1"/>
  <c r="W440" i="1"/>
  <c r="AB440" i="1" s="1"/>
  <c r="AF440" i="1" s="1"/>
  <c r="Y428" i="1"/>
  <c r="W400" i="1"/>
  <c r="AI400" i="1" s="1"/>
  <c r="W366" i="1"/>
  <c r="AB366" i="1" s="1"/>
  <c r="AF366" i="1" s="1"/>
  <c r="Y354" i="1"/>
  <c r="W331" i="1"/>
  <c r="AA331" i="1" s="1"/>
  <c r="AE331" i="1" s="1"/>
  <c r="W322" i="1"/>
  <c r="AA322" i="1" s="1"/>
  <c r="AE322" i="1" s="1"/>
  <c r="W315" i="1"/>
  <c r="W297" i="1"/>
  <c r="AI297" i="1" s="1"/>
  <c r="AL734" i="1"/>
  <c r="X724" i="1"/>
  <c r="AM715" i="1"/>
  <c r="AO715" i="1" s="1"/>
  <c r="W696" i="1"/>
  <c r="AB696" i="1" s="1"/>
  <c r="AF696" i="1" s="1"/>
  <c r="X681" i="1"/>
  <c r="AC681" i="1" s="1"/>
  <c r="AG681" i="1" s="1"/>
  <c r="W656" i="1"/>
  <c r="AI398" i="1"/>
  <c r="AA319" i="1"/>
  <c r="AE319" i="1" s="1"/>
  <c r="Y452" i="1"/>
  <c r="AA452" i="1" s="1"/>
  <c r="AE452" i="1" s="1"/>
  <c r="AK447" i="1"/>
  <c r="AM447" i="1" s="1"/>
  <c r="AO447" i="1" s="1"/>
  <c r="X428" i="1"/>
  <c r="AC428" i="1" s="1"/>
  <c r="AG428" i="1" s="1"/>
  <c r="AL415" i="1"/>
  <c r="X392" i="1"/>
  <c r="AC392" i="1" s="1"/>
  <c r="AG392" i="1" s="1"/>
  <c r="Y386" i="1"/>
  <c r="W354" i="1"/>
  <c r="AA354" i="1" s="1"/>
  <c r="AE354" i="1" s="1"/>
  <c r="Y327" i="1"/>
  <c r="Z327" i="1" s="1"/>
  <c r="AD327" i="1" s="1"/>
  <c r="AM728" i="1"/>
  <c r="AO728" i="1" s="1"/>
  <c r="X715" i="1"/>
  <c r="AC715" i="1" s="1"/>
  <c r="AG715" i="1" s="1"/>
  <c r="Y706" i="1"/>
  <c r="AA706" i="1" s="1"/>
  <c r="AE706" i="1" s="1"/>
  <c r="AL624" i="1"/>
  <c r="AL458" i="1"/>
  <c r="AM456" i="1"/>
  <c r="AO456" i="1" s="1"/>
  <c r="X454" i="1"/>
  <c r="AI454" i="1" s="1"/>
  <c r="AM441" i="1"/>
  <c r="AO441" i="1" s="1"/>
  <c r="AL437" i="1"/>
  <c r="AM434" i="1"/>
  <c r="AO434" i="1" s="1"/>
  <c r="W413" i="1"/>
  <c r="AA413" i="1" s="1"/>
  <c r="X402" i="1"/>
  <c r="AC402" i="1" s="1"/>
  <c r="AG402" i="1" s="1"/>
  <c r="Y389" i="1"/>
  <c r="AL365" i="1"/>
  <c r="W363" i="1"/>
  <c r="Y356" i="1"/>
  <c r="AA356" i="1" s="1"/>
  <c r="AE356" i="1" s="1"/>
  <c r="AL353" i="1"/>
  <c r="W345" i="1"/>
  <c r="AI345" i="1" s="1"/>
  <c r="Z333" i="1"/>
  <c r="AD333" i="1" s="1"/>
  <c r="X310" i="1"/>
  <c r="Y307" i="1"/>
  <c r="AA307" i="1" s="1"/>
  <c r="AE307" i="1" s="1"/>
  <c r="AM304" i="1"/>
  <c r="AO304" i="1" s="1"/>
  <c r="X299" i="1"/>
  <c r="AC299" i="1" s="1"/>
  <c r="AG299" i="1" s="1"/>
  <c r="AM730" i="1"/>
  <c r="AO730" i="1" s="1"/>
  <c r="AL714" i="1"/>
  <c r="AM658" i="1"/>
  <c r="AO658" i="1" s="1"/>
  <c r="AL644" i="1"/>
  <c r="AL456" i="1"/>
  <c r="AL441" i="1"/>
  <c r="AL434" i="1"/>
  <c r="AL417" i="1"/>
  <c r="X415" i="1"/>
  <c r="AC415" i="1" s="1"/>
  <c r="AG415" i="1" s="1"/>
  <c r="X389" i="1"/>
  <c r="AC389" i="1" s="1"/>
  <c r="AG389" i="1" s="1"/>
  <c r="Y360" i="1"/>
  <c r="Z360" i="1" s="1"/>
  <c r="AD360" i="1" s="1"/>
  <c r="X356" i="1"/>
  <c r="W333" i="1"/>
  <c r="W310" i="1"/>
  <c r="AB310" i="1" s="1"/>
  <c r="AF310" i="1" s="1"/>
  <c r="AK304" i="1"/>
  <c r="AM300" i="1"/>
  <c r="AO300" i="1" s="1"/>
  <c r="W299" i="1"/>
  <c r="AK733" i="1"/>
  <c r="AM733" i="1" s="1"/>
  <c r="AO733" i="1" s="1"/>
  <c r="AL722" i="1"/>
  <c r="AM720" i="1"/>
  <c r="AO720" i="1" s="1"/>
  <c r="X717" i="1"/>
  <c r="AC717" i="1" s="1"/>
  <c r="AG717" i="1" s="1"/>
  <c r="AK711" i="1"/>
  <c r="AM711" i="1" s="1"/>
  <c r="AO711" i="1" s="1"/>
  <c r="X702" i="1"/>
  <c r="AC702" i="1" s="1"/>
  <c r="AG702" i="1" s="1"/>
  <c r="AM698" i="1"/>
  <c r="AO698" i="1" s="1"/>
  <c r="W695" i="1"/>
  <c r="AM661" i="1"/>
  <c r="AO661" i="1" s="1"/>
  <c r="AA325" i="1"/>
  <c r="AE325" i="1" s="1"/>
  <c r="Y451" i="1"/>
  <c r="AA451" i="1" s="1"/>
  <c r="AE451" i="1" s="1"/>
  <c r="W449" i="1"/>
  <c r="AB449" i="1" s="1"/>
  <c r="AF449" i="1" s="1"/>
  <c r="Y437" i="1"/>
  <c r="Z437" i="1" s="1"/>
  <c r="AD437" i="1" s="1"/>
  <c r="AM431" i="1"/>
  <c r="AO431" i="1" s="1"/>
  <c r="W415" i="1"/>
  <c r="AB415" i="1" s="1"/>
  <c r="AF415" i="1" s="1"/>
  <c r="AM412" i="1"/>
  <c r="AO412" i="1" s="1"/>
  <c r="W410" i="1"/>
  <c r="AB410" i="1" s="1"/>
  <c r="AF410" i="1" s="1"/>
  <c r="Y399" i="1"/>
  <c r="AM394" i="1"/>
  <c r="AO394" i="1" s="1"/>
  <c r="AM384" i="1"/>
  <c r="AO384" i="1" s="1"/>
  <c r="X350" i="1"/>
  <c r="AC350" i="1" s="1"/>
  <c r="AG350" i="1" s="1"/>
  <c r="X341" i="1"/>
  <c r="AC341" i="1" s="1"/>
  <c r="AG341" i="1" s="1"/>
  <c r="AB307" i="1"/>
  <c r="AF307" i="1" s="1"/>
  <c r="W717" i="1"/>
  <c r="Z717" i="1" s="1"/>
  <c r="X708" i="1"/>
  <c r="AC708" i="1" s="1"/>
  <c r="AG708" i="1" s="1"/>
  <c r="X705" i="1"/>
  <c r="AC705" i="1" s="1"/>
  <c r="AG705" i="1" s="1"/>
  <c r="W702" i="1"/>
  <c r="AA702" i="1" s="1"/>
  <c r="AE702" i="1" s="1"/>
  <c r="Y687" i="1"/>
  <c r="AA687" i="1" s="1"/>
  <c r="AE687" i="1" s="1"/>
  <c r="X665" i="1"/>
  <c r="AC665" i="1" s="1"/>
  <c r="AG665" i="1" s="1"/>
  <c r="X651" i="1"/>
  <c r="AC651" i="1" s="1"/>
  <c r="AG651" i="1" s="1"/>
  <c r="X641" i="1"/>
  <c r="AB458" i="1"/>
  <c r="AF458" i="1" s="1"/>
  <c r="Y458" i="1"/>
  <c r="X451" i="1"/>
  <c r="AK446" i="1"/>
  <c r="AM446" i="1" s="1"/>
  <c r="AL443" i="1"/>
  <c r="W437" i="1"/>
  <c r="AL431" i="1"/>
  <c r="Y420" i="1"/>
  <c r="X417" i="1"/>
  <c r="AC417" i="1" s="1"/>
  <c r="AG417" i="1" s="1"/>
  <c r="W405" i="1"/>
  <c r="X399" i="1"/>
  <c r="AC399" i="1" s="1"/>
  <c r="AG399" i="1" s="1"/>
  <c r="W396" i="1"/>
  <c r="AL355" i="1"/>
  <c r="W350" i="1"/>
  <c r="Z350" i="1" s="1"/>
  <c r="X329" i="1"/>
  <c r="AC329" i="1" s="1"/>
  <c r="AG329" i="1" s="1"/>
  <c r="Y736" i="1"/>
  <c r="AK727" i="1"/>
  <c r="AM727" i="1" s="1"/>
  <c r="AO727" i="1" s="1"/>
  <c r="AL724" i="1"/>
  <c r="W708" i="1"/>
  <c r="AB708" i="1" s="1"/>
  <c r="AF708" i="1" s="1"/>
  <c r="W705" i="1"/>
  <c r="AB705" i="1" s="1"/>
  <c r="AF705" i="1" s="1"/>
  <c r="AK694" i="1"/>
  <c r="W687" i="1"/>
  <c r="AM667" i="1"/>
  <c r="AO667" i="1" s="1"/>
  <c r="W665" i="1"/>
  <c r="AI665" i="1" s="1"/>
  <c r="AM657" i="1"/>
  <c r="AO657" i="1" s="1"/>
  <c r="AK653" i="1"/>
  <c r="AM653" i="1" s="1"/>
  <c r="AO653" i="1" s="1"/>
  <c r="W651" i="1"/>
  <c r="Y644" i="1"/>
  <c r="AI644" i="1" s="1"/>
  <c r="AI379" i="1"/>
  <c r="AM453" i="1"/>
  <c r="AO453" i="1" s="1"/>
  <c r="Y441" i="1"/>
  <c r="AA441" i="1" s="1"/>
  <c r="AE441" i="1" s="1"/>
  <c r="W434" i="1"/>
  <c r="AI434" i="1" s="1"/>
  <c r="W420" i="1"/>
  <c r="AI420" i="1" s="1"/>
  <c r="Y367" i="1"/>
  <c r="W362" i="1"/>
  <c r="X334" i="1"/>
  <c r="AC334" i="1" s="1"/>
  <c r="AG334" i="1" s="1"/>
  <c r="W329" i="1"/>
  <c r="X323" i="1"/>
  <c r="AC323" i="1" s="1"/>
  <c r="AG323" i="1" s="1"/>
  <c r="W736" i="1"/>
  <c r="Y730" i="1"/>
  <c r="Z730" i="1" s="1"/>
  <c r="AD730" i="1" s="1"/>
  <c r="AK674" i="1"/>
  <c r="AM674" i="1" s="1"/>
  <c r="AO674" i="1" s="1"/>
  <c r="Y671" i="1"/>
  <c r="AA671" i="1" s="1"/>
  <c r="AE671" i="1" s="1"/>
  <c r="AL667" i="1"/>
  <c r="AL657" i="1"/>
  <c r="AM640" i="1"/>
  <c r="AO640" i="1" s="1"/>
  <c r="AK705" i="1"/>
  <c r="AM705" i="1" s="1"/>
  <c r="AO705" i="1" s="1"/>
  <c r="AL705" i="1"/>
  <c r="Y647" i="1"/>
  <c r="W647" i="1"/>
  <c r="AB647" i="1" s="1"/>
  <c r="AF647" i="1" s="1"/>
  <c r="X647" i="1"/>
  <c r="AC647" i="1" s="1"/>
  <c r="AG647" i="1" s="1"/>
  <c r="W355" i="1"/>
  <c r="AA355" i="1" s="1"/>
  <c r="AE355" i="1" s="1"/>
  <c r="X355" i="1"/>
  <c r="AC355" i="1" s="1"/>
  <c r="AG355" i="1" s="1"/>
  <c r="Y355" i="1"/>
  <c r="W432" i="1"/>
  <c r="AI432" i="1" s="1"/>
  <c r="X432" i="1"/>
  <c r="AC432" i="1" s="1"/>
  <c r="AG432" i="1" s="1"/>
  <c r="Y432" i="1"/>
  <c r="W444" i="1"/>
  <c r="X444" i="1"/>
  <c r="AC444" i="1" s="1"/>
  <c r="AG444" i="1" s="1"/>
  <c r="Y444" i="1"/>
  <c r="Z334" i="1"/>
  <c r="AD334" i="1" s="1"/>
  <c r="AA334" i="1"/>
  <c r="AE334" i="1" s="1"/>
  <c r="AM679" i="1"/>
  <c r="AO679" i="1" s="1"/>
  <c r="AC449" i="1"/>
  <c r="AG449" i="1" s="1"/>
  <c r="AL315" i="1"/>
  <c r="AK315" i="1"/>
  <c r="AM315" i="1" s="1"/>
  <c r="AO315" i="1" s="1"/>
  <c r="Z666" i="1"/>
  <c r="AD666" i="1" s="1"/>
  <c r="Z441" i="1"/>
  <c r="AD441" i="1" s="1"/>
  <c r="X357" i="1"/>
  <c r="AC357" i="1" s="1"/>
  <c r="AG357" i="1" s="1"/>
  <c r="W357" i="1"/>
  <c r="Y357" i="1"/>
  <c r="W328" i="1"/>
  <c r="X328" i="1"/>
  <c r="AC328" i="1" s="1"/>
  <c r="AG328" i="1" s="1"/>
  <c r="Y328" i="1"/>
  <c r="AA454" i="1"/>
  <c r="AE454" i="1" s="1"/>
  <c r="Z454" i="1"/>
  <c r="AD454" i="1" s="1"/>
  <c r="AM356" i="1"/>
  <c r="AO356" i="1" s="1"/>
  <c r="AB441" i="1"/>
  <c r="AF441" i="1" s="1"/>
  <c r="AC420" i="1"/>
  <c r="AG420" i="1" s="1"/>
  <c r="AK428" i="1"/>
  <c r="AL428" i="1"/>
  <c r="AM428" i="1"/>
  <c r="AO428" i="1" s="1"/>
  <c r="W339" i="1"/>
  <c r="X339" i="1"/>
  <c r="AC339" i="1" s="1"/>
  <c r="AG339" i="1" s="1"/>
  <c r="Y339" i="1"/>
  <c r="X720" i="1"/>
  <c r="AC720" i="1" s="1"/>
  <c r="AG720" i="1" s="1"/>
  <c r="W720" i="1"/>
  <c r="AB720" i="1" s="1"/>
  <c r="AF720" i="1" s="1"/>
  <c r="AI455" i="1"/>
  <c r="AB455" i="1"/>
  <c r="AF455" i="1" s="1"/>
  <c r="Z455" i="1"/>
  <c r="AD455" i="1" s="1"/>
  <c r="AC455" i="1"/>
  <c r="AG455" i="1" s="1"/>
  <c r="AM452" i="1"/>
  <c r="AO452" i="1" s="1"/>
  <c r="AK442" i="1"/>
  <c r="AL442" i="1"/>
  <c r="AM442" i="1"/>
  <c r="AO442" i="1" s="1"/>
  <c r="X353" i="1"/>
  <c r="AC353" i="1" s="1"/>
  <c r="AG353" i="1" s="1"/>
  <c r="W353" i="1"/>
  <c r="AB353" i="1" s="1"/>
  <c r="AF353" i="1" s="1"/>
  <c r="Y353" i="1"/>
  <c r="AA353" i="1" s="1"/>
  <c r="AE353" i="1" s="1"/>
  <c r="X330" i="1"/>
  <c r="AC330" i="1" s="1"/>
  <c r="AG330" i="1" s="1"/>
  <c r="W330" i="1"/>
  <c r="Y330" i="1"/>
  <c r="W301" i="1"/>
  <c r="X301" i="1"/>
  <c r="Y301" i="1"/>
  <c r="AK717" i="1"/>
  <c r="AM717" i="1" s="1"/>
  <c r="AO717" i="1" s="1"/>
  <c r="AL717" i="1"/>
  <c r="AK452" i="1"/>
  <c r="W438" i="1"/>
  <c r="AA438" i="1" s="1"/>
  <c r="AE438" i="1" s="1"/>
  <c r="AK436" i="1"/>
  <c r="AM436" i="1" s="1"/>
  <c r="AO436" i="1" s="1"/>
  <c r="AL430" i="1"/>
  <c r="W417" i="1"/>
  <c r="AK410" i="1"/>
  <c r="AM410" i="1" s="1"/>
  <c r="AO410" i="1" s="1"/>
  <c r="W401" i="1"/>
  <c r="Y401" i="1"/>
  <c r="AK370" i="1"/>
  <c r="AM370" i="1" s="1"/>
  <c r="AO370" i="1" s="1"/>
  <c r="AK354" i="1"/>
  <c r="AM354" i="1" s="1"/>
  <c r="AO354" i="1" s="1"/>
  <c r="AK352" i="1"/>
  <c r="AM352" i="1" s="1"/>
  <c r="AO352" i="1" s="1"/>
  <c r="AA318" i="1"/>
  <c r="AE318" i="1" s="1"/>
  <c r="W729" i="1"/>
  <c r="AB727" i="1"/>
  <c r="AF727" i="1" s="1"/>
  <c r="Z722" i="1"/>
  <c r="AD722" i="1" s="1"/>
  <c r="AL710" i="1"/>
  <c r="AK710" i="1"/>
  <c r="AM710" i="1" s="1"/>
  <c r="AO710" i="1" s="1"/>
  <c r="AK702" i="1"/>
  <c r="AL702" i="1"/>
  <c r="AM702" i="1"/>
  <c r="AO702" i="1" s="1"/>
  <c r="X679" i="1"/>
  <c r="AC679" i="1" s="1"/>
  <c r="AG679" i="1" s="1"/>
  <c r="W679" i="1"/>
  <c r="Y679" i="1"/>
  <c r="AK675" i="1"/>
  <c r="AM675" i="1" s="1"/>
  <c r="AO675" i="1" s="1"/>
  <c r="AL675" i="1"/>
  <c r="AK672" i="1"/>
  <c r="AM672" i="1" s="1"/>
  <c r="AO672" i="1" s="1"/>
  <c r="AL672" i="1"/>
  <c r="W659" i="1"/>
  <c r="Z659" i="1" s="1"/>
  <c r="AD659" i="1" s="1"/>
  <c r="X659" i="1"/>
  <c r="AC659" i="1" s="1"/>
  <c r="AG659" i="1" s="1"/>
  <c r="AK643" i="1"/>
  <c r="AM643" i="1" s="1"/>
  <c r="AO643" i="1" s="1"/>
  <c r="AL643" i="1"/>
  <c r="AK356" i="1"/>
  <c r="AL356" i="1"/>
  <c r="Y738" i="1"/>
  <c r="W738" i="1"/>
  <c r="AI738" i="1" s="1"/>
  <c r="AB736" i="1"/>
  <c r="AF736" i="1" s="1"/>
  <c r="AI736" i="1"/>
  <c r="AL688" i="1"/>
  <c r="AM688" i="1"/>
  <c r="AO688" i="1" s="1"/>
  <c r="X666" i="1"/>
  <c r="AC666" i="1" s="1"/>
  <c r="AG666" i="1" s="1"/>
  <c r="W666" i="1"/>
  <c r="AK327" i="1"/>
  <c r="AM327" i="1" s="1"/>
  <c r="AO327" i="1" s="1"/>
  <c r="AK423" i="1"/>
  <c r="AM423" i="1"/>
  <c r="AO423" i="1" s="1"/>
  <c r="Z356" i="1"/>
  <c r="AD356" i="1" s="1"/>
  <c r="AM348" i="1"/>
  <c r="AO348" i="1" s="1"/>
  <c r="AB318" i="1"/>
  <c r="AF318" i="1" s="1"/>
  <c r="Y308" i="1"/>
  <c r="X308" i="1"/>
  <c r="X685" i="1"/>
  <c r="AC685" i="1" s="1"/>
  <c r="AG685" i="1" s="1"/>
  <c r="W685" i="1"/>
  <c r="AK654" i="1"/>
  <c r="AM654" i="1" s="1"/>
  <c r="AO654" i="1" s="1"/>
  <c r="AL654" i="1"/>
  <c r="Y429" i="1"/>
  <c r="AK398" i="1"/>
  <c r="AM398" i="1" s="1"/>
  <c r="AO398" i="1" s="1"/>
  <c r="AL398" i="1"/>
  <c r="AA395" i="1"/>
  <c r="AE395" i="1" s="1"/>
  <c r="AK309" i="1"/>
  <c r="AM309" i="1" s="1"/>
  <c r="AO309" i="1" s="1"/>
  <c r="Y302" i="1"/>
  <c r="Z302" i="1" s="1"/>
  <c r="X302" i="1"/>
  <c r="AC302" i="1" s="1"/>
  <c r="AG302" i="1" s="1"/>
  <c r="W707" i="1"/>
  <c r="AB707" i="1" s="1"/>
  <c r="AF707" i="1" s="1"/>
  <c r="Y707" i="1"/>
  <c r="AA707" i="1" s="1"/>
  <c r="AE707" i="1" s="1"/>
  <c r="Y699" i="1"/>
  <c r="W699" i="1"/>
  <c r="AB699" i="1" s="1"/>
  <c r="AF699" i="1" s="1"/>
  <c r="Y642" i="1"/>
  <c r="X642" i="1"/>
  <c r="AC642" i="1" s="1"/>
  <c r="AG642" i="1" s="1"/>
  <c r="AK445" i="1"/>
  <c r="AM445" i="1" s="1"/>
  <c r="AO445" i="1" s="1"/>
  <c r="X429" i="1"/>
  <c r="AC429" i="1" s="1"/>
  <c r="AG429" i="1" s="1"/>
  <c r="AA427" i="1"/>
  <c r="AE427" i="1" s="1"/>
  <c r="AK422" i="1"/>
  <c r="AM422" i="1" s="1"/>
  <c r="AO422" i="1" s="1"/>
  <c r="W418" i="1"/>
  <c r="Z418" i="1" s="1"/>
  <c r="AD418" i="1" s="1"/>
  <c r="Y410" i="1"/>
  <c r="Z410" i="1" s="1"/>
  <c r="AD410" i="1" s="1"/>
  <c r="X405" i="1"/>
  <c r="AB405" i="1" s="1"/>
  <c r="AF405" i="1" s="1"/>
  <c r="X396" i="1"/>
  <c r="AC396" i="1" s="1"/>
  <c r="AG396" i="1" s="1"/>
  <c r="W386" i="1"/>
  <c r="X376" i="1"/>
  <c r="AC376" i="1" s="1"/>
  <c r="AG376" i="1" s="1"/>
  <c r="W365" i="1"/>
  <c r="AI365" i="1" s="1"/>
  <c r="Y365" i="1"/>
  <c r="W342" i="1"/>
  <c r="Y342" i="1"/>
  <c r="W337" i="1"/>
  <c r="Y337" i="1"/>
  <c r="Z337" i="1" s="1"/>
  <c r="AD337" i="1" s="1"/>
  <c r="AM330" i="1"/>
  <c r="AO330" i="1" s="1"/>
  <c r="Z324" i="1"/>
  <c r="AD324" i="1" s="1"/>
  <c r="AI322" i="1"/>
  <c r="W304" i="1"/>
  <c r="AB304" i="1" s="1"/>
  <c r="AF304" i="1" s="1"/>
  <c r="Y304" i="1"/>
  <c r="AI724" i="1"/>
  <c r="Y709" i="1"/>
  <c r="AA709" i="1" s="1"/>
  <c r="AE709" i="1" s="1"/>
  <c r="W709" i="1"/>
  <c r="AK706" i="1"/>
  <c r="AM706" i="1" s="1"/>
  <c r="AO706" i="1" s="1"/>
  <c r="AL690" i="1"/>
  <c r="AK687" i="1"/>
  <c r="AM687" i="1" s="1"/>
  <c r="AO687" i="1" s="1"/>
  <c r="AL687" i="1"/>
  <c r="AA674" i="1"/>
  <c r="AE674" i="1" s="1"/>
  <c r="AB665" i="1"/>
  <c r="AF665" i="1" s="1"/>
  <c r="Y394" i="1"/>
  <c r="X394" i="1"/>
  <c r="AC394" i="1" s="1"/>
  <c r="AG394" i="1" s="1"/>
  <c r="W303" i="1"/>
  <c r="Y303" i="1"/>
  <c r="X639" i="1"/>
  <c r="AC639" i="1" s="1"/>
  <c r="AG639" i="1" s="1"/>
  <c r="W639" i="1"/>
  <c r="Z639" i="1" s="1"/>
  <c r="AD639" i="1" s="1"/>
  <c r="Y397" i="1"/>
  <c r="W397" i="1"/>
  <c r="Y375" i="1"/>
  <c r="AI375" i="1" s="1"/>
  <c r="X375" i="1"/>
  <c r="Y335" i="1"/>
  <c r="X335" i="1"/>
  <c r="AC335" i="1" s="1"/>
  <c r="AG335" i="1" s="1"/>
  <c r="AK407" i="1"/>
  <c r="AM407" i="1" s="1"/>
  <c r="AO407" i="1" s="1"/>
  <c r="AL407" i="1"/>
  <c r="AA405" i="1"/>
  <c r="AE405" i="1" s="1"/>
  <c r="Y378" i="1"/>
  <c r="AA378" i="1" s="1"/>
  <c r="AE378" i="1" s="1"/>
  <c r="X378" i="1"/>
  <c r="W306" i="1"/>
  <c r="AI306" i="1" s="1"/>
  <c r="Y306" i="1"/>
  <c r="AK695" i="1"/>
  <c r="AM695" i="1" s="1"/>
  <c r="AO695" i="1" s="1"/>
  <c r="AK670" i="1"/>
  <c r="AM670" i="1" s="1"/>
  <c r="AO670" i="1" s="1"/>
  <c r="Y638" i="1"/>
  <c r="W638" i="1"/>
  <c r="AB638" i="1" s="1"/>
  <c r="AF638" i="1" s="1"/>
  <c r="W714" i="1"/>
  <c r="AI714" i="1" s="1"/>
  <c r="Y714" i="1"/>
  <c r="W677" i="1"/>
  <c r="Y677" i="1"/>
  <c r="AA677" i="1" s="1"/>
  <c r="AE677" i="1" s="1"/>
  <c r="AC458" i="1"/>
  <c r="AG458" i="1" s="1"/>
  <c r="X457" i="1"/>
  <c r="AC457" i="1" s="1"/>
  <c r="AG457" i="1" s="1"/>
  <c r="AL455" i="1"/>
  <c r="AK454" i="1"/>
  <c r="X452" i="1"/>
  <c r="Y445" i="1"/>
  <c r="AI445" i="1" s="1"/>
  <c r="Y442" i="1"/>
  <c r="AI442" i="1" s="1"/>
  <c r="Y439" i="1"/>
  <c r="X436" i="1"/>
  <c r="AC436" i="1" s="1"/>
  <c r="AG436" i="1" s="1"/>
  <c r="X431" i="1"/>
  <c r="AC431" i="1" s="1"/>
  <c r="AG431" i="1" s="1"/>
  <c r="X430" i="1"/>
  <c r="AC430" i="1" s="1"/>
  <c r="AG430" i="1" s="1"/>
  <c r="AL427" i="1"/>
  <c r="W422" i="1"/>
  <c r="AA414" i="1"/>
  <c r="AE414" i="1" s="1"/>
  <c r="Y407" i="1"/>
  <c r="AM385" i="1"/>
  <c r="AO385" i="1" s="1"/>
  <c r="Y383" i="1"/>
  <c r="AA383" i="1" s="1"/>
  <c r="Y381" i="1"/>
  <c r="W381" i="1"/>
  <c r="AK371" i="1"/>
  <c r="AM371" i="1" s="1"/>
  <c r="AO371" i="1" s="1"/>
  <c r="X362" i="1"/>
  <c r="AC362" i="1" s="1"/>
  <c r="AG362" i="1" s="1"/>
  <c r="W360" i="1"/>
  <c r="AK350" i="1"/>
  <c r="AM350" i="1" s="1"/>
  <c r="AO350" i="1" s="1"/>
  <c r="X321" i="1"/>
  <c r="AC321" i="1" s="1"/>
  <c r="AG321" i="1" s="1"/>
  <c r="Z319" i="1"/>
  <c r="AD319" i="1" s="1"/>
  <c r="X316" i="1"/>
  <c r="AI316" i="1" s="1"/>
  <c r="Y309" i="1"/>
  <c r="Y298" i="1"/>
  <c r="Y732" i="1"/>
  <c r="W732" i="1"/>
  <c r="AB704" i="1"/>
  <c r="AF704" i="1" s="1"/>
  <c r="Y695" i="1"/>
  <c r="AI695" i="1" s="1"/>
  <c r="W690" i="1"/>
  <c r="AB690" i="1" s="1"/>
  <c r="AF690" i="1" s="1"/>
  <c r="Y690" i="1"/>
  <c r="AL679" i="1"/>
  <c r="AK679" i="1"/>
  <c r="W648" i="1"/>
  <c r="AB648" i="1" s="1"/>
  <c r="AF648" i="1" s="1"/>
  <c r="Y648" i="1"/>
  <c r="AI446" i="1"/>
  <c r="Y412" i="1"/>
  <c r="X412" i="1"/>
  <c r="AC412" i="1" s="1"/>
  <c r="AG412" i="1" s="1"/>
  <c r="Z386" i="1"/>
  <c r="AD386" i="1" s="1"/>
  <c r="AA457" i="1"/>
  <c r="AE457" i="1" s="1"/>
  <c r="Y449" i="1"/>
  <c r="X445" i="1"/>
  <c r="AC445" i="1" s="1"/>
  <c r="AG445" i="1" s="1"/>
  <c r="X442" i="1"/>
  <c r="AC442" i="1" s="1"/>
  <c r="AG442" i="1" s="1"/>
  <c r="Y440" i="1"/>
  <c r="X439" i="1"/>
  <c r="AC439" i="1" s="1"/>
  <c r="AG439" i="1" s="1"/>
  <c r="Y434" i="1"/>
  <c r="W430" i="1"/>
  <c r="AI430" i="1" s="1"/>
  <c r="W416" i="1"/>
  <c r="AB416" i="1" s="1"/>
  <c r="AF416" i="1" s="1"/>
  <c r="Y416" i="1"/>
  <c r="Y411" i="1"/>
  <c r="AA411" i="1" s="1"/>
  <c r="AE411" i="1" s="1"/>
  <c r="AK409" i="1"/>
  <c r="AM409" i="1" s="1"/>
  <c r="AO409" i="1" s="1"/>
  <c r="AL409" i="1"/>
  <c r="W407" i="1"/>
  <c r="AL385" i="1"/>
  <c r="W383" i="1"/>
  <c r="AB383" i="1" s="1"/>
  <c r="AF383" i="1" s="1"/>
  <c r="AK377" i="1"/>
  <c r="AM377" i="1" s="1"/>
  <c r="AO377" i="1" s="1"/>
  <c r="W321" i="1"/>
  <c r="AA321" i="1" s="1"/>
  <c r="AE321" i="1" s="1"/>
  <c r="X309" i="1"/>
  <c r="AI307" i="1"/>
  <c r="W298" i="1"/>
  <c r="AI298" i="1" s="1"/>
  <c r="AI727" i="1"/>
  <c r="Y693" i="1"/>
  <c r="X693" i="1"/>
  <c r="AC693" i="1" s="1"/>
  <c r="AG693" i="1" s="1"/>
  <c r="AK673" i="1"/>
  <c r="AM673" i="1" s="1"/>
  <c r="AO673" i="1" s="1"/>
  <c r="AK656" i="1"/>
  <c r="AL656" i="1"/>
  <c r="AK406" i="1"/>
  <c r="AM406" i="1"/>
  <c r="AO406" i="1" s="1"/>
  <c r="Z340" i="1"/>
  <c r="AD340" i="1" s="1"/>
  <c r="AA340" i="1"/>
  <c r="AE340" i="1" s="1"/>
  <c r="Z310" i="1"/>
  <c r="AD310" i="1" s="1"/>
  <c r="Z451" i="1"/>
  <c r="AD451" i="1" s="1"/>
  <c r="AA443" i="1"/>
  <c r="AE443" i="1" s="1"/>
  <c r="AB367" i="1"/>
  <c r="AF367" i="1" s="1"/>
  <c r="Z331" i="1"/>
  <c r="AD331" i="1" s="1"/>
  <c r="AB446" i="1"/>
  <c r="AF446" i="1" s="1"/>
  <c r="AM415" i="1"/>
  <c r="AO415" i="1" s="1"/>
  <c r="Y390" i="1"/>
  <c r="AA390" i="1" s="1"/>
  <c r="AE390" i="1" s="1"/>
  <c r="X390" i="1"/>
  <c r="AB390" i="1" s="1"/>
  <c r="AF390" i="1" s="1"/>
  <c r="AL367" i="1"/>
  <c r="AK367" i="1"/>
  <c r="AM367" i="1" s="1"/>
  <c r="AO367" i="1" s="1"/>
  <c r="Y366" i="1"/>
  <c r="AA366" i="1" s="1"/>
  <c r="AE366" i="1" s="1"/>
  <c r="AK345" i="1"/>
  <c r="AM345" i="1" s="1"/>
  <c r="AO345" i="1" s="1"/>
  <c r="AL340" i="1"/>
  <c r="AK340" i="1"/>
  <c r="AM340" i="1" s="1"/>
  <c r="AO340" i="1" s="1"/>
  <c r="Y336" i="1"/>
  <c r="AI318" i="1"/>
  <c r="X313" i="1"/>
  <c r="AC313" i="1" s="1"/>
  <c r="AG313" i="1" s="1"/>
  <c r="AA310" i="1"/>
  <c r="AE310" i="1" s="1"/>
  <c r="AC298" i="1"/>
  <c r="AG298" i="1" s="1"/>
  <c r="Y727" i="1"/>
  <c r="Z727" i="1" s="1"/>
  <c r="AD727" i="1" s="1"/>
  <c r="Y715" i="1"/>
  <c r="AA715" i="1" s="1"/>
  <c r="AE715" i="1" s="1"/>
  <c r="W700" i="1"/>
  <c r="Y700" i="1"/>
  <c r="X735" i="1"/>
  <c r="AM722" i="1"/>
  <c r="AO722" i="1" s="1"/>
  <c r="AL720" i="1"/>
  <c r="Y719" i="1"/>
  <c r="AL715" i="1"/>
  <c r="Y704" i="1"/>
  <c r="AL698" i="1"/>
  <c r="Y641" i="1"/>
  <c r="Z641" i="1" s="1"/>
  <c r="AD641" i="1" s="1"/>
  <c r="X635" i="1"/>
  <c r="AC635" i="1" s="1"/>
  <c r="AG635" i="1" s="1"/>
  <c r="AL627" i="1"/>
  <c r="Y627" i="1"/>
  <c r="Y624" i="1"/>
  <c r="AM636" i="1"/>
  <c r="AO636" i="1" s="1"/>
  <c r="AL636" i="1"/>
  <c r="AK626" i="1"/>
  <c r="AM626" i="1" s="1"/>
  <c r="AO626" i="1" s="1"/>
  <c r="AL623" i="1"/>
  <c r="AL648" i="1"/>
  <c r="AA711" i="1"/>
  <c r="AE711" i="1" s="1"/>
  <c r="AK697" i="1"/>
  <c r="AM697" i="1" s="1"/>
  <c r="AO697" i="1" s="1"/>
  <c r="W688" i="1"/>
  <c r="AA688" i="1" s="1"/>
  <c r="AE688" i="1" s="1"/>
  <c r="W686" i="1"/>
  <c r="AB686" i="1" s="1"/>
  <c r="AF686" i="1" s="1"/>
  <c r="X684" i="1"/>
  <c r="AC684" i="1" s="1"/>
  <c r="AG684" i="1" s="1"/>
  <c r="AL680" i="1"/>
  <c r="W669" i="1"/>
  <c r="Y626" i="1"/>
  <c r="AA626" i="1" s="1"/>
  <c r="AE626" i="1" s="1"/>
  <c r="Y623" i="1"/>
  <c r="Z694" i="1"/>
  <c r="AD694" i="1" s="1"/>
  <c r="Z669" i="1"/>
  <c r="AD669" i="1" s="1"/>
  <c r="X623" i="1"/>
  <c r="AC623" i="1" s="1"/>
  <c r="AG623" i="1" s="1"/>
  <c r="AM418" i="1"/>
  <c r="AO418" i="1" s="1"/>
  <c r="Y372" i="1"/>
  <c r="AA372" i="1" s="1"/>
  <c r="AE372" i="1" s="1"/>
  <c r="AM716" i="1"/>
  <c r="AO716" i="1" s="1"/>
  <c r="Y692" i="1"/>
  <c r="AI692" i="1" s="1"/>
  <c r="X660" i="1"/>
  <c r="AC660" i="1" s="1"/>
  <c r="AG660" i="1" s="1"/>
  <c r="Z325" i="1"/>
  <c r="AD325" i="1" s="1"/>
  <c r="Z300" i="1"/>
  <c r="AD300" i="1" s="1"/>
  <c r="Y635" i="1"/>
  <c r="AK645" i="1"/>
  <c r="AL645" i="1"/>
  <c r="AM645" i="1"/>
  <c r="AO645" i="1" s="1"/>
  <c r="AK732" i="1"/>
  <c r="AM732" i="1" s="1"/>
  <c r="AO732" i="1" s="1"/>
  <c r="AL732" i="1"/>
  <c r="AK726" i="1"/>
  <c r="AM726" i="1" s="1"/>
  <c r="AO726" i="1" s="1"/>
  <c r="AL726" i="1"/>
  <c r="AC671" i="1"/>
  <c r="AG671" i="1" s="1"/>
  <c r="Z671" i="1"/>
  <c r="AD671" i="1" s="1"/>
  <c r="X662" i="1"/>
  <c r="AC662" i="1" s="1"/>
  <c r="AG662" i="1" s="1"/>
  <c r="Y662" i="1"/>
  <c r="AK628" i="1"/>
  <c r="AM628" i="1" s="1"/>
  <c r="AO628" i="1" s="1"/>
  <c r="AL628" i="1"/>
  <c r="W654" i="1"/>
  <c r="X654" i="1"/>
  <c r="AC654" i="1" s="1"/>
  <c r="AG654" i="1" s="1"/>
  <c r="Y654" i="1"/>
  <c r="AB711" i="1"/>
  <c r="AF711" i="1" s="1"/>
  <c r="AI711" i="1"/>
  <c r="AB706" i="1"/>
  <c r="AF706" i="1" s="1"/>
  <c r="AI694" i="1"/>
  <c r="W680" i="1"/>
  <c r="X680" i="1"/>
  <c r="AC680" i="1" s="1"/>
  <c r="AG680" i="1" s="1"/>
  <c r="Y680" i="1"/>
  <c r="AI669" i="1"/>
  <c r="AB669" i="1"/>
  <c r="AF669" i="1" s="1"/>
  <c r="AK729" i="1"/>
  <c r="AM729" i="1" s="1"/>
  <c r="AO729" i="1" s="1"/>
  <c r="AL729" i="1"/>
  <c r="AI722" i="1"/>
  <c r="AM718" i="1"/>
  <c r="AO718" i="1" s="1"/>
  <c r="Z735" i="1"/>
  <c r="AA735" i="1"/>
  <c r="AE735" i="1" s="1"/>
  <c r="AA730" i="1"/>
  <c r="AE730" i="1" s="1"/>
  <c r="W726" i="1"/>
  <c r="Z726" i="1" s="1"/>
  <c r="AD726" i="1" s="1"/>
  <c r="AK708" i="1"/>
  <c r="AM708" i="1" s="1"/>
  <c r="AO708" i="1" s="1"/>
  <c r="AL708" i="1"/>
  <c r="X697" i="1"/>
  <c r="AB697" i="1" s="1"/>
  <c r="AF697" i="1" s="1"/>
  <c r="Y697" i="1"/>
  <c r="W681" i="1"/>
  <c r="W628" i="1"/>
  <c r="Y628" i="1"/>
  <c r="W698" i="1"/>
  <c r="X698" i="1"/>
  <c r="AC698" i="1" s="1"/>
  <c r="AG698" i="1" s="1"/>
  <c r="Y698" i="1"/>
  <c r="W645" i="1"/>
  <c r="X645" i="1"/>
  <c r="AC645" i="1" s="1"/>
  <c r="AG645" i="1" s="1"/>
  <c r="Y645" i="1"/>
  <c r="AB695" i="1"/>
  <c r="AF695" i="1" s="1"/>
  <c r="W723" i="1"/>
  <c r="X723" i="1"/>
  <c r="AC723" i="1" s="1"/>
  <c r="AG723" i="1" s="1"/>
  <c r="Y723" i="1"/>
  <c r="AK664" i="1"/>
  <c r="AM664" i="1" s="1"/>
  <c r="AO664" i="1" s="1"/>
  <c r="AK738" i="1"/>
  <c r="AM738" i="1" s="1"/>
  <c r="AO738" i="1" s="1"/>
  <c r="AL738" i="1"/>
  <c r="Y733" i="1"/>
  <c r="Z706" i="1"/>
  <c r="AD706" i="1" s="1"/>
  <c r="AK699" i="1"/>
  <c r="AM699" i="1" s="1"/>
  <c r="AO699" i="1" s="1"/>
  <c r="AL699" i="1"/>
  <c r="AB693" i="1"/>
  <c r="AF693" i="1" s="1"/>
  <c r="AB656" i="1"/>
  <c r="AF656" i="1" s="1"/>
  <c r="AL700" i="1"/>
  <c r="AK700" i="1"/>
  <c r="AM700" i="1" s="1"/>
  <c r="AO700" i="1" s="1"/>
  <c r="AK652" i="1"/>
  <c r="AL652" i="1"/>
  <c r="AM652" i="1"/>
  <c r="AO652" i="1" s="1"/>
  <c r="AB687" i="1"/>
  <c r="AF687" i="1" s="1"/>
  <c r="AC687" i="1"/>
  <c r="AG687" i="1" s="1"/>
  <c r="AI730" i="1"/>
  <c r="AB735" i="1"/>
  <c r="AF735" i="1" s="1"/>
  <c r="AB730" i="1"/>
  <c r="AF730" i="1" s="1"/>
  <c r="AI715" i="1"/>
  <c r="AM736" i="1"/>
  <c r="AO736" i="1" s="1"/>
  <c r="X733" i="1"/>
  <c r="AC733" i="1" s="1"/>
  <c r="AG733" i="1" s="1"/>
  <c r="Y720" i="1"/>
  <c r="AI706" i="1"/>
  <c r="AK696" i="1"/>
  <c r="AM696" i="1" s="1"/>
  <c r="AO696" i="1" s="1"/>
  <c r="AL696" i="1"/>
  <c r="AB694" i="1"/>
  <c r="AF694" i="1" s="1"/>
  <c r="W691" i="1"/>
  <c r="X691" i="1"/>
  <c r="AC691" i="1" s="1"/>
  <c r="AG691" i="1" s="1"/>
  <c r="Y691" i="1"/>
  <c r="Y686" i="1"/>
  <c r="AA669" i="1"/>
  <c r="AE669" i="1" s="1"/>
  <c r="AK663" i="1"/>
  <c r="AM663" i="1" s="1"/>
  <c r="AO663" i="1" s="1"/>
  <c r="AL663" i="1"/>
  <c r="AK660" i="1"/>
  <c r="AM660" i="1" s="1"/>
  <c r="AO660" i="1" s="1"/>
  <c r="AL660" i="1"/>
  <c r="Z656" i="1"/>
  <c r="AD656" i="1" s="1"/>
  <c r="AK723" i="1"/>
  <c r="AM723" i="1" s="1"/>
  <c r="AO723" i="1" s="1"/>
  <c r="AL723" i="1"/>
  <c r="W689" i="1"/>
  <c r="X689" i="1"/>
  <c r="AC689" i="1" s="1"/>
  <c r="AG689" i="1" s="1"/>
  <c r="Y689" i="1"/>
  <c r="AA624" i="1"/>
  <c r="AE624" i="1" s="1"/>
  <c r="AK681" i="1"/>
  <c r="AM681" i="1" s="1"/>
  <c r="AO681" i="1" s="1"/>
  <c r="AL681" i="1"/>
  <c r="AK735" i="1"/>
  <c r="AM735" i="1" s="1"/>
  <c r="AO735" i="1" s="1"/>
  <c r="AL735" i="1"/>
  <c r="W718" i="1"/>
  <c r="Y718" i="1"/>
  <c r="W712" i="1"/>
  <c r="Y712" i="1"/>
  <c r="AL709" i="1"/>
  <c r="AM709" i="1"/>
  <c r="AO709" i="1" s="1"/>
  <c r="AA694" i="1"/>
  <c r="AE694" i="1" s="1"/>
  <c r="AK665" i="1"/>
  <c r="AM665" i="1" s="1"/>
  <c r="AO665" i="1" s="1"/>
  <c r="AI660" i="1"/>
  <c r="AK639" i="1"/>
  <c r="AM639" i="1" s="1"/>
  <c r="AO639" i="1" s="1"/>
  <c r="AL639" i="1"/>
  <c r="Y737" i="1"/>
  <c r="Y734" i="1"/>
  <c r="Y731" i="1"/>
  <c r="Y728" i="1"/>
  <c r="Y725" i="1"/>
  <c r="X700" i="1"/>
  <c r="AB700" i="1" s="1"/>
  <c r="AF700" i="1" s="1"/>
  <c r="AM692" i="1"/>
  <c r="AO692" i="1" s="1"/>
  <c r="AM686" i="1"/>
  <c r="AO686" i="1" s="1"/>
  <c r="X682" i="1"/>
  <c r="AC682" i="1" s="1"/>
  <c r="AG682" i="1" s="1"/>
  <c r="W682" i="1"/>
  <c r="Y682" i="1"/>
  <c r="W668" i="1"/>
  <c r="X668" i="1"/>
  <c r="AC668" i="1" s="1"/>
  <c r="AG668" i="1" s="1"/>
  <c r="Y668" i="1"/>
  <c r="AL691" i="1"/>
  <c r="AK691" i="1"/>
  <c r="AM691" i="1"/>
  <c r="AO691" i="1" s="1"/>
  <c r="AK625" i="1"/>
  <c r="AM625" i="1" s="1"/>
  <c r="AO625" i="1" s="1"/>
  <c r="AL625" i="1"/>
  <c r="X737" i="1"/>
  <c r="X734" i="1"/>
  <c r="X731" i="1"/>
  <c r="AC731" i="1" s="1"/>
  <c r="AG731" i="1" s="1"/>
  <c r="X728" i="1"/>
  <c r="AC728" i="1" s="1"/>
  <c r="AG728" i="1" s="1"/>
  <c r="X725" i="1"/>
  <c r="AI725" i="1" s="1"/>
  <c r="Y721" i="1"/>
  <c r="AM719" i="1"/>
  <c r="AO719" i="1" s="1"/>
  <c r="X710" i="1"/>
  <c r="Y710" i="1"/>
  <c r="AM704" i="1"/>
  <c r="AO704" i="1" s="1"/>
  <c r="W701" i="1"/>
  <c r="X701" i="1"/>
  <c r="AC701" i="1" s="1"/>
  <c r="AG701" i="1" s="1"/>
  <c r="AL692" i="1"/>
  <c r="AL686" i="1"/>
  <c r="AI659" i="1"/>
  <c r="X703" i="1"/>
  <c r="AC703" i="1" s="1"/>
  <c r="AG703" i="1" s="1"/>
  <c r="Y703" i="1"/>
  <c r="AI703" i="1" s="1"/>
  <c r="AK689" i="1"/>
  <c r="AM689" i="1" s="1"/>
  <c r="AO689" i="1" s="1"/>
  <c r="AL689" i="1"/>
  <c r="AK683" i="1"/>
  <c r="AM683" i="1" s="1"/>
  <c r="AO683" i="1" s="1"/>
  <c r="AL683" i="1"/>
  <c r="X721" i="1"/>
  <c r="X713" i="1"/>
  <c r="AC713" i="1" s="1"/>
  <c r="AG713" i="1" s="1"/>
  <c r="Y713" i="1"/>
  <c r="AL704" i="1"/>
  <c r="AL703" i="1"/>
  <c r="AM703" i="1"/>
  <c r="AO703" i="1" s="1"/>
  <c r="Y675" i="1"/>
  <c r="W675" i="1"/>
  <c r="X675" i="1"/>
  <c r="AC675" i="1" s="1"/>
  <c r="AG675" i="1" s="1"/>
  <c r="W670" i="1"/>
  <c r="Y670" i="1"/>
  <c r="W633" i="1"/>
  <c r="X633" i="1"/>
  <c r="AC633" i="1" s="1"/>
  <c r="AG633" i="1" s="1"/>
  <c r="Y633" i="1"/>
  <c r="AA659" i="1"/>
  <c r="AE659" i="1" s="1"/>
  <c r="X716" i="1"/>
  <c r="Y716" i="1"/>
  <c r="W655" i="1"/>
  <c r="Y655" i="1"/>
  <c r="X655" i="1"/>
  <c r="AC655" i="1" s="1"/>
  <c r="AG655" i="1" s="1"/>
  <c r="AM642" i="1"/>
  <c r="AO642" i="1" s="1"/>
  <c r="AL642" i="1"/>
  <c r="AK701" i="1"/>
  <c r="AM701" i="1" s="1"/>
  <c r="AO701" i="1" s="1"/>
  <c r="AL701" i="1"/>
  <c r="AM694" i="1"/>
  <c r="AO694" i="1" s="1"/>
  <c r="AI671" i="1"/>
  <c r="AB671" i="1"/>
  <c r="AF671" i="1" s="1"/>
  <c r="AI656" i="1"/>
  <c r="AM644" i="1"/>
  <c r="AO644" i="1" s="1"/>
  <c r="W636" i="1"/>
  <c r="X636" i="1"/>
  <c r="AC636" i="1" s="1"/>
  <c r="AG636" i="1" s="1"/>
  <c r="Y636" i="1"/>
  <c r="AM632" i="1"/>
  <c r="AO632" i="1" s="1"/>
  <c r="AA623" i="1"/>
  <c r="AE623" i="1" s="1"/>
  <c r="W684" i="1"/>
  <c r="X677" i="1"/>
  <c r="Y672" i="1"/>
  <c r="W663" i="1"/>
  <c r="X663" i="1"/>
  <c r="AC663" i="1" s="1"/>
  <c r="AG663" i="1" s="1"/>
  <c r="Y663" i="1"/>
  <c r="AA660" i="1"/>
  <c r="AE660" i="1" s="1"/>
  <c r="Y657" i="1"/>
  <c r="AA656" i="1"/>
  <c r="AE656" i="1" s="1"/>
  <c r="AA648" i="1"/>
  <c r="AE648" i="1" s="1"/>
  <c r="AI632" i="1"/>
  <c r="AM684" i="1"/>
  <c r="AO684" i="1" s="1"/>
  <c r="Y683" i="1"/>
  <c r="Y678" i="1"/>
  <c r="W678" i="1"/>
  <c r="X672" i="1"/>
  <c r="X657" i="1"/>
  <c r="AC657" i="1" s="1"/>
  <c r="AG657" i="1" s="1"/>
  <c r="Z653" i="1"/>
  <c r="AD653" i="1" s="1"/>
  <c r="AK641" i="1"/>
  <c r="AM641" i="1" s="1"/>
  <c r="AO641" i="1" s="1"/>
  <c r="AL641" i="1"/>
  <c r="AK635" i="1"/>
  <c r="AM635" i="1" s="1"/>
  <c r="AL635" i="1"/>
  <c r="AA627" i="1"/>
  <c r="AE627" i="1" s="1"/>
  <c r="AL684" i="1"/>
  <c r="X683" i="1"/>
  <c r="AB683" i="1" s="1"/>
  <c r="AF683" i="1" s="1"/>
  <c r="W676" i="1"/>
  <c r="Z676" i="1" s="1"/>
  <c r="AD676" i="1" s="1"/>
  <c r="X676" i="1"/>
  <c r="AC676" i="1" s="1"/>
  <c r="AG676" i="1" s="1"/>
  <c r="AB672" i="1"/>
  <c r="AF672" i="1" s="1"/>
  <c r="AL662" i="1"/>
  <c r="AK651" i="1"/>
  <c r="AM651" i="1" s="1"/>
  <c r="AL651" i="1"/>
  <c r="W649" i="1"/>
  <c r="Y649" i="1"/>
  <c r="AM629" i="1"/>
  <c r="AO629" i="1" s="1"/>
  <c r="AL629" i="1"/>
  <c r="Z674" i="1"/>
  <c r="AK659" i="1"/>
  <c r="AM659" i="1" s="1"/>
  <c r="AO659" i="1" s="1"/>
  <c r="AC653" i="1"/>
  <c r="AG653" i="1" s="1"/>
  <c r="AK678" i="1"/>
  <c r="AM678" i="1" s="1"/>
  <c r="AO678" i="1" s="1"/>
  <c r="AM677" i="1"/>
  <c r="AO677" i="1" s="1"/>
  <c r="AL677" i="1"/>
  <c r="W673" i="1"/>
  <c r="X673" i="1"/>
  <c r="AC673" i="1" s="1"/>
  <c r="AG673" i="1" s="1"/>
  <c r="AM662" i="1"/>
  <c r="AO662" i="1" s="1"/>
  <c r="W661" i="1"/>
  <c r="Y661" i="1"/>
  <c r="W650" i="1"/>
  <c r="X650" i="1"/>
  <c r="AC650" i="1" s="1"/>
  <c r="AG650" i="1" s="1"/>
  <c r="Y650" i="1"/>
  <c r="W646" i="1"/>
  <c r="Y646" i="1"/>
  <c r="X646" i="1"/>
  <c r="AC646" i="1" s="1"/>
  <c r="AG646" i="1" s="1"/>
  <c r="AI653" i="1"/>
  <c r="W652" i="1"/>
  <c r="Y652" i="1"/>
  <c r="AI651" i="1"/>
  <c r="AL633" i="1"/>
  <c r="Y632" i="1"/>
  <c r="AL670" i="1"/>
  <c r="W667" i="1"/>
  <c r="Y667" i="1"/>
  <c r="AA666" i="1"/>
  <c r="W642" i="1"/>
  <c r="AK637" i="1"/>
  <c r="AM637" i="1" s="1"/>
  <c r="AO637" i="1" s="1"/>
  <c r="X632" i="1"/>
  <c r="AC632" i="1" s="1"/>
  <c r="AG632" i="1" s="1"/>
  <c r="W629" i="1"/>
  <c r="X629" i="1"/>
  <c r="AC629" i="1" s="1"/>
  <c r="AG629" i="1" s="1"/>
  <c r="Y629" i="1"/>
  <c r="AB674" i="1"/>
  <c r="AF674" i="1" s="1"/>
  <c r="AK668" i="1"/>
  <c r="AM668" i="1" s="1"/>
  <c r="AO668" i="1" s="1"/>
  <c r="AL668" i="1"/>
  <c r="AM656" i="1"/>
  <c r="AO656" i="1" s="1"/>
  <c r="AK655" i="1"/>
  <c r="AM655" i="1" s="1"/>
  <c r="AO655" i="1" s="1"/>
  <c r="AK650" i="1"/>
  <c r="AM650" i="1" s="1"/>
  <c r="AO650" i="1" s="1"/>
  <c r="AL650" i="1"/>
  <c r="AK646" i="1"/>
  <c r="AM646" i="1" s="1"/>
  <c r="AO646" i="1" s="1"/>
  <c r="Z642" i="1"/>
  <c r="AD642" i="1" s="1"/>
  <c r="AA642" i="1"/>
  <c r="AE642" i="1" s="1"/>
  <c r="AM633" i="1"/>
  <c r="AO633" i="1" s="1"/>
  <c r="AM669" i="1"/>
  <c r="AO669" i="1" s="1"/>
  <c r="AM647" i="1"/>
  <c r="AO647" i="1" s="1"/>
  <c r="AB644" i="1"/>
  <c r="AF644" i="1" s="1"/>
  <c r="AA665" i="1"/>
  <c r="AE665" i="1" s="1"/>
  <c r="Z665" i="1"/>
  <c r="W664" i="1"/>
  <c r="Y664" i="1"/>
  <c r="X664" i="1"/>
  <c r="AC664" i="1" s="1"/>
  <c r="AG664" i="1" s="1"/>
  <c r="AB653" i="1"/>
  <c r="AF653" i="1" s="1"/>
  <c r="W631" i="1"/>
  <c r="Y631" i="1"/>
  <c r="AM627" i="1"/>
  <c r="AO627" i="1" s="1"/>
  <c r="X627" i="1"/>
  <c r="AI627" i="1"/>
  <c r="AM623" i="1"/>
  <c r="AO623" i="1" s="1"/>
  <c r="AK631" i="1"/>
  <c r="AM631" i="1" s="1"/>
  <c r="AO631" i="1" s="1"/>
  <c r="Y630" i="1"/>
  <c r="X626" i="1"/>
  <c r="AI626" i="1" s="1"/>
  <c r="W643" i="1"/>
  <c r="Y643" i="1"/>
  <c r="AM638" i="1"/>
  <c r="AO638" i="1" s="1"/>
  <c r="W634" i="1"/>
  <c r="Y634" i="1"/>
  <c r="X630" i="1"/>
  <c r="AM671" i="1"/>
  <c r="AO671" i="1" s="1"/>
  <c r="AL658" i="1"/>
  <c r="W658" i="1"/>
  <c r="Y658" i="1"/>
  <c r="AL640" i="1"/>
  <c r="W640" i="1"/>
  <c r="Y640" i="1"/>
  <c r="AK634" i="1"/>
  <c r="AM634" i="1" s="1"/>
  <c r="AO634" i="1" s="1"/>
  <c r="W637" i="1"/>
  <c r="Y637" i="1"/>
  <c r="W625" i="1"/>
  <c r="Y625" i="1"/>
  <c r="X624" i="1"/>
  <c r="AC624" i="1" s="1"/>
  <c r="AG624" i="1" s="1"/>
  <c r="AM622" i="1"/>
  <c r="AO622" i="1" s="1"/>
  <c r="AL622" i="1"/>
  <c r="Y622" i="1"/>
  <c r="X622" i="1"/>
  <c r="AC622" i="1" s="1"/>
  <c r="AG622" i="1" s="1"/>
  <c r="AM451" i="1"/>
  <c r="AO451" i="1" s="1"/>
  <c r="AA422" i="1"/>
  <c r="AE422" i="1" s="1"/>
  <c r="Y403" i="1"/>
  <c r="X403" i="1"/>
  <c r="AC403" i="1" s="1"/>
  <c r="AG403" i="1" s="1"/>
  <c r="AL425" i="1"/>
  <c r="W450" i="1"/>
  <c r="X450" i="1"/>
  <c r="AC450" i="1" s="1"/>
  <c r="AG450" i="1" s="1"/>
  <c r="Y450" i="1"/>
  <c r="Z443" i="1"/>
  <c r="AD443" i="1" s="1"/>
  <c r="AK435" i="1"/>
  <c r="AM435" i="1" s="1"/>
  <c r="AO435" i="1" s="1"/>
  <c r="AL435" i="1"/>
  <c r="W348" i="1"/>
  <c r="X348" i="1"/>
  <c r="AC348" i="1" s="1"/>
  <c r="AG348" i="1" s="1"/>
  <c r="Y348" i="1"/>
  <c r="AB422" i="1"/>
  <c r="AF422" i="1" s="1"/>
  <c r="AI422" i="1"/>
  <c r="AC451" i="1"/>
  <c r="AG451" i="1" s="1"/>
  <c r="AI451" i="1"/>
  <c r="Z392" i="1"/>
  <c r="AD392" i="1" s="1"/>
  <c r="AI392" i="1"/>
  <c r="AI429" i="1"/>
  <c r="AM457" i="1"/>
  <c r="AO457" i="1" s="1"/>
  <c r="AM448" i="1"/>
  <c r="AO448" i="1" s="1"/>
  <c r="AI321" i="1"/>
  <c r="AI457" i="1"/>
  <c r="AM454" i="1"/>
  <c r="AO454" i="1" s="1"/>
  <c r="AB451" i="1"/>
  <c r="AF451" i="1" s="1"/>
  <c r="AM432" i="1"/>
  <c r="AO432" i="1" s="1"/>
  <c r="AA429" i="1"/>
  <c r="AE429" i="1" s="1"/>
  <c r="AK378" i="1"/>
  <c r="AM378" i="1" s="1"/>
  <c r="AO378" i="1" s="1"/>
  <c r="AL378" i="1"/>
  <c r="Y435" i="1"/>
  <c r="X435" i="1"/>
  <c r="AC435" i="1" s="1"/>
  <c r="AG435" i="1" s="1"/>
  <c r="W435" i="1"/>
  <c r="AL396" i="1"/>
  <c r="AM396" i="1"/>
  <c r="AO396" i="1" s="1"/>
  <c r="W453" i="1"/>
  <c r="X453" i="1"/>
  <c r="AC453" i="1" s="1"/>
  <c r="AG453" i="1" s="1"/>
  <c r="Y453" i="1"/>
  <c r="Y385" i="1"/>
  <c r="X385" i="1"/>
  <c r="AC385" i="1" s="1"/>
  <c r="AG385" i="1" s="1"/>
  <c r="Z457" i="1"/>
  <c r="AD457" i="1" s="1"/>
  <c r="Z448" i="1"/>
  <c r="AD448" i="1" s="1"/>
  <c r="Z422" i="1"/>
  <c r="AD422" i="1" s="1"/>
  <c r="AL380" i="1"/>
  <c r="AM380" i="1"/>
  <c r="AO380" i="1" s="1"/>
  <c r="AM425" i="1"/>
  <c r="AO425" i="1" s="1"/>
  <c r="W425" i="1"/>
  <c r="X425" i="1"/>
  <c r="AC425" i="1" s="1"/>
  <c r="AG425" i="1" s="1"/>
  <c r="Y425" i="1"/>
  <c r="X423" i="1"/>
  <c r="AC423" i="1" s="1"/>
  <c r="AG423" i="1" s="1"/>
  <c r="Y423" i="1"/>
  <c r="AB443" i="1"/>
  <c r="AF443" i="1" s="1"/>
  <c r="AM401" i="1"/>
  <c r="AO401" i="1" s="1"/>
  <c r="AL401" i="1"/>
  <c r="AK397" i="1"/>
  <c r="AM397" i="1" s="1"/>
  <c r="AO397" i="1" s="1"/>
  <c r="AL397" i="1"/>
  <c r="W456" i="1"/>
  <c r="X456" i="1"/>
  <c r="AC456" i="1" s="1"/>
  <c r="AG456" i="1" s="1"/>
  <c r="Y456" i="1"/>
  <c r="AL451" i="1"/>
  <c r="W447" i="1"/>
  <c r="X447" i="1"/>
  <c r="AC447" i="1" s="1"/>
  <c r="AG447" i="1" s="1"/>
  <c r="Y447" i="1"/>
  <c r="AB437" i="1"/>
  <c r="AF437" i="1" s="1"/>
  <c r="Y424" i="1"/>
  <c r="X424" i="1"/>
  <c r="AC424" i="1" s="1"/>
  <c r="AG424" i="1" s="1"/>
  <c r="Y359" i="1"/>
  <c r="W359" i="1"/>
  <c r="X359" i="1"/>
  <c r="AC359" i="1" s="1"/>
  <c r="AG359" i="1" s="1"/>
  <c r="AI443" i="1"/>
  <c r="W408" i="1"/>
  <c r="X408" i="1"/>
  <c r="AC408" i="1" s="1"/>
  <c r="AG408" i="1" s="1"/>
  <c r="Y408" i="1"/>
  <c r="AK403" i="1"/>
  <c r="AM403" i="1"/>
  <c r="AO403" i="1" s="1"/>
  <c r="AL403" i="1"/>
  <c r="AK320" i="1"/>
  <c r="AM320" i="1" s="1"/>
  <c r="AO320" i="1" s="1"/>
  <c r="AL320" i="1"/>
  <c r="Y419" i="1"/>
  <c r="AI419" i="1" s="1"/>
  <c r="X419" i="1"/>
  <c r="AK392" i="1"/>
  <c r="AM392" i="1" s="1"/>
  <c r="AO392" i="1" s="1"/>
  <c r="Z376" i="1"/>
  <c r="AD376" i="1" s="1"/>
  <c r="AA376" i="1"/>
  <c r="AE376" i="1" s="1"/>
  <c r="Y433" i="1"/>
  <c r="W433" i="1"/>
  <c r="AI428" i="1"/>
  <c r="AK389" i="1"/>
  <c r="AM389" i="1" s="1"/>
  <c r="AO389" i="1" s="1"/>
  <c r="AL389" i="1"/>
  <c r="AM333" i="1"/>
  <c r="AO333" i="1" s="1"/>
  <c r="AL333" i="1"/>
  <c r="AA312" i="1"/>
  <c r="AE312" i="1" s="1"/>
  <c r="AB312" i="1"/>
  <c r="AF312" i="1" s="1"/>
  <c r="AI312" i="1"/>
  <c r="Y409" i="1"/>
  <c r="W409" i="1"/>
  <c r="AK381" i="1"/>
  <c r="AM381" i="1" s="1"/>
  <c r="AO381" i="1" s="1"/>
  <c r="AL381" i="1"/>
  <c r="W361" i="1"/>
  <c r="Y361" i="1"/>
  <c r="AL318" i="1"/>
  <c r="AK318" i="1"/>
  <c r="AM318" i="1" s="1"/>
  <c r="AI441" i="1"/>
  <c r="AK379" i="1"/>
  <c r="AM379" i="1" s="1"/>
  <c r="AO379" i="1" s="1"/>
  <c r="AL379" i="1"/>
  <c r="W370" i="1"/>
  <c r="Y370" i="1"/>
  <c r="X370" i="1"/>
  <c r="AC370" i="1" s="1"/>
  <c r="AG370" i="1" s="1"/>
  <c r="AI364" i="1"/>
  <c r="Y347" i="1"/>
  <c r="W347" i="1"/>
  <c r="AM362" i="1"/>
  <c r="AO362" i="1" s="1"/>
  <c r="AL310" i="1"/>
  <c r="AM310" i="1"/>
  <c r="AO310" i="1" s="1"/>
  <c r="AK433" i="1"/>
  <c r="AM433" i="1" s="1"/>
  <c r="AO433" i="1" s="1"/>
  <c r="AL433" i="1"/>
  <c r="AB430" i="1"/>
  <c r="X426" i="1"/>
  <c r="AC426" i="1" s="1"/>
  <c r="AG426" i="1" s="1"/>
  <c r="Y426" i="1"/>
  <c r="AL414" i="1"/>
  <c r="AM414" i="1"/>
  <c r="AO414" i="1" s="1"/>
  <c r="AI407" i="1"/>
  <c r="AI391" i="1"/>
  <c r="AI376" i="1"/>
  <c r="AB376" i="1"/>
  <c r="AF376" i="1" s="1"/>
  <c r="X373" i="1"/>
  <c r="AB373" i="1" s="1"/>
  <c r="AF373" i="1" s="1"/>
  <c r="Y373" i="1"/>
  <c r="X404" i="1"/>
  <c r="AC404" i="1" s="1"/>
  <c r="AG404" i="1" s="1"/>
  <c r="Y404" i="1"/>
  <c r="AI448" i="1"/>
  <c r="Y380" i="1"/>
  <c r="W380" i="1"/>
  <c r="X380" i="1"/>
  <c r="AC380" i="1" s="1"/>
  <c r="AG380" i="1" s="1"/>
  <c r="AB349" i="1"/>
  <c r="AF349" i="1" s="1"/>
  <c r="AI349" i="1"/>
  <c r="Y421" i="1"/>
  <c r="X421" i="1"/>
  <c r="Y406" i="1"/>
  <c r="W406" i="1"/>
  <c r="X406" i="1"/>
  <c r="AC406" i="1" s="1"/>
  <c r="AG406" i="1" s="1"/>
  <c r="AK391" i="1"/>
  <c r="AM391" i="1"/>
  <c r="AO391" i="1" s="1"/>
  <c r="W351" i="1"/>
  <c r="X351" i="1"/>
  <c r="AC351" i="1" s="1"/>
  <c r="AG351" i="1" s="1"/>
  <c r="AK373" i="1"/>
  <c r="AL373" i="1"/>
  <c r="AM373" i="1"/>
  <c r="AO373" i="1" s="1"/>
  <c r="AL358" i="1"/>
  <c r="AK358" i="1"/>
  <c r="AM358" i="1" s="1"/>
  <c r="AO358" i="1" s="1"/>
  <c r="AA418" i="1"/>
  <c r="AM297" i="1"/>
  <c r="AO297" i="1" s="1"/>
  <c r="AK421" i="1"/>
  <c r="AM421" i="1" s="1"/>
  <c r="AO421" i="1" s="1"/>
  <c r="AL421" i="1"/>
  <c r="AK386" i="1"/>
  <c r="AM386" i="1" s="1"/>
  <c r="AL386" i="1"/>
  <c r="AB448" i="1"/>
  <c r="AF448" i="1" s="1"/>
  <c r="AI444" i="1"/>
  <c r="AM440" i="1"/>
  <c r="AO440" i="1" s="1"/>
  <c r="AM417" i="1"/>
  <c r="AO417" i="1" s="1"/>
  <c r="X411" i="1"/>
  <c r="AC411" i="1" s="1"/>
  <c r="AG411" i="1" s="1"/>
  <c r="AB407" i="1"/>
  <c r="AF407" i="1" s="1"/>
  <c r="W402" i="1"/>
  <c r="Z391" i="1"/>
  <c r="AD391" i="1" s="1"/>
  <c r="Y388" i="1"/>
  <c r="W388" i="1"/>
  <c r="AA362" i="1"/>
  <c r="AE362" i="1" s="1"/>
  <c r="AB360" i="1"/>
  <c r="AF360" i="1" s="1"/>
  <c r="AL402" i="1"/>
  <c r="AK402" i="1"/>
  <c r="AM402" i="1" s="1"/>
  <c r="AO402" i="1" s="1"/>
  <c r="AA389" i="1"/>
  <c r="AE389" i="1" s="1"/>
  <c r="AM443" i="1"/>
  <c r="AO443" i="1" s="1"/>
  <c r="Z383" i="1"/>
  <c r="AD383" i="1" s="1"/>
  <c r="Y377" i="1"/>
  <c r="X377" i="1"/>
  <c r="AC377" i="1" s="1"/>
  <c r="AG377" i="1" s="1"/>
  <c r="AC356" i="1"/>
  <c r="AG356" i="1" s="1"/>
  <c r="AI356" i="1"/>
  <c r="AK336" i="1"/>
  <c r="AM336" i="1" s="1"/>
  <c r="AO336" i="1" s="1"/>
  <c r="Z398" i="1"/>
  <c r="AD398" i="1" s="1"/>
  <c r="AA398" i="1"/>
  <c r="AE398" i="1" s="1"/>
  <c r="AK305" i="1"/>
  <c r="AM305" i="1" s="1"/>
  <c r="AO305" i="1" s="1"/>
  <c r="AL305" i="1"/>
  <c r="Y387" i="1"/>
  <c r="W387" i="1"/>
  <c r="AL331" i="1"/>
  <c r="AK331" i="1"/>
  <c r="AM331" i="1" s="1"/>
  <c r="Y320" i="1"/>
  <c r="X320" i="1"/>
  <c r="AC320" i="1" s="1"/>
  <c r="AG320" i="1" s="1"/>
  <c r="AI315" i="1"/>
  <c r="Z315" i="1"/>
  <c r="AD315" i="1" s="1"/>
  <c r="AA315" i="1"/>
  <c r="AE315" i="1" s="1"/>
  <c r="AB315" i="1"/>
  <c r="AF315" i="1" s="1"/>
  <c r="AK420" i="1"/>
  <c r="AM420" i="1" s="1"/>
  <c r="AL420" i="1"/>
  <c r="AL405" i="1"/>
  <c r="AK405" i="1"/>
  <c r="AM405" i="1" s="1"/>
  <c r="Y364" i="1"/>
  <c r="X364" i="1"/>
  <c r="AC364" i="1" s="1"/>
  <c r="AG364" i="1" s="1"/>
  <c r="AI427" i="1"/>
  <c r="AK426" i="1"/>
  <c r="AM426" i="1" s="1"/>
  <c r="AO426" i="1" s="1"/>
  <c r="Z402" i="1"/>
  <c r="AD402" i="1" s="1"/>
  <c r="AA402" i="1"/>
  <c r="AE402" i="1" s="1"/>
  <c r="AK400" i="1"/>
  <c r="AM400" i="1" s="1"/>
  <c r="AO400" i="1" s="1"/>
  <c r="AL400" i="1"/>
  <c r="AM399" i="1"/>
  <c r="AO399" i="1" s="1"/>
  <c r="AK393" i="1"/>
  <c r="AM393" i="1" s="1"/>
  <c r="AO393" i="1" s="1"/>
  <c r="AL393" i="1"/>
  <c r="AA392" i="1"/>
  <c r="AE392" i="1" s="1"/>
  <c r="AK375" i="1"/>
  <c r="AL375" i="1"/>
  <c r="AM375" i="1"/>
  <c r="AO375" i="1" s="1"/>
  <c r="W352" i="1"/>
  <c r="Y352" i="1"/>
  <c r="X346" i="1"/>
  <c r="AC346" i="1" s="1"/>
  <c r="AG346" i="1" s="1"/>
  <c r="Y346" i="1"/>
  <c r="W346" i="1"/>
  <c r="AK344" i="1"/>
  <c r="AL344" i="1"/>
  <c r="AM344" i="1"/>
  <c r="AO344" i="1" s="1"/>
  <c r="Y326" i="1"/>
  <c r="W326" i="1"/>
  <c r="X326" i="1"/>
  <c r="AC326" i="1" s="1"/>
  <c r="AG326" i="1" s="1"/>
  <c r="AM395" i="1"/>
  <c r="AO395" i="1" s="1"/>
  <c r="X369" i="1"/>
  <c r="Y369" i="1"/>
  <c r="AM343" i="1"/>
  <c r="AO343" i="1" s="1"/>
  <c r="AK343" i="1"/>
  <c r="AL343" i="1"/>
  <c r="AB327" i="1"/>
  <c r="AF327" i="1" s="1"/>
  <c r="AI327" i="1"/>
  <c r="Y393" i="1"/>
  <c r="W393" i="1"/>
  <c r="X393" i="1"/>
  <c r="AC393" i="1" s="1"/>
  <c r="AG393" i="1" s="1"/>
  <c r="AB379" i="1"/>
  <c r="AF379" i="1" s="1"/>
  <c r="W374" i="1"/>
  <c r="X374" i="1"/>
  <c r="AC374" i="1" s="1"/>
  <c r="AG374" i="1" s="1"/>
  <c r="Y374" i="1"/>
  <c r="AM364" i="1"/>
  <c r="AO364" i="1" s="1"/>
  <c r="AI363" i="1"/>
  <c r="AB363" i="1"/>
  <c r="AF363" i="1" s="1"/>
  <c r="X358" i="1"/>
  <c r="AC358" i="1" s="1"/>
  <c r="AG358" i="1" s="1"/>
  <c r="W358" i="1"/>
  <c r="Y358" i="1"/>
  <c r="AA349" i="1"/>
  <c r="AE349" i="1" s="1"/>
  <c r="Z349" i="1"/>
  <c r="AD349" i="1" s="1"/>
  <c r="AI329" i="1"/>
  <c r="AB329" i="1"/>
  <c r="AF329" i="1" s="1"/>
  <c r="AK312" i="1"/>
  <c r="AL312" i="1"/>
  <c r="AM312" i="1"/>
  <c r="AO312" i="1" s="1"/>
  <c r="AK299" i="1"/>
  <c r="AM299" i="1" s="1"/>
  <c r="AO299" i="1" s="1"/>
  <c r="AL299" i="1"/>
  <c r="AK424" i="1"/>
  <c r="AM424" i="1" s="1"/>
  <c r="AO424" i="1" s="1"/>
  <c r="AL424" i="1"/>
  <c r="AI414" i="1"/>
  <c r="AB414" i="1"/>
  <c r="AF414" i="1" s="1"/>
  <c r="AI399" i="1"/>
  <c r="AB398" i="1"/>
  <c r="AF398" i="1" s="1"/>
  <c r="Y384" i="1"/>
  <c r="W384" i="1"/>
  <c r="X384" i="1"/>
  <c r="AC384" i="1" s="1"/>
  <c r="AG384" i="1" s="1"/>
  <c r="AA379" i="1"/>
  <c r="AE379" i="1" s="1"/>
  <c r="Z379" i="1"/>
  <c r="AL359" i="1"/>
  <c r="AK359" i="1"/>
  <c r="AM359" i="1" s="1"/>
  <c r="AO359" i="1" s="1"/>
  <c r="AK404" i="1"/>
  <c r="AM404" i="1" s="1"/>
  <c r="AO404" i="1" s="1"/>
  <c r="AL404" i="1"/>
  <c r="AB397" i="1"/>
  <c r="AF397" i="1" s="1"/>
  <c r="AA396" i="1"/>
  <c r="AE396" i="1" s="1"/>
  <c r="AK388" i="1"/>
  <c r="AM388" i="1" s="1"/>
  <c r="AO388" i="1" s="1"/>
  <c r="X371" i="1"/>
  <c r="AC371" i="1" s="1"/>
  <c r="AG371" i="1" s="1"/>
  <c r="Y371" i="1"/>
  <c r="AI371" i="1" s="1"/>
  <c r="AL337" i="1"/>
  <c r="AM337" i="1"/>
  <c r="AO337" i="1" s="1"/>
  <c r="Z378" i="1"/>
  <c r="AD378" i="1" s="1"/>
  <c r="AL368" i="1"/>
  <c r="AK368" i="1"/>
  <c r="AM368" i="1" s="1"/>
  <c r="AO368" i="1" s="1"/>
  <c r="AB356" i="1"/>
  <c r="AF356" i="1" s="1"/>
  <c r="Y317" i="1"/>
  <c r="W317" i="1"/>
  <c r="X317" i="1"/>
  <c r="AC317" i="1" s="1"/>
  <c r="AG317" i="1" s="1"/>
  <c r="Z312" i="1"/>
  <c r="AD312" i="1" s="1"/>
  <c r="AK387" i="1"/>
  <c r="AM387" i="1" s="1"/>
  <c r="AO387" i="1" s="1"/>
  <c r="AL387" i="1"/>
  <c r="X382" i="1"/>
  <c r="AC382" i="1" s="1"/>
  <c r="AG382" i="1" s="1"/>
  <c r="Y382" i="1"/>
  <c r="AA313" i="1"/>
  <c r="AE313" i="1" s="1"/>
  <c r="AM383" i="1"/>
  <c r="AO383" i="1" s="1"/>
  <c r="AM376" i="1"/>
  <c r="AO376" i="1" s="1"/>
  <c r="AB336" i="1"/>
  <c r="AF336" i="1" s="1"/>
  <c r="AI336" i="1"/>
  <c r="AB321" i="1"/>
  <c r="AF321" i="1" s="1"/>
  <c r="AL301" i="1"/>
  <c r="AK301" i="1"/>
  <c r="AM301" i="1" s="1"/>
  <c r="AO301" i="1" s="1"/>
  <c r="AK390" i="1"/>
  <c r="AM390" i="1" s="1"/>
  <c r="AO390" i="1" s="1"/>
  <c r="AL390" i="1"/>
  <c r="AK382" i="1"/>
  <c r="AM382" i="1" s="1"/>
  <c r="AO382" i="1" s="1"/>
  <c r="AL382" i="1"/>
  <c r="Z372" i="1"/>
  <c r="AD372" i="1" s="1"/>
  <c r="AL342" i="1"/>
  <c r="AM342" i="1"/>
  <c r="AO342" i="1" s="1"/>
  <c r="Y311" i="1"/>
  <c r="W311" i="1"/>
  <c r="X311" i="1"/>
  <c r="AC311" i="1" s="1"/>
  <c r="AG311" i="1" s="1"/>
  <c r="AB372" i="1"/>
  <c r="AF372" i="1" s="1"/>
  <c r="Y368" i="1"/>
  <c r="W368" i="1"/>
  <c r="X368" i="1"/>
  <c r="AC368" i="1" s="1"/>
  <c r="AG368" i="1" s="1"/>
  <c r="Z363" i="1"/>
  <c r="AD363" i="1" s="1"/>
  <c r="AA363" i="1"/>
  <c r="AE363" i="1" s="1"/>
  <c r="AB345" i="1"/>
  <c r="AF345" i="1" s="1"/>
  <c r="AM349" i="1"/>
  <c r="AO349" i="1" s="1"/>
  <c r="AK341" i="1"/>
  <c r="AM341" i="1" s="1"/>
  <c r="AO341" i="1" s="1"/>
  <c r="AL341" i="1"/>
  <c r="AK338" i="1"/>
  <c r="AM338" i="1" s="1"/>
  <c r="AO338" i="1" s="1"/>
  <c r="AL338" i="1"/>
  <c r="AI334" i="1"/>
  <c r="Y332" i="1"/>
  <c r="X332" i="1"/>
  <c r="AC332" i="1" s="1"/>
  <c r="AG332" i="1" s="1"/>
  <c r="AK326" i="1"/>
  <c r="AM326" i="1" s="1"/>
  <c r="AO326" i="1" s="1"/>
  <c r="AL326" i="1"/>
  <c r="AL316" i="1"/>
  <c r="AK316" i="1"/>
  <c r="AM316" i="1" s="1"/>
  <c r="AO316" i="1" s="1"/>
  <c r="AK347" i="1"/>
  <c r="AM347" i="1" s="1"/>
  <c r="AO347" i="1" s="1"/>
  <c r="Y344" i="1"/>
  <c r="X344" i="1"/>
  <c r="AI325" i="1"/>
  <c r="AB325" i="1"/>
  <c r="AF325" i="1" s="1"/>
  <c r="AI319" i="1"/>
  <c r="AL384" i="1"/>
  <c r="AK346" i="1"/>
  <c r="AM346" i="1" s="1"/>
  <c r="AO346" i="1" s="1"/>
  <c r="AL346" i="1"/>
  <c r="AL345" i="1"/>
  <c r="W343" i="1"/>
  <c r="W341" i="1"/>
  <c r="Y338" i="1"/>
  <c r="W338" i="1"/>
  <c r="X338" i="1"/>
  <c r="AC338" i="1" s="1"/>
  <c r="AG338" i="1" s="1"/>
  <c r="AI331" i="1"/>
  <c r="AB331" i="1"/>
  <c r="AF331" i="1" s="1"/>
  <c r="AC331" i="1"/>
  <c r="AG331" i="1" s="1"/>
  <c r="AL328" i="1"/>
  <c r="AM328" i="1"/>
  <c r="AO328" i="1" s="1"/>
  <c r="AL327" i="1"/>
  <c r="AK322" i="1"/>
  <c r="AM322" i="1" s="1"/>
  <c r="AO322" i="1" s="1"/>
  <c r="Y314" i="1"/>
  <c r="W314" i="1"/>
  <c r="AK311" i="1"/>
  <c r="AM311" i="1" s="1"/>
  <c r="AO311" i="1" s="1"/>
  <c r="AL311" i="1"/>
  <c r="AI310" i="1"/>
  <c r="AC310" i="1"/>
  <c r="AG310" i="1" s="1"/>
  <c r="AH331" i="1"/>
  <c r="AK323" i="1"/>
  <c r="AM323" i="1" s="1"/>
  <c r="AO323" i="1" s="1"/>
  <c r="AL323" i="1"/>
  <c r="AK317" i="1"/>
  <c r="AM317" i="1" s="1"/>
  <c r="AO317" i="1" s="1"/>
  <c r="AL317" i="1"/>
  <c r="AL313" i="1"/>
  <c r="AK313" i="1"/>
  <c r="AM313" i="1" s="1"/>
  <c r="AO313" i="1" s="1"/>
  <c r="AL307" i="1"/>
  <c r="AK307" i="1"/>
  <c r="AM307" i="1" s="1"/>
  <c r="Y305" i="1"/>
  <c r="X305" i="1"/>
  <c r="AC305" i="1" s="1"/>
  <c r="AG305" i="1" s="1"/>
  <c r="AL339" i="1"/>
  <c r="AM339" i="1"/>
  <c r="AO339" i="1" s="1"/>
  <c r="AK332" i="1"/>
  <c r="AM332" i="1" s="1"/>
  <c r="AO332" i="1" s="1"/>
  <c r="AL332" i="1"/>
  <c r="AA316" i="1"/>
  <c r="AE316" i="1" s="1"/>
  <c r="AL298" i="1"/>
  <c r="AK298" i="1"/>
  <c r="AM298" i="1" s="1"/>
  <c r="AO298" i="1" s="1"/>
  <c r="AH340" i="1"/>
  <c r="AI340" i="1"/>
  <c r="AB337" i="1"/>
  <c r="AF337" i="1" s="1"/>
  <c r="Z335" i="1"/>
  <c r="AD335" i="1" s="1"/>
  <c r="AA335" i="1"/>
  <c r="AE335" i="1" s="1"/>
  <c r="AI309" i="1"/>
  <c r="AC304" i="1"/>
  <c r="AG304" i="1" s="1"/>
  <c r="AK335" i="1"/>
  <c r="AM335" i="1" s="1"/>
  <c r="AO335" i="1" s="1"/>
  <c r="AL335" i="1"/>
  <c r="Z329" i="1"/>
  <c r="AD329" i="1" s="1"/>
  <c r="AA329" i="1"/>
  <c r="AE329" i="1" s="1"/>
  <c r="AM324" i="1"/>
  <c r="AO324" i="1" s="1"/>
  <c r="AB322" i="1"/>
  <c r="AF322" i="1" s="1"/>
  <c r="AA300" i="1"/>
  <c r="AE300" i="1" s="1"/>
  <c r="AI328" i="1"/>
  <c r="AA327" i="1"/>
  <c r="AE327" i="1" s="1"/>
  <c r="AL324" i="1"/>
  <c r="W323" i="1"/>
  <c r="Z323" i="1" s="1"/>
  <c r="AD323" i="1" s="1"/>
  <c r="AK319" i="1"/>
  <c r="AM319" i="1" s="1"/>
  <c r="AO319" i="1" s="1"/>
  <c r="AK314" i="1"/>
  <c r="AL314" i="1"/>
  <c r="AM314" i="1"/>
  <c r="AO314" i="1" s="1"/>
  <c r="AA308" i="1"/>
  <c r="AE308" i="1" s="1"/>
  <c r="AA302" i="1"/>
  <c r="AE302" i="1" s="1"/>
  <c r="AK334" i="1"/>
  <c r="AM334" i="1" s="1"/>
  <c r="AK329" i="1"/>
  <c r="AM329" i="1" s="1"/>
  <c r="AO329" i="1" s="1"/>
  <c r="AL329" i="1"/>
  <c r="Z322" i="1"/>
  <c r="AD322" i="1" s="1"/>
  <c r="AK308" i="1"/>
  <c r="AM308" i="1" s="1"/>
  <c r="AO308" i="1" s="1"/>
  <c r="AL308" i="1"/>
  <c r="AK302" i="1"/>
  <c r="AM302" i="1" s="1"/>
  <c r="AO302" i="1" s="1"/>
  <c r="AL302" i="1"/>
  <c r="AH300" i="1"/>
  <c r="Z299" i="1"/>
  <c r="AA299" i="1"/>
  <c r="AE299" i="1" s="1"/>
  <c r="AJ24" i="1"/>
  <c r="AL24" i="1" s="1"/>
  <c r="AJ4" i="1"/>
  <c r="AL4" i="1" s="1"/>
  <c r="AJ5" i="1"/>
  <c r="AL5" i="1" s="1"/>
  <c r="AJ6" i="1"/>
  <c r="AL6" i="1" s="1"/>
  <c r="AJ7" i="1"/>
  <c r="AL7" i="1" s="1"/>
  <c r="AJ8" i="1"/>
  <c r="AL8" i="1" s="1"/>
  <c r="AJ9" i="1"/>
  <c r="AL9" i="1" s="1"/>
  <c r="AJ10" i="1"/>
  <c r="AL10" i="1" s="1"/>
  <c r="AJ11" i="1"/>
  <c r="AL11" i="1" s="1"/>
  <c r="AJ12" i="1"/>
  <c r="AL12" i="1" s="1"/>
  <c r="AJ13" i="1"/>
  <c r="AL13" i="1" s="1"/>
  <c r="AJ14" i="1"/>
  <c r="AL14" i="1" s="1"/>
  <c r="AJ15" i="1"/>
  <c r="AL15" i="1" s="1"/>
  <c r="AJ16" i="1"/>
  <c r="AK16" i="1" s="1"/>
  <c r="AJ17" i="1"/>
  <c r="AK17" i="1" s="1"/>
  <c r="AJ18" i="1"/>
  <c r="AL18" i="1" s="1"/>
  <c r="AJ19" i="1"/>
  <c r="AL19" i="1" s="1"/>
  <c r="AJ20" i="1"/>
  <c r="AL20" i="1" s="1"/>
  <c r="AJ21" i="1"/>
  <c r="AL21" i="1" s="1"/>
  <c r="AJ22" i="1"/>
  <c r="AL22" i="1" s="1"/>
  <c r="AJ23" i="1"/>
  <c r="AL23" i="1" s="1"/>
  <c r="AJ25" i="1"/>
  <c r="AL25" i="1" s="1"/>
  <c r="AJ26" i="1"/>
  <c r="AK26" i="1" s="1"/>
  <c r="AJ27" i="1"/>
  <c r="AL27" i="1" s="1"/>
  <c r="AJ28" i="1"/>
  <c r="AL28" i="1" s="1"/>
  <c r="AJ29" i="1"/>
  <c r="AL29" i="1" s="1"/>
  <c r="AJ30" i="1"/>
  <c r="AL30" i="1" s="1"/>
  <c r="AJ31" i="1"/>
  <c r="AL31" i="1" s="1"/>
  <c r="AJ32" i="1"/>
  <c r="AL32" i="1" s="1"/>
  <c r="AJ33" i="1"/>
  <c r="AL33" i="1" s="1"/>
  <c r="AJ34" i="1"/>
  <c r="AL34" i="1" s="1"/>
  <c r="AJ35" i="1"/>
  <c r="AL35" i="1" s="1"/>
  <c r="AJ36" i="1"/>
  <c r="AL36" i="1" s="1"/>
  <c r="AJ37" i="1"/>
  <c r="AL37" i="1" s="1"/>
  <c r="AJ38" i="1"/>
  <c r="AK38" i="1" s="1"/>
  <c r="AJ39" i="1"/>
  <c r="AL39" i="1" s="1"/>
  <c r="AJ40" i="1"/>
  <c r="AK40" i="1" s="1"/>
  <c r="AJ41" i="1"/>
  <c r="AL41" i="1" s="1"/>
  <c r="AJ42" i="1"/>
  <c r="AL42" i="1" s="1"/>
  <c r="AJ43" i="1"/>
  <c r="AL43" i="1" s="1"/>
  <c r="AJ44" i="1"/>
  <c r="AK44" i="1" s="1"/>
  <c r="AJ45" i="1"/>
  <c r="AL45" i="1" s="1"/>
  <c r="AJ46" i="1"/>
  <c r="AL46" i="1" s="1"/>
  <c r="AJ47" i="1"/>
  <c r="AL47" i="1" s="1"/>
  <c r="AJ48" i="1"/>
  <c r="AL48" i="1" s="1"/>
  <c r="AJ49" i="1"/>
  <c r="AL49" i="1" s="1"/>
  <c r="AJ50" i="1"/>
  <c r="AL50" i="1" s="1"/>
  <c r="AJ51" i="1"/>
  <c r="AL51" i="1" s="1"/>
  <c r="AJ52" i="1"/>
  <c r="AL52" i="1" s="1"/>
  <c r="AJ53" i="1"/>
  <c r="AL53" i="1" s="1"/>
  <c r="AJ54" i="1"/>
  <c r="AL54" i="1" s="1"/>
  <c r="AJ55" i="1"/>
  <c r="AL55" i="1" s="1"/>
  <c r="AJ56" i="1"/>
  <c r="AL56" i="1" s="1"/>
  <c r="AJ57" i="1"/>
  <c r="AL57" i="1" s="1"/>
  <c r="AJ58" i="1"/>
  <c r="AL58" i="1" s="1"/>
  <c r="AJ59" i="1"/>
  <c r="AL59" i="1" s="1"/>
  <c r="AJ60" i="1"/>
  <c r="AL60" i="1" s="1"/>
  <c r="AJ61" i="1"/>
  <c r="AL61" i="1" s="1"/>
  <c r="AJ62" i="1"/>
  <c r="AL62" i="1" s="1"/>
  <c r="AJ63" i="1"/>
  <c r="AL63" i="1" s="1"/>
  <c r="AJ64" i="1"/>
  <c r="AL64" i="1" s="1"/>
  <c r="AJ65" i="1"/>
  <c r="AL65" i="1" s="1"/>
  <c r="AJ66" i="1"/>
  <c r="AL66" i="1" s="1"/>
  <c r="AJ67" i="1"/>
  <c r="AL67" i="1" s="1"/>
  <c r="AJ68" i="1"/>
  <c r="AL68" i="1" s="1"/>
  <c r="AJ69" i="1"/>
  <c r="AL69" i="1" s="1"/>
  <c r="AJ70" i="1"/>
  <c r="AL70" i="1" s="1"/>
  <c r="AJ71" i="1"/>
  <c r="AL71" i="1" s="1"/>
  <c r="AJ72" i="1"/>
  <c r="AL72" i="1" s="1"/>
  <c r="AJ73" i="1"/>
  <c r="AL73" i="1" s="1"/>
  <c r="AJ74" i="1"/>
  <c r="AK74" i="1" s="1"/>
  <c r="AJ75" i="1"/>
  <c r="AK75" i="1" s="1"/>
  <c r="AJ76" i="1"/>
  <c r="AL76" i="1" s="1"/>
  <c r="AJ77" i="1"/>
  <c r="AK77" i="1" s="1"/>
  <c r="AJ78" i="1"/>
  <c r="AL78" i="1" s="1"/>
  <c r="AJ79" i="1"/>
  <c r="AK79" i="1" s="1"/>
  <c r="AJ80" i="1"/>
  <c r="AL80" i="1" s="1"/>
  <c r="AJ81" i="1"/>
  <c r="AL81" i="1" s="1"/>
  <c r="AJ82" i="1"/>
  <c r="AL82" i="1" s="1"/>
  <c r="AJ83" i="1"/>
  <c r="AL83" i="1" s="1"/>
  <c r="AJ84" i="1"/>
  <c r="AL84" i="1" s="1"/>
  <c r="AJ85" i="1"/>
  <c r="AL85" i="1" s="1"/>
  <c r="AJ86" i="1"/>
  <c r="AL86" i="1" s="1"/>
  <c r="AJ87" i="1"/>
  <c r="AL87" i="1" s="1"/>
  <c r="AJ88" i="1"/>
  <c r="AL88" i="1" s="1"/>
  <c r="AJ89" i="1"/>
  <c r="AL89" i="1" s="1"/>
  <c r="AJ90" i="1"/>
  <c r="AL90" i="1" s="1"/>
  <c r="AJ91" i="1"/>
  <c r="AL91" i="1" s="1"/>
  <c r="AJ92" i="1"/>
  <c r="AL92" i="1" s="1"/>
  <c r="AJ93" i="1"/>
  <c r="AL93" i="1" s="1"/>
  <c r="AJ94" i="1"/>
  <c r="AL94" i="1" s="1"/>
  <c r="AJ95" i="1"/>
  <c r="AL95" i="1" s="1"/>
  <c r="AJ96" i="1"/>
  <c r="AL96" i="1" s="1"/>
  <c r="AJ97" i="1"/>
  <c r="AL97" i="1" s="1"/>
  <c r="AJ98" i="1"/>
  <c r="AL98" i="1" s="1"/>
  <c r="AJ99" i="1"/>
  <c r="AL99" i="1" s="1"/>
  <c r="AJ100" i="1"/>
  <c r="AL100" i="1" s="1"/>
  <c r="AJ101" i="1"/>
  <c r="AL101" i="1" s="1"/>
  <c r="AJ102" i="1"/>
  <c r="AL102" i="1" s="1"/>
  <c r="AJ103" i="1"/>
  <c r="AL103" i="1" s="1"/>
  <c r="AJ104" i="1"/>
  <c r="AL104" i="1" s="1"/>
  <c r="AJ105" i="1"/>
  <c r="AL105" i="1" s="1"/>
  <c r="AJ106" i="1"/>
  <c r="AL106" i="1" s="1"/>
  <c r="AJ107" i="1"/>
  <c r="AL107" i="1" s="1"/>
  <c r="AJ108" i="1"/>
  <c r="AL108" i="1" s="1"/>
  <c r="AJ109" i="1"/>
  <c r="AL109" i="1" s="1"/>
  <c r="AJ110" i="1"/>
  <c r="AK110" i="1" s="1"/>
  <c r="AJ111" i="1"/>
  <c r="AL111" i="1" s="1"/>
  <c r="AJ112" i="1"/>
  <c r="AL112" i="1" s="1"/>
  <c r="AJ113" i="1"/>
  <c r="AL113" i="1" s="1"/>
  <c r="AJ114" i="1"/>
  <c r="AL114" i="1" s="1"/>
  <c r="AJ115" i="1"/>
  <c r="AL115" i="1" s="1"/>
  <c r="AJ116" i="1"/>
  <c r="AL116" i="1" s="1"/>
  <c r="AJ117" i="1"/>
  <c r="AL117" i="1" s="1"/>
  <c r="AJ118" i="1"/>
  <c r="AL118" i="1" s="1"/>
  <c r="AJ119" i="1"/>
  <c r="AL119" i="1" s="1"/>
  <c r="AJ120" i="1"/>
  <c r="AL120" i="1" s="1"/>
  <c r="AJ121" i="1"/>
  <c r="AL121" i="1" s="1"/>
  <c r="AJ122" i="1"/>
  <c r="AK122" i="1" s="1"/>
  <c r="AJ123" i="1"/>
  <c r="AK123" i="1" s="1"/>
  <c r="AJ124" i="1"/>
  <c r="AK124" i="1" s="1"/>
  <c r="AJ125" i="1"/>
  <c r="AL125" i="1" s="1"/>
  <c r="AJ126" i="1"/>
  <c r="AK126" i="1" s="1"/>
  <c r="AJ127" i="1"/>
  <c r="AL127" i="1" s="1"/>
  <c r="AJ128" i="1"/>
  <c r="AL128" i="1" s="1"/>
  <c r="AJ129" i="1"/>
  <c r="AL129" i="1" s="1"/>
  <c r="AJ130" i="1"/>
  <c r="AL130" i="1" s="1"/>
  <c r="AJ131" i="1"/>
  <c r="AL131" i="1" s="1"/>
  <c r="AJ132" i="1"/>
  <c r="AL132" i="1" s="1"/>
  <c r="AJ133" i="1"/>
  <c r="AL133" i="1" s="1"/>
  <c r="AJ134" i="1"/>
  <c r="AL134" i="1" s="1"/>
  <c r="AJ135" i="1"/>
  <c r="AL135" i="1" s="1"/>
  <c r="AJ136" i="1"/>
  <c r="AL136" i="1" s="1"/>
  <c r="AJ137" i="1"/>
  <c r="AL137" i="1" s="1"/>
  <c r="AJ138" i="1"/>
  <c r="AL138" i="1" s="1"/>
  <c r="AJ139" i="1"/>
  <c r="AL139" i="1" s="1"/>
  <c r="AJ140" i="1"/>
  <c r="AL140" i="1" s="1"/>
  <c r="AJ141" i="1"/>
  <c r="AL141" i="1" s="1"/>
  <c r="AJ142" i="1"/>
  <c r="AL142" i="1" s="1"/>
  <c r="AJ143" i="1"/>
  <c r="AK143" i="1" s="1"/>
  <c r="AJ144" i="1"/>
  <c r="AK144" i="1" s="1"/>
  <c r="AJ145" i="1"/>
  <c r="AL145" i="1" s="1"/>
  <c r="AJ146" i="1"/>
  <c r="AL146" i="1" s="1"/>
  <c r="AJ147" i="1"/>
  <c r="AK147" i="1" s="1"/>
  <c r="AJ148" i="1"/>
  <c r="AL148" i="1" s="1"/>
  <c r="AJ149" i="1"/>
  <c r="AL149" i="1" s="1"/>
  <c r="AJ150" i="1"/>
  <c r="AL150" i="1" s="1"/>
  <c r="AJ151" i="1"/>
  <c r="AL151" i="1" s="1"/>
  <c r="AJ152" i="1"/>
  <c r="AL152" i="1" s="1"/>
  <c r="AJ153" i="1"/>
  <c r="AL153" i="1" s="1"/>
  <c r="AJ154" i="1"/>
  <c r="AL154" i="1" s="1"/>
  <c r="AJ155" i="1"/>
  <c r="AL155" i="1" s="1"/>
  <c r="AJ156" i="1"/>
  <c r="AL156" i="1" s="1"/>
  <c r="AJ157" i="1"/>
  <c r="AL157" i="1" s="1"/>
  <c r="AJ158" i="1"/>
  <c r="AL158" i="1" s="1"/>
  <c r="AJ159" i="1"/>
  <c r="AL159" i="1" s="1"/>
  <c r="AJ160" i="1"/>
  <c r="AL160" i="1" s="1"/>
  <c r="AJ161" i="1"/>
  <c r="AL161" i="1" s="1"/>
  <c r="AJ162" i="1"/>
  <c r="AL162" i="1" s="1"/>
  <c r="AJ163" i="1"/>
  <c r="AL163" i="1" s="1"/>
  <c r="AJ164" i="1"/>
  <c r="AL164" i="1" s="1"/>
  <c r="AJ165" i="1"/>
  <c r="AL165" i="1" s="1"/>
  <c r="AJ166" i="1"/>
  <c r="AL166" i="1" s="1"/>
  <c r="AJ167" i="1"/>
  <c r="AL167" i="1" s="1"/>
  <c r="AJ168" i="1"/>
  <c r="AL168" i="1" s="1"/>
  <c r="AJ169" i="1"/>
  <c r="AL169" i="1" s="1"/>
  <c r="AJ170" i="1"/>
  <c r="AK170" i="1" s="1"/>
  <c r="AJ171" i="1"/>
  <c r="AK171" i="1" s="1"/>
  <c r="AJ172" i="1"/>
  <c r="AK172" i="1" s="1"/>
  <c r="AJ173" i="1"/>
  <c r="AK173" i="1" s="1"/>
  <c r="AJ174" i="1"/>
  <c r="AL174" i="1" s="1"/>
  <c r="AJ175" i="1"/>
  <c r="AL175" i="1" s="1"/>
  <c r="AJ176" i="1"/>
  <c r="AL176" i="1" s="1"/>
  <c r="AJ177" i="1"/>
  <c r="AL177" i="1" s="1"/>
  <c r="AJ178" i="1"/>
  <c r="AL178" i="1" s="1"/>
  <c r="AJ179" i="1"/>
  <c r="AL179" i="1" s="1"/>
  <c r="AJ180" i="1"/>
  <c r="AL180" i="1" s="1"/>
  <c r="AJ181" i="1"/>
  <c r="AL181" i="1" s="1"/>
  <c r="AJ182" i="1"/>
  <c r="AL182" i="1" s="1"/>
  <c r="AJ183" i="1"/>
  <c r="AL183" i="1" s="1"/>
  <c r="AJ184" i="1"/>
  <c r="AL184" i="1" s="1"/>
  <c r="AJ185" i="1"/>
  <c r="AL185" i="1" s="1"/>
  <c r="AJ186" i="1"/>
  <c r="AL186" i="1" s="1"/>
  <c r="AJ187" i="1"/>
  <c r="AL187" i="1" s="1"/>
  <c r="AJ188" i="1"/>
  <c r="AL188" i="1" s="1"/>
  <c r="AJ189" i="1"/>
  <c r="AL189" i="1" s="1"/>
  <c r="AJ190" i="1"/>
  <c r="AL190" i="1" s="1"/>
  <c r="AJ191" i="1"/>
  <c r="AL191" i="1" s="1"/>
  <c r="AJ192" i="1"/>
  <c r="AL192" i="1" s="1"/>
  <c r="AJ193" i="1"/>
  <c r="AL193" i="1" s="1"/>
  <c r="AJ194" i="1"/>
  <c r="AK194" i="1" s="1"/>
  <c r="AJ195" i="1"/>
  <c r="AL195" i="1" s="1"/>
  <c r="AJ196" i="1"/>
  <c r="AL196" i="1" s="1"/>
  <c r="AJ197" i="1"/>
  <c r="AL197" i="1" s="1"/>
  <c r="AJ198" i="1"/>
  <c r="AL198" i="1" s="1"/>
  <c r="AJ199" i="1"/>
  <c r="AL199" i="1" s="1"/>
  <c r="AJ200" i="1"/>
  <c r="AL200" i="1" s="1"/>
  <c r="AJ201" i="1"/>
  <c r="AL201" i="1" s="1"/>
  <c r="AJ202" i="1"/>
  <c r="AL202" i="1" s="1"/>
  <c r="AJ203" i="1"/>
  <c r="AL203" i="1" s="1"/>
  <c r="AJ204" i="1"/>
  <c r="AL204" i="1" s="1"/>
  <c r="AJ205" i="1"/>
  <c r="AL205" i="1" s="1"/>
  <c r="AJ206" i="1"/>
  <c r="AL206" i="1" s="1"/>
  <c r="AJ207" i="1"/>
  <c r="AK207" i="1" s="1"/>
  <c r="AJ208" i="1"/>
  <c r="AK208" i="1" s="1"/>
  <c r="AJ209" i="1"/>
  <c r="AK209" i="1" s="1"/>
  <c r="AJ210" i="1"/>
  <c r="AK210" i="1" s="1"/>
  <c r="AJ211" i="1"/>
  <c r="AL211" i="1" s="1"/>
  <c r="AJ212" i="1"/>
  <c r="AK212" i="1" s="1"/>
  <c r="AJ213" i="1"/>
  <c r="AK213" i="1" s="1"/>
  <c r="AJ214" i="1"/>
  <c r="AK214" i="1" s="1"/>
  <c r="AJ215" i="1"/>
  <c r="AL215" i="1" s="1"/>
  <c r="AJ216" i="1"/>
  <c r="AL216" i="1" s="1"/>
  <c r="AJ217" i="1"/>
  <c r="AL217" i="1" s="1"/>
  <c r="AJ218" i="1"/>
  <c r="AL218" i="1" s="1"/>
  <c r="AJ219" i="1"/>
  <c r="AL219" i="1" s="1"/>
  <c r="AJ220" i="1"/>
  <c r="AL220" i="1" s="1"/>
  <c r="AJ221" i="1"/>
  <c r="AL221" i="1" s="1"/>
  <c r="AJ222" i="1"/>
  <c r="AL222" i="1" s="1"/>
  <c r="AJ223" i="1"/>
  <c r="AL223" i="1" s="1"/>
  <c r="AJ224" i="1"/>
  <c r="AL224" i="1" s="1"/>
  <c r="AJ225" i="1"/>
  <c r="AL225" i="1" s="1"/>
  <c r="AJ226" i="1"/>
  <c r="AL226" i="1" s="1"/>
  <c r="AJ227" i="1"/>
  <c r="AK227" i="1" s="1"/>
  <c r="AJ228" i="1"/>
  <c r="AK228" i="1" s="1"/>
  <c r="AJ229" i="1"/>
  <c r="AL229" i="1" s="1"/>
  <c r="AJ230" i="1"/>
  <c r="AL230" i="1" s="1"/>
  <c r="AJ231" i="1"/>
  <c r="AL231" i="1" s="1"/>
  <c r="AJ232" i="1"/>
  <c r="AL232" i="1" s="1"/>
  <c r="AJ233" i="1"/>
  <c r="AL233" i="1" s="1"/>
  <c r="AJ234" i="1"/>
  <c r="AK234" i="1" s="1"/>
  <c r="AJ235" i="1"/>
  <c r="AL235" i="1" s="1"/>
  <c r="AJ236" i="1"/>
  <c r="AK236" i="1" s="1"/>
  <c r="AJ237" i="1"/>
  <c r="AL237" i="1" s="1"/>
  <c r="AJ238" i="1"/>
  <c r="AL238" i="1" s="1"/>
  <c r="AJ239" i="1"/>
  <c r="AL239" i="1" s="1"/>
  <c r="AJ240" i="1"/>
  <c r="AL240" i="1" s="1"/>
  <c r="AJ241" i="1"/>
  <c r="AL241" i="1" s="1"/>
  <c r="AJ242" i="1"/>
  <c r="AL242" i="1" s="1"/>
  <c r="AJ243" i="1"/>
  <c r="AL243" i="1" s="1"/>
  <c r="AJ244" i="1"/>
  <c r="AL244" i="1" s="1"/>
  <c r="AJ245" i="1"/>
  <c r="AL245" i="1" s="1"/>
  <c r="AJ246" i="1"/>
  <c r="AL246" i="1" s="1"/>
  <c r="AJ247" i="1"/>
  <c r="AL247" i="1" s="1"/>
  <c r="AJ248" i="1"/>
  <c r="AL248" i="1" s="1"/>
  <c r="AJ249" i="1"/>
  <c r="AL249" i="1" s="1"/>
  <c r="AJ250" i="1"/>
  <c r="AL250" i="1" s="1"/>
  <c r="AJ251" i="1"/>
  <c r="AL251" i="1" s="1"/>
  <c r="AJ252" i="1"/>
  <c r="AL252" i="1" s="1"/>
  <c r="AJ253" i="1"/>
  <c r="AL253" i="1" s="1"/>
  <c r="AJ254" i="1"/>
  <c r="AL254" i="1" s="1"/>
  <c r="AJ255" i="1"/>
  <c r="AK255" i="1" s="1"/>
  <c r="AJ256" i="1"/>
  <c r="AL256" i="1" s="1"/>
  <c r="AJ257" i="1"/>
  <c r="AL257" i="1" s="1"/>
  <c r="AJ258" i="1"/>
  <c r="AK258" i="1" s="1"/>
  <c r="AJ259" i="1"/>
  <c r="AL259" i="1" s="1"/>
  <c r="AJ260" i="1"/>
  <c r="AL260" i="1" s="1"/>
  <c r="AJ261" i="1"/>
  <c r="AL261" i="1" s="1"/>
  <c r="AJ262" i="1"/>
  <c r="AL262" i="1" s="1"/>
  <c r="AJ263" i="1"/>
  <c r="AL263" i="1" s="1"/>
  <c r="AJ264" i="1"/>
  <c r="AL264" i="1" s="1"/>
  <c r="AJ265" i="1"/>
  <c r="AL265" i="1" s="1"/>
  <c r="AJ266" i="1"/>
  <c r="AL266" i="1" s="1"/>
  <c r="AJ267" i="1"/>
  <c r="AL267" i="1" s="1"/>
  <c r="AJ268" i="1"/>
  <c r="AL268" i="1" s="1"/>
  <c r="AJ269" i="1"/>
  <c r="AL269" i="1" s="1"/>
  <c r="AJ270" i="1"/>
  <c r="AL270" i="1" s="1"/>
  <c r="AJ271" i="1"/>
  <c r="AL271" i="1" s="1"/>
  <c r="AJ272" i="1"/>
  <c r="AL272" i="1" s="1"/>
  <c r="AJ273" i="1"/>
  <c r="AL273" i="1" s="1"/>
  <c r="AJ274" i="1"/>
  <c r="AL274" i="1" s="1"/>
  <c r="AJ275" i="1"/>
  <c r="AL275" i="1" s="1"/>
  <c r="AJ276" i="1"/>
  <c r="AL276" i="1" s="1"/>
  <c r="AJ277" i="1"/>
  <c r="AL277" i="1" s="1"/>
  <c r="AJ278" i="1"/>
  <c r="AL278" i="1" s="1"/>
  <c r="AJ279" i="1"/>
  <c r="AL279" i="1" s="1"/>
  <c r="AJ280" i="1"/>
  <c r="AL280" i="1" s="1"/>
  <c r="AJ281" i="1"/>
  <c r="AL281" i="1" s="1"/>
  <c r="AJ282" i="1"/>
  <c r="AK282" i="1" s="1"/>
  <c r="AJ283" i="1"/>
  <c r="AL283" i="1" s="1"/>
  <c r="AJ284" i="1"/>
  <c r="AL284" i="1" s="1"/>
  <c r="AJ285" i="1"/>
  <c r="AL285" i="1" s="1"/>
  <c r="AJ286" i="1"/>
  <c r="AL286" i="1" s="1"/>
  <c r="AJ287" i="1"/>
  <c r="AL287" i="1" s="1"/>
  <c r="AJ288" i="1"/>
  <c r="AL288" i="1" s="1"/>
  <c r="AJ289" i="1"/>
  <c r="AL289" i="1" s="1"/>
  <c r="AJ290" i="1"/>
  <c r="AL290" i="1" s="1"/>
  <c r="AJ291" i="1"/>
  <c r="AL291" i="1" s="1"/>
  <c r="AJ292" i="1"/>
  <c r="AL292" i="1" s="1"/>
  <c r="AJ293" i="1"/>
  <c r="AL293" i="1" s="1"/>
  <c r="AJ294" i="1"/>
  <c r="AL294" i="1" s="1"/>
  <c r="AJ295" i="1"/>
  <c r="AL295" i="1" s="1"/>
  <c r="AJ296" i="1"/>
  <c r="AL296" i="1" s="1"/>
  <c r="AJ459" i="1"/>
  <c r="AL459" i="1" s="1"/>
  <c r="AJ460" i="1"/>
  <c r="AL460" i="1" s="1"/>
  <c r="AJ461" i="1"/>
  <c r="AL461" i="1" s="1"/>
  <c r="AJ462" i="1"/>
  <c r="AL462" i="1" s="1"/>
  <c r="AJ463" i="1"/>
  <c r="AL463" i="1" s="1"/>
  <c r="AJ464" i="1"/>
  <c r="AL464" i="1" s="1"/>
  <c r="AJ465" i="1"/>
  <c r="AL465" i="1" s="1"/>
  <c r="AJ466" i="1"/>
  <c r="AL466" i="1" s="1"/>
  <c r="AJ467" i="1"/>
  <c r="AL467" i="1" s="1"/>
  <c r="AJ468" i="1"/>
  <c r="AL468" i="1" s="1"/>
  <c r="AJ469" i="1"/>
  <c r="AL469" i="1" s="1"/>
  <c r="AJ470" i="1"/>
  <c r="AL470" i="1" s="1"/>
  <c r="AJ471" i="1"/>
  <c r="AL471" i="1" s="1"/>
  <c r="AJ472" i="1"/>
  <c r="AL472" i="1" s="1"/>
  <c r="AJ473" i="1"/>
  <c r="AL473" i="1" s="1"/>
  <c r="AJ474" i="1"/>
  <c r="AL474" i="1" s="1"/>
  <c r="AJ475" i="1"/>
  <c r="AL475" i="1" s="1"/>
  <c r="AJ476" i="1"/>
  <c r="AK476" i="1" s="1"/>
  <c r="AJ477" i="1"/>
  <c r="AL477" i="1" s="1"/>
  <c r="AJ478" i="1"/>
  <c r="AK478" i="1" s="1"/>
  <c r="AJ479" i="1"/>
  <c r="AL479" i="1" s="1"/>
  <c r="AJ480" i="1"/>
  <c r="AL480" i="1" s="1"/>
  <c r="AJ481" i="1"/>
  <c r="AL481" i="1" s="1"/>
  <c r="AJ482" i="1"/>
  <c r="AL482" i="1" s="1"/>
  <c r="AJ483" i="1"/>
  <c r="AL483" i="1" s="1"/>
  <c r="AJ484" i="1"/>
  <c r="AK484" i="1" s="1"/>
  <c r="AJ485" i="1"/>
  <c r="AL485" i="1" s="1"/>
  <c r="AJ486" i="1"/>
  <c r="AL486" i="1" s="1"/>
  <c r="AJ487" i="1"/>
  <c r="AL487" i="1" s="1"/>
  <c r="AJ488" i="1"/>
  <c r="AK488" i="1" s="1"/>
  <c r="AJ489" i="1"/>
  <c r="AL489" i="1" s="1"/>
  <c r="AJ490" i="1"/>
  <c r="AL490" i="1" s="1"/>
  <c r="AJ491" i="1"/>
  <c r="AL491" i="1" s="1"/>
  <c r="AJ492" i="1"/>
  <c r="AL492" i="1" s="1"/>
  <c r="AJ493" i="1"/>
  <c r="AL493" i="1" s="1"/>
  <c r="AJ494" i="1"/>
  <c r="AL494" i="1" s="1"/>
  <c r="AJ495" i="1"/>
  <c r="AK495" i="1" s="1"/>
  <c r="AJ496" i="1"/>
  <c r="AL496" i="1" s="1"/>
  <c r="AJ497" i="1"/>
  <c r="AL497" i="1" s="1"/>
  <c r="AJ498" i="1"/>
  <c r="AL498" i="1" s="1"/>
  <c r="AJ499" i="1"/>
  <c r="AL499" i="1" s="1"/>
  <c r="AJ500" i="1"/>
  <c r="AK500" i="1" s="1"/>
  <c r="AJ501" i="1"/>
  <c r="AL501" i="1" s="1"/>
  <c r="AJ502" i="1"/>
  <c r="AL502" i="1" s="1"/>
  <c r="AJ503" i="1"/>
  <c r="AL503" i="1" s="1"/>
  <c r="AJ504" i="1"/>
  <c r="AL504" i="1" s="1"/>
  <c r="AJ505" i="1"/>
  <c r="AL505" i="1" s="1"/>
  <c r="AJ506" i="1"/>
  <c r="AL506" i="1" s="1"/>
  <c r="AJ507" i="1"/>
  <c r="AL507" i="1" s="1"/>
  <c r="AJ508" i="1"/>
  <c r="AL508" i="1" s="1"/>
  <c r="AJ509" i="1"/>
  <c r="AL509" i="1" s="1"/>
  <c r="AJ510" i="1"/>
  <c r="AL510" i="1" s="1"/>
  <c r="AJ511" i="1"/>
  <c r="AL511" i="1" s="1"/>
  <c r="AJ512" i="1"/>
  <c r="AL512" i="1" s="1"/>
  <c r="AJ513" i="1"/>
  <c r="AL513" i="1" s="1"/>
  <c r="AJ514" i="1"/>
  <c r="AK514" i="1" s="1"/>
  <c r="AJ515" i="1"/>
  <c r="AK515" i="1" s="1"/>
  <c r="AJ516" i="1"/>
  <c r="AK516" i="1" s="1"/>
  <c r="AJ517" i="1"/>
  <c r="AL517" i="1" s="1"/>
  <c r="AJ518" i="1"/>
  <c r="AK518" i="1" s="1"/>
  <c r="AJ519" i="1"/>
  <c r="AK519" i="1" s="1"/>
  <c r="AJ520" i="1"/>
  <c r="AK520" i="1" s="1"/>
  <c r="AJ521" i="1"/>
  <c r="AL521" i="1" s="1"/>
  <c r="AJ522" i="1"/>
  <c r="AL522" i="1" s="1"/>
  <c r="AJ523" i="1"/>
  <c r="AL523" i="1" s="1"/>
  <c r="AJ524" i="1"/>
  <c r="AL524" i="1" s="1"/>
  <c r="AJ525" i="1"/>
  <c r="AL525" i="1" s="1"/>
  <c r="AJ526" i="1"/>
  <c r="AL526" i="1" s="1"/>
  <c r="AJ527" i="1"/>
  <c r="AL527" i="1" s="1"/>
  <c r="AJ528" i="1"/>
  <c r="AL528" i="1" s="1"/>
  <c r="AJ529" i="1"/>
  <c r="AL529" i="1" s="1"/>
  <c r="AJ530" i="1"/>
  <c r="AL530" i="1" s="1"/>
  <c r="AJ531" i="1"/>
  <c r="AL531" i="1" s="1"/>
  <c r="AJ532" i="1"/>
  <c r="AL532" i="1" s="1"/>
  <c r="AJ533" i="1"/>
  <c r="AL533" i="1" s="1"/>
  <c r="AJ534" i="1"/>
  <c r="AK534" i="1" s="1"/>
  <c r="AJ535" i="1"/>
  <c r="AK535" i="1" s="1"/>
  <c r="AJ536" i="1"/>
  <c r="AL536" i="1" s="1"/>
  <c r="AJ537" i="1"/>
  <c r="AL537" i="1" s="1"/>
  <c r="AJ538" i="1"/>
  <c r="AL538" i="1" s="1"/>
  <c r="AJ539" i="1"/>
  <c r="AK539" i="1" s="1"/>
  <c r="AJ540" i="1"/>
  <c r="AK540" i="1" s="1"/>
  <c r="AJ541" i="1"/>
  <c r="AL541" i="1" s="1"/>
  <c r="AJ542" i="1"/>
  <c r="AL542" i="1" s="1"/>
  <c r="AJ543" i="1"/>
  <c r="AK543" i="1" s="1"/>
  <c r="AJ544" i="1"/>
  <c r="AL544" i="1" s="1"/>
  <c r="AJ545" i="1"/>
  <c r="AL545" i="1" s="1"/>
  <c r="AJ546" i="1"/>
  <c r="AL546" i="1" s="1"/>
  <c r="AJ547" i="1"/>
  <c r="AL547" i="1" s="1"/>
  <c r="AJ548" i="1"/>
  <c r="AL548" i="1" s="1"/>
  <c r="AJ549" i="1"/>
  <c r="AL549" i="1" s="1"/>
  <c r="AJ550" i="1"/>
  <c r="AL550" i="1" s="1"/>
  <c r="AJ551" i="1"/>
  <c r="AL551" i="1" s="1"/>
  <c r="AJ552" i="1"/>
  <c r="AL552" i="1" s="1"/>
  <c r="AJ553" i="1"/>
  <c r="AL553" i="1" s="1"/>
  <c r="AJ554" i="1"/>
  <c r="AL554" i="1" s="1"/>
  <c r="AJ555" i="1"/>
  <c r="AL555" i="1" s="1"/>
  <c r="AJ556" i="1"/>
  <c r="AL556" i="1" s="1"/>
  <c r="AJ557" i="1"/>
  <c r="AL557" i="1" s="1"/>
  <c r="AJ558" i="1"/>
  <c r="AK558" i="1" s="1"/>
  <c r="AJ559" i="1"/>
  <c r="AL559" i="1" s="1"/>
  <c r="AJ560" i="1"/>
  <c r="AK560" i="1" s="1"/>
  <c r="AJ561" i="1"/>
  <c r="AL561" i="1" s="1"/>
  <c r="AJ562" i="1"/>
  <c r="AL562" i="1" s="1"/>
  <c r="AJ563" i="1"/>
  <c r="AL563" i="1" s="1"/>
  <c r="AJ564" i="1"/>
  <c r="AK564" i="1" s="1"/>
  <c r="AJ565" i="1"/>
  <c r="AL565" i="1" s="1"/>
  <c r="AJ566" i="1"/>
  <c r="AK566" i="1" s="1"/>
  <c r="AJ567" i="1"/>
  <c r="AK567" i="1" s="1"/>
  <c r="AJ568" i="1"/>
  <c r="AL568" i="1" s="1"/>
  <c r="AJ569" i="1"/>
  <c r="AL569" i="1" s="1"/>
  <c r="AJ570" i="1"/>
  <c r="AL570" i="1" s="1"/>
  <c r="AJ571" i="1"/>
  <c r="AL571" i="1" s="1"/>
  <c r="AJ572" i="1"/>
  <c r="AK572" i="1" s="1"/>
  <c r="AJ573" i="1"/>
  <c r="AL573" i="1" s="1"/>
  <c r="AJ574" i="1"/>
  <c r="AL574" i="1" s="1"/>
  <c r="AJ575" i="1"/>
  <c r="AL575" i="1" s="1"/>
  <c r="AJ576" i="1"/>
  <c r="AL576" i="1" s="1"/>
  <c r="AJ577" i="1"/>
  <c r="AL577" i="1" s="1"/>
  <c r="AJ578" i="1"/>
  <c r="AL578" i="1" s="1"/>
  <c r="AJ579" i="1"/>
  <c r="AL579" i="1" s="1"/>
  <c r="AJ580" i="1"/>
  <c r="AK580" i="1" s="1"/>
  <c r="AJ581" i="1"/>
  <c r="AL581" i="1" s="1"/>
  <c r="AJ582" i="1"/>
  <c r="AL582" i="1" s="1"/>
  <c r="AJ583" i="1"/>
  <c r="AL583" i="1" s="1"/>
  <c r="AJ584" i="1"/>
  <c r="AK584" i="1" s="1"/>
  <c r="AJ585" i="1"/>
  <c r="AL585" i="1" s="1"/>
  <c r="AJ586" i="1"/>
  <c r="AK586" i="1" s="1"/>
  <c r="AJ587" i="1"/>
  <c r="AK587" i="1" s="1"/>
  <c r="AJ588" i="1"/>
  <c r="AK588" i="1" s="1"/>
  <c r="AJ589" i="1"/>
  <c r="AL589" i="1" s="1"/>
  <c r="AJ590" i="1"/>
  <c r="AL590" i="1" s="1"/>
  <c r="AJ591" i="1"/>
  <c r="AL591" i="1" s="1"/>
  <c r="AJ592" i="1"/>
  <c r="AL592" i="1" s="1"/>
  <c r="AJ593" i="1"/>
  <c r="AL593" i="1" s="1"/>
  <c r="AJ594" i="1"/>
  <c r="AL594" i="1" s="1"/>
  <c r="AJ595" i="1"/>
  <c r="AL595" i="1" s="1"/>
  <c r="AJ596" i="1"/>
  <c r="AK596" i="1" s="1"/>
  <c r="AJ597" i="1"/>
  <c r="AL597" i="1" s="1"/>
  <c r="AJ598" i="1"/>
  <c r="AL598" i="1" s="1"/>
  <c r="AJ599" i="1"/>
  <c r="AK599" i="1" s="1"/>
  <c r="AJ600" i="1"/>
  <c r="AL600" i="1" s="1"/>
  <c r="AJ601" i="1"/>
  <c r="AL601" i="1" s="1"/>
  <c r="AJ602" i="1"/>
  <c r="AL602" i="1" s="1"/>
  <c r="AJ603" i="1"/>
  <c r="AL603" i="1" s="1"/>
  <c r="AJ604" i="1"/>
  <c r="AL604" i="1" s="1"/>
  <c r="AJ605" i="1"/>
  <c r="AL605" i="1" s="1"/>
  <c r="AJ606" i="1"/>
  <c r="AL606" i="1" s="1"/>
  <c r="AJ607" i="1"/>
  <c r="AL607" i="1" s="1"/>
  <c r="AJ608" i="1"/>
  <c r="AK608" i="1" s="1"/>
  <c r="AJ609" i="1"/>
  <c r="AL609" i="1" s="1"/>
  <c r="AJ610" i="1"/>
  <c r="AK610" i="1" s="1"/>
  <c r="AJ611" i="1"/>
  <c r="AK611" i="1" s="1"/>
  <c r="AJ612" i="1"/>
  <c r="AL612" i="1" s="1"/>
  <c r="AJ613" i="1"/>
  <c r="AL613" i="1" s="1"/>
  <c r="AJ614" i="1"/>
  <c r="AL614" i="1" s="1"/>
  <c r="AJ615" i="1"/>
  <c r="AL615" i="1" s="1"/>
  <c r="AJ616" i="1"/>
  <c r="AL616" i="1" s="1"/>
  <c r="AJ617" i="1"/>
  <c r="AL617" i="1" s="1"/>
  <c r="AJ618" i="1"/>
  <c r="AK618" i="1" s="1"/>
  <c r="AJ619" i="1"/>
  <c r="AK619" i="1" s="1"/>
  <c r="AJ620" i="1"/>
  <c r="AK620" i="1" s="1"/>
  <c r="AJ621" i="1"/>
  <c r="AK621" i="1" s="1"/>
  <c r="AJ3" i="1"/>
  <c r="AL3" i="1" s="1"/>
  <c r="AO446" i="1" l="1"/>
  <c r="AD350" i="1"/>
  <c r="AD717" i="1"/>
  <c r="Z396" i="1"/>
  <c r="AD396" i="1" s="1"/>
  <c r="AA699" i="1"/>
  <c r="AE699" i="1" s="1"/>
  <c r="AA420" i="1"/>
  <c r="AE420" i="1" s="1"/>
  <c r="AA428" i="1"/>
  <c r="AE428" i="1" s="1"/>
  <c r="Z428" i="1"/>
  <c r="AD428" i="1" s="1"/>
  <c r="Z354" i="1"/>
  <c r="AD354" i="1" s="1"/>
  <c r="AI418" i="1"/>
  <c r="Z353" i="1"/>
  <c r="AD353" i="1" s="1"/>
  <c r="AA437" i="1"/>
  <c r="AE437" i="1" s="1"/>
  <c r="Z321" i="1"/>
  <c r="AD321" i="1" s="1"/>
  <c r="AB702" i="1"/>
  <c r="AF702" i="1" s="1"/>
  <c r="Z420" i="1"/>
  <c r="AD420" i="1" s="1"/>
  <c r="Z413" i="1"/>
  <c r="AD413" i="1" s="1"/>
  <c r="Z307" i="1"/>
  <c r="AD307" i="1" s="1"/>
  <c r="AH324" i="1"/>
  <c r="AI337" i="1"/>
  <c r="AB389" i="1"/>
  <c r="AF389" i="1" s="1"/>
  <c r="AB377" i="1"/>
  <c r="AF377" i="1" s="1"/>
  <c r="AB364" i="1"/>
  <c r="AF364" i="1" s="1"/>
  <c r="AH446" i="1"/>
  <c r="AI437" i="1"/>
  <c r="AB392" i="1"/>
  <c r="AF392" i="1" s="1"/>
  <c r="AI630" i="1"/>
  <c r="AI696" i="1"/>
  <c r="AI717" i="1"/>
  <c r="Z644" i="1"/>
  <c r="AD644" i="1" s="1"/>
  <c r="Z415" i="1"/>
  <c r="AD415" i="1" s="1"/>
  <c r="AI702" i="1"/>
  <c r="AA738" i="1"/>
  <c r="AE738" i="1" s="1"/>
  <c r="AB679" i="1"/>
  <c r="AF679" i="1" s="1"/>
  <c r="AC724" i="1"/>
  <c r="AG724" i="1" s="1"/>
  <c r="AB724" i="1"/>
  <c r="AF724" i="1" s="1"/>
  <c r="Z724" i="1"/>
  <c r="Z732" i="1"/>
  <c r="AB454" i="1"/>
  <c r="AF454" i="1" s="1"/>
  <c r="Z660" i="1"/>
  <c r="AD660" i="1" s="1"/>
  <c r="AB354" i="1"/>
  <c r="AF354" i="1" s="1"/>
  <c r="AH398" i="1"/>
  <c r="AH363" i="1"/>
  <c r="AI421" i="1"/>
  <c r="AA400" i="1"/>
  <c r="AE400" i="1" s="1"/>
  <c r="AC454" i="1"/>
  <c r="AG454" i="1" s="1"/>
  <c r="AA410" i="1"/>
  <c r="AE410" i="1" s="1"/>
  <c r="AA644" i="1"/>
  <c r="AI648" i="1"/>
  <c r="AI720" i="1"/>
  <c r="Z688" i="1"/>
  <c r="AD688" i="1" s="1"/>
  <c r="AA696" i="1"/>
  <c r="AE696" i="1" s="1"/>
  <c r="Z707" i="1"/>
  <c r="AD707" i="1" s="1"/>
  <c r="Z715" i="1"/>
  <c r="AI397" i="1"/>
  <c r="Z702" i="1"/>
  <c r="AD702" i="1" s="1"/>
  <c r="Z685" i="1"/>
  <c r="AD685" i="1" s="1"/>
  <c r="AA651" i="1"/>
  <c r="AE651" i="1" s="1"/>
  <c r="AB651" i="1"/>
  <c r="AF651" i="1" s="1"/>
  <c r="AB299" i="1"/>
  <c r="AF299" i="1" s="1"/>
  <c r="AA360" i="1"/>
  <c r="AE360" i="1" s="1"/>
  <c r="AH333" i="1"/>
  <c r="AI354" i="1"/>
  <c r="AB400" i="1"/>
  <c r="AF400" i="1" s="1"/>
  <c r="Z400" i="1"/>
  <c r="AA432" i="1"/>
  <c r="AE432" i="1" s="1"/>
  <c r="AI687" i="1"/>
  <c r="AI708" i="1"/>
  <c r="Z708" i="1"/>
  <c r="AD708" i="1" s="1"/>
  <c r="AI688" i="1"/>
  <c r="AB738" i="1"/>
  <c r="AF738" i="1" s="1"/>
  <c r="Z389" i="1"/>
  <c r="AD389" i="1" s="1"/>
  <c r="AI350" i="1"/>
  <c r="AB350" i="1"/>
  <c r="AF350" i="1" s="1"/>
  <c r="AA458" i="1"/>
  <c r="AE458" i="1" s="1"/>
  <c r="Z458" i="1"/>
  <c r="Z297" i="1"/>
  <c r="AD297" i="1" s="1"/>
  <c r="AI458" i="1"/>
  <c r="AI638" i="1"/>
  <c r="AB717" i="1"/>
  <c r="AF717" i="1" s="1"/>
  <c r="AA736" i="1"/>
  <c r="AE736" i="1" s="1"/>
  <c r="Z736" i="1"/>
  <c r="AD736" i="1" s="1"/>
  <c r="AH318" i="1"/>
  <c r="AI304" i="1"/>
  <c r="AI344" i="1"/>
  <c r="AB335" i="1"/>
  <c r="AF335" i="1" s="1"/>
  <c r="AB445" i="1"/>
  <c r="AF445" i="1" s="1"/>
  <c r="AI405" i="1"/>
  <c r="Z432" i="1"/>
  <c r="AD432" i="1" s="1"/>
  <c r="AB660" i="1"/>
  <c r="AF660" i="1" s="1"/>
  <c r="AA708" i="1"/>
  <c r="AE708" i="1" s="1"/>
  <c r="AB688" i="1"/>
  <c r="AF688" i="1" s="1"/>
  <c r="AB420" i="1"/>
  <c r="AF420" i="1" s="1"/>
  <c r="AI360" i="1"/>
  <c r="AA365" i="1"/>
  <c r="AE365" i="1" s="1"/>
  <c r="AI699" i="1"/>
  <c r="Z705" i="1"/>
  <c r="AD705" i="1" s="1"/>
  <c r="AB301" i="1"/>
  <c r="AF301" i="1" s="1"/>
  <c r="AB334" i="1"/>
  <c r="Z699" i="1"/>
  <c r="AD699" i="1" s="1"/>
  <c r="AA705" i="1"/>
  <c r="AE705" i="1" s="1"/>
  <c r="AA297" i="1"/>
  <c r="AE297" i="1" s="1"/>
  <c r="AC316" i="1"/>
  <c r="AG316" i="1" s="1"/>
  <c r="AI335" i="1"/>
  <c r="AI415" i="1"/>
  <c r="AI413" i="1"/>
  <c r="AB432" i="1"/>
  <c r="AF432" i="1" s="1"/>
  <c r="AI705" i="1"/>
  <c r="Z687" i="1"/>
  <c r="AD687" i="1" s="1"/>
  <c r="AA717" i="1"/>
  <c r="AE717" i="1" s="1"/>
  <c r="AC641" i="1"/>
  <c r="AG641" i="1" s="1"/>
  <c r="AB641" i="1"/>
  <c r="AF641" i="1" s="1"/>
  <c r="AA345" i="1"/>
  <c r="AE345" i="1" s="1"/>
  <c r="AI389" i="1"/>
  <c r="AI299" i="1"/>
  <c r="AB396" i="1"/>
  <c r="AF396" i="1" s="1"/>
  <c r="AB297" i="1"/>
  <c r="AF297" i="1" s="1"/>
  <c r="Z316" i="1"/>
  <c r="AD316" i="1" s="1"/>
  <c r="AA337" i="1"/>
  <c r="AE337" i="1" s="1"/>
  <c r="AB316" i="1"/>
  <c r="AF316" i="1" s="1"/>
  <c r="AB371" i="1"/>
  <c r="AF371" i="1" s="1"/>
  <c r="AI410" i="1"/>
  <c r="AA415" i="1"/>
  <c r="AE415" i="1" s="1"/>
  <c r="AB457" i="1"/>
  <c r="AF457" i="1" s="1"/>
  <c r="AB428" i="1"/>
  <c r="AF428" i="1" s="1"/>
  <c r="AB413" i="1"/>
  <c r="AF413" i="1" s="1"/>
  <c r="AI666" i="1"/>
  <c r="Z677" i="1"/>
  <c r="AD677" i="1" s="1"/>
  <c r="AB659" i="1"/>
  <c r="AF659" i="1" s="1"/>
  <c r="AI728" i="1"/>
  <c r="AI707" i="1"/>
  <c r="AA350" i="1"/>
  <c r="AE350" i="1" s="1"/>
  <c r="AB330" i="1"/>
  <c r="AF330" i="1" s="1"/>
  <c r="AB434" i="1"/>
  <c r="AF434" i="1" s="1"/>
  <c r="AB333" i="1"/>
  <c r="AF333" i="1" s="1"/>
  <c r="AA333" i="1"/>
  <c r="AE333" i="1" s="1"/>
  <c r="AI333" i="1"/>
  <c r="Z651" i="1"/>
  <c r="AI396" i="1"/>
  <c r="Z696" i="1"/>
  <c r="AD696" i="1" s="1"/>
  <c r="AH319" i="1"/>
  <c r="AH391" i="1"/>
  <c r="AB418" i="1"/>
  <c r="AF418" i="1" s="1"/>
  <c r="AB429" i="1"/>
  <c r="AF429" i="1" s="1"/>
  <c r="AB715" i="1"/>
  <c r="AF715" i="1" s="1"/>
  <c r="AB417" i="1"/>
  <c r="AF417" i="1" s="1"/>
  <c r="AA367" i="1"/>
  <c r="AE367" i="1" s="1"/>
  <c r="Z367" i="1"/>
  <c r="AD367" i="1" s="1"/>
  <c r="AA399" i="1"/>
  <c r="AE399" i="1" s="1"/>
  <c r="Z399" i="1"/>
  <c r="AE383" i="1"/>
  <c r="AH383" i="1"/>
  <c r="AI426" i="1"/>
  <c r="AI690" i="1"/>
  <c r="AA416" i="1"/>
  <c r="AE416" i="1" s="1"/>
  <c r="Z416" i="1"/>
  <c r="AD416" i="1" s="1"/>
  <c r="Z439" i="1"/>
  <c r="AD439" i="1" s="1"/>
  <c r="AA439" i="1"/>
  <c r="AE439" i="1" s="1"/>
  <c r="Z714" i="1"/>
  <c r="AD714" i="1" s="1"/>
  <c r="AA714" i="1"/>
  <c r="AE714" i="1" s="1"/>
  <c r="AB709" i="1"/>
  <c r="AF709" i="1" s="1"/>
  <c r="AI709" i="1"/>
  <c r="AA679" i="1"/>
  <c r="AE679" i="1" s="1"/>
  <c r="Z679" i="1"/>
  <c r="AD679" i="1" s="1"/>
  <c r="AA727" i="1"/>
  <c r="AB339" i="1"/>
  <c r="AF339" i="1" s="1"/>
  <c r="AI339" i="1"/>
  <c r="AC378" i="1"/>
  <c r="AG378" i="1" s="1"/>
  <c r="AI378" i="1"/>
  <c r="AI342" i="1"/>
  <c r="Z429" i="1"/>
  <c r="AD429" i="1" s="1"/>
  <c r="AI372" i="1"/>
  <c r="AH427" i="1"/>
  <c r="AI353" i="1"/>
  <c r="AA417" i="1"/>
  <c r="AE417" i="1" s="1"/>
  <c r="AB378" i="1"/>
  <c r="AF378" i="1" s="1"/>
  <c r="Z365" i="1"/>
  <c r="AD365" i="1" s="1"/>
  <c r="Z647" i="1"/>
  <c r="Z704" i="1"/>
  <c r="AD704" i="1" s="1"/>
  <c r="AA704" i="1"/>
  <c r="AE704" i="1" s="1"/>
  <c r="AB298" i="1"/>
  <c r="AF298" i="1" s="1"/>
  <c r="AB381" i="1"/>
  <c r="AF381" i="1" s="1"/>
  <c r="AI381" i="1"/>
  <c r="AA442" i="1"/>
  <c r="AE442" i="1" s="1"/>
  <c r="Z442" i="1"/>
  <c r="AD442" i="1" s="1"/>
  <c r="AA303" i="1"/>
  <c r="AE303" i="1" s="1"/>
  <c r="Z303" i="1"/>
  <c r="AB729" i="1"/>
  <c r="AF729" i="1" s="1"/>
  <c r="AI729" i="1"/>
  <c r="AA444" i="1"/>
  <c r="AE444" i="1" s="1"/>
  <c r="Z444" i="1"/>
  <c r="AD444" i="1" s="1"/>
  <c r="AB342" i="1"/>
  <c r="AF342" i="1" s="1"/>
  <c r="Z362" i="1"/>
  <c r="AD362" i="1" s="1"/>
  <c r="AA638" i="1"/>
  <c r="AE638" i="1" s="1"/>
  <c r="AA729" i="1"/>
  <c r="AE729" i="1" s="1"/>
  <c r="Z738" i="1"/>
  <c r="AD738" i="1" s="1"/>
  <c r="AC309" i="1"/>
  <c r="AG309" i="1" s="1"/>
  <c r="AB309" i="1"/>
  <c r="AF309" i="1" s="1"/>
  <c r="AA412" i="1"/>
  <c r="AE412" i="1" s="1"/>
  <c r="Z412" i="1"/>
  <c r="AD412" i="1" s="1"/>
  <c r="Z638" i="1"/>
  <c r="Z304" i="1"/>
  <c r="AD304" i="1" s="1"/>
  <c r="AA304" i="1"/>
  <c r="AE304" i="1" s="1"/>
  <c r="AA386" i="1"/>
  <c r="AB386" i="1"/>
  <c r="AF386" i="1" s="1"/>
  <c r="AI386" i="1"/>
  <c r="AI308" i="1"/>
  <c r="AB308" i="1"/>
  <c r="AF308" i="1" s="1"/>
  <c r="AC308" i="1"/>
  <c r="AG308" i="1" s="1"/>
  <c r="AA639" i="1"/>
  <c r="AE639" i="1" s="1"/>
  <c r="Z438" i="1"/>
  <c r="AD438" i="1" s="1"/>
  <c r="AA323" i="1"/>
  <c r="AE323" i="1" s="1"/>
  <c r="Z308" i="1"/>
  <c r="AH309" i="1"/>
  <c r="Z306" i="1"/>
  <c r="AD306" i="1" s="1"/>
  <c r="Z390" i="1"/>
  <c r="AH390" i="1" s="1"/>
  <c r="AH442" i="1"/>
  <c r="AI377" i="1"/>
  <c r="AI302" i="1"/>
  <c r="AI382" i="1"/>
  <c r="AI355" i="1"/>
  <c r="AI623" i="1"/>
  <c r="AI639" i="1"/>
  <c r="AB632" i="1"/>
  <c r="AF632" i="1" s="1"/>
  <c r="Z623" i="1"/>
  <c r="AD623" i="1" s="1"/>
  <c r="AA641" i="1"/>
  <c r="AE641" i="1" s="1"/>
  <c r="Z729" i="1"/>
  <c r="AD729" i="1" s="1"/>
  <c r="Z709" i="1"/>
  <c r="AD709" i="1" s="1"/>
  <c r="AI686" i="1"/>
  <c r="AB714" i="1"/>
  <c r="AF714" i="1" s="1"/>
  <c r="AI685" i="1"/>
  <c r="Z309" i="1"/>
  <c r="AD309" i="1" s="1"/>
  <c r="AA309" i="1"/>
  <c r="AE309" i="1" s="1"/>
  <c r="AH455" i="1"/>
  <c r="AA394" i="1"/>
  <c r="AE394" i="1" s="1"/>
  <c r="Z394" i="1"/>
  <c r="AD394" i="1" s="1"/>
  <c r="AB666" i="1"/>
  <c r="AF666" i="1" s="1"/>
  <c r="AH310" i="1"/>
  <c r="AA719" i="1"/>
  <c r="AE719" i="1" s="1"/>
  <c r="Z719" i="1"/>
  <c r="AI452" i="1"/>
  <c r="AC452" i="1"/>
  <c r="AG452" i="1" s="1"/>
  <c r="AI313" i="1"/>
  <c r="AH325" i="1"/>
  <c r="AH354" i="1"/>
  <c r="AB320" i="1"/>
  <c r="AF320" i="1" s="1"/>
  <c r="AC390" i="1"/>
  <c r="AG390" i="1" s="1"/>
  <c r="AI436" i="1"/>
  <c r="AB302" i="1"/>
  <c r="AF302" i="1" s="1"/>
  <c r="AB355" i="1"/>
  <c r="AF355" i="1" s="1"/>
  <c r="AB426" i="1"/>
  <c r="AF426" i="1" s="1"/>
  <c r="AI635" i="1"/>
  <c r="AB639" i="1"/>
  <c r="AH671" i="1"/>
  <c r="AA732" i="1"/>
  <c r="AE732" i="1" s="1"/>
  <c r="Z336" i="1"/>
  <c r="AD336" i="1" s="1"/>
  <c r="AA336" i="1"/>
  <c r="AE336" i="1" s="1"/>
  <c r="Z648" i="1"/>
  <c r="AD648" i="1" s="1"/>
  <c r="AA407" i="1"/>
  <c r="AE407" i="1" s="1"/>
  <c r="Z407" i="1"/>
  <c r="AD407" i="1" s="1"/>
  <c r="AC405" i="1"/>
  <c r="AG405" i="1" s="1"/>
  <c r="Z405" i="1"/>
  <c r="Z328" i="1"/>
  <c r="AA328" i="1"/>
  <c r="AE328" i="1" s="1"/>
  <c r="Z355" i="1"/>
  <c r="AD355" i="1" s="1"/>
  <c r="Z701" i="1"/>
  <c r="AD701" i="1" s="1"/>
  <c r="AA695" i="1"/>
  <c r="AE695" i="1" s="1"/>
  <c r="Z695" i="1"/>
  <c r="AD695" i="1" s="1"/>
  <c r="AI330" i="1"/>
  <c r="AI704" i="1"/>
  <c r="AA690" i="1"/>
  <c r="AE690" i="1" s="1"/>
  <c r="AA381" i="1"/>
  <c r="AE381" i="1" s="1"/>
  <c r="Z381" i="1"/>
  <c r="AA434" i="1"/>
  <c r="AE434" i="1" s="1"/>
  <c r="Z434" i="1"/>
  <c r="AD434" i="1" s="1"/>
  <c r="AB394" i="1"/>
  <c r="AI320" i="1"/>
  <c r="AI390" i="1"/>
  <c r="AH451" i="1"/>
  <c r="AB623" i="1"/>
  <c r="AF623" i="1" s="1"/>
  <c r="AB685" i="1"/>
  <c r="AF685" i="1" s="1"/>
  <c r="AH722" i="1"/>
  <c r="AH694" i="1"/>
  <c r="AA635" i="1"/>
  <c r="AE635" i="1" s="1"/>
  <c r="Z635" i="1"/>
  <c r="AD635" i="1" s="1"/>
  <c r="AC735" i="1"/>
  <c r="AG735" i="1" s="1"/>
  <c r="AI735" i="1"/>
  <c r="AA440" i="1"/>
  <c r="AE440" i="1" s="1"/>
  <c r="Z440" i="1"/>
  <c r="AD440" i="1" s="1"/>
  <c r="AA685" i="1"/>
  <c r="AE685" i="1" s="1"/>
  <c r="Z301" i="1"/>
  <c r="AA301" i="1"/>
  <c r="AE301" i="1" s="1"/>
  <c r="AI440" i="1"/>
  <c r="AB442" i="1"/>
  <c r="AF442" i="1" s="1"/>
  <c r="AA692" i="1"/>
  <c r="AE692" i="1" s="1"/>
  <c r="Z692" i="1"/>
  <c r="AD692" i="1" s="1"/>
  <c r="AA647" i="1"/>
  <c r="AE647" i="1" s="1"/>
  <c r="AA445" i="1"/>
  <c r="AE445" i="1" s="1"/>
  <c r="Z445" i="1"/>
  <c r="AD445" i="1" s="1"/>
  <c r="AB365" i="1"/>
  <c r="AF365" i="1" s="1"/>
  <c r="AH704" i="1"/>
  <c r="Z313" i="1"/>
  <c r="AD313" i="1" s="1"/>
  <c r="AI394" i="1"/>
  <c r="AH395" i="1"/>
  <c r="AH349" i="1"/>
  <c r="AH345" i="1"/>
  <c r="AB412" i="1"/>
  <c r="AF412" i="1" s="1"/>
  <c r="AH437" i="1"/>
  <c r="AB423" i="1"/>
  <c r="AF423" i="1" s="1"/>
  <c r="AH448" i="1"/>
  <c r="AI647" i="1"/>
  <c r="AI719" i="1"/>
  <c r="AI693" i="1"/>
  <c r="AA700" i="1"/>
  <c r="AE700" i="1" s="1"/>
  <c r="AC375" i="1"/>
  <c r="AG375" i="1" s="1"/>
  <c r="AB375" i="1"/>
  <c r="AF375" i="1" s="1"/>
  <c r="Z401" i="1"/>
  <c r="AA401" i="1"/>
  <c r="AE401" i="1" s="1"/>
  <c r="AI301" i="1"/>
  <c r="AC301" i="1"/>
  <c r="AG301" i="1" s="1"/>
  <c r="AB436" i="1"/>
  <c r="AF436" i="1" s="1"/>
  <c r="AB328" i="1"/>
  <c r="AF328" i="1" s="1"/>
  <c r="AB439" i="1"/>
  <c r="AF439" i="1" s="1"/>
  <c r="AB452" i="1"/>
  <c r="AF452" i="1" s="1"/>
  <c r="Z339" i="1"/>
  <c r="AD339" i="1" s="1"/>
  <c r="AA339" i="1"/>
  <c r="AE339" i="1" s="1"/>
  <c r="AI679" i="1"/>
  <c r="Z366" i="1"/>
  <c r="AD366" i="1" s="1"/>
  <c r="AH679" i="1"/>
  <c r="Z693" i="1"/>
  <c r="AD693" i="1" s="1"/>
  <c r="AB703" i="1"/>
  <c r="AF703" i="1" s="1"/>
  <c r="AA430" i="1"/>
  <c r="AE430" i="1" s="1"/>
  <c r="Z430" i="1"/>
  <c r="AD430" i="1" s="1"/>
  <c r="AB303" i="1"/>
  <c r="AF303" i="1" s="1"/>
  <c r="AI303" i="1"/>
  <c r="AI641" i="1"/>
  <c r="AH692" i="1"/>
  <c r="AB332" i="1"/>
  <c r="AF332" i="1" s="1"/>
  <c r="AI357" i="1"/>
  <c r="AB362" i="1"/>
  <c r="AF362" i="1" s="1"/>
  <c r="AI412" i="1"/>
  <c r="AH441" i="1"/>
  <c r="AI416" i="1"/>
  <c r="AB713" i="1"/>
  <c r="AF713" i="1" s="1"/>
  <c r="AI662" i="1"/>
  <c r="Z375" i="1"/>
  <c r="AA375" i="1"/>
  <c r="AE375" i="1" s="1"/>
  <c r="AB635" i="1"/>
  <c r="AF635" i="1" s="1"/>
  <c r="AB401" i="1"/>
  <c r="AF401" i="1" s="1"/>
  <c r="AI401" i="1"/>
  <c r="Z436" i="1"/>
  <c r="AD436" i="1" s="1"/>
  <c r="AA357" i="1"/>
  <c r="AE357" i="1" s="1"/>
  <c r="Z357" i="1"/>
  <c r="Z452" i="1"/>
  <c r="AA449" i="1"/>
  <c r="AE449" i="1" s="1"/>
  <c r="Z449" i="1"/>
  <c r="AD449" i="1" s="1"/>
  <c r="AA397" i="1"/>
  <c r="AE397" i="1" s="1"/>
  <c r="Z397" i="1"/>
  <c r="AD397" i="1" s="1"/>
  <c r="Z342" i="1"/>
  <c r="AD342" i="1" s="1"/>
  <c r="AA342" i="1"/>
  <c r="AE342" i="1" s="1"/>
  <c r="AH372" i="1"/>
  <c r="AI366" i="1"/>
  <c r="AI417" i="1"/>
  <c r="AA693" i="1"/>
  <c r="AE693" i="1" s="1"/>
  <c r="AB732" i="1"/>
  <c r="AF732" i="1" s="1"/>
  <c r="AI732" i="1"/>
  <c r="AI438" i="1"/>
  <c r="AB438" i="1"/>
  <c r="AF438" i="1" s="1"/>
  <c r="Z431" i="1"/>
  <c r="AD431" i="1" s="1"/>
  <c r="AB306" i="1"/>
  <c r="AF306" i="1" s="1"/>
  <c r="Z417" i="1"/>
  <c r="AD417" i="1" s="1"/>
  <c r="AA306" i="1"/>
  <c r="AE306" i="1" s="1"/>
  <c r="AB382" i="1"/>
  <c r="AF382" i="1" s="1"/>
  <c r="Z700" i="1"/>
  <c r="AD700" i="1" s="1"/>
  <c r="Z298" i="1"/>
  <c r="AD298" i="1" s="1"/>
  <c r="AA298" i="1"/>
  <c r="AE298" i="1" s="1"/>
  <c r="AB444" i="1"/>
  <c r="AF444" i="1" s="1"/>
  <c r="AI383" i="1"/>
  <c r="AI431" i="1"/>
  <c r="AI362" i="1"/>
  <c r="AB431" i="1"/>
  <c r="AF431" i="1" s="1"/>
  <c r="AI439" i="1"/>
  <c r="AH416" i="1"/>
  <c r="AI713" i="1"/>
  <c r="AB662" i="1"/>
  <c r="AF662" i="1" s="1"/>
  <c r="Z690" i="1"/>
  <c r="AD690" i="1" s="1"/>
  <c r="AA330" i="1"/>
  <c r="AE330" i="1" s="1"/>
  <c r="Z330" i="1"/>
  <c r="AD330" i="1" s="1"/>
  <c r="AB357" i="1"/>
  <c r="AF357" i="1" s="1"/>
  <c r="AI449" i="1"/>
  <c r="AB313" i="1"/>
  <c r="AF313" i="1" s="1"/>
  <c r="AO651" i="1"/>
  <c r="AO635" i="1"/>
  <c r="AI670" i="1"/>
  <c r="AB670" i="1"/>
  <c r="AF670" i="1" s="1"/>
  <c r="Z682" i="1"/>
  <c r="AD682" i="1" s="1"/>
  <c r="AA682" i="1"/>
  <c r="AE682" i="1" s="1"/>
  <c r="Z731" i="1"/>
  <c r="AD731" i="1" s="1"/>
  <c r="AA731" i="1"/>
  <c r="AE731" i="1" s="1"/>
  <c r="AI734" i="1"/>
  <c r="AA733" i="1"/>
  <c r="AE733" i="1" s="1"/>
  <c r="Z733" i="1"/>
  <c r="AD733" i="1" s="1"/>
  <c r="AB698" i="1"/>
  <c r="AF698" i="1" s="1"/>
  <c r="AI698" i="1"/>
  <c r="AD715" i="1"/>
  <c r="AH715" i="1"/>
  <c r="AB728" i="1"/>
  <c r="AF728" i="1" s="1"/>
  <c r="Z622" i="1"/>
  <c r="AD622" i="1" s="1"/>
  <c r="AA622" i="1"/>
  <c r="AE622" i="1" s="1"/>
  <c r="AA634" i="1"/>
  <c r="AE634" i="1" s="1"/>
  <c r="Z634" i="1"/>
  <c r="AD634" i="1" s="1"/>
  <c r="AB627" i="1"/>
  <c r="AF627" i="1" s="1"/>
  <c r="AC627" i="1"/>
  <c r="AG627" i="1" s="1"/>
  <c r="AB629" i="1"/>
  <c r="AF629" i="1" s="1"/>
  <c r="AI629" i="1"/>
  <c r="AI661" i="1"/>
  <c r="AB661" i="1"/>
  <c r="AF661" i="1" s="1"/>
  <c r="AD674" i="1"/>
  <c r="AH674" i="1"/>
  <c r="AA672" i="1"/>
  <c r="AE672" i="1" s="1"/>
  <c r="Z672" i="1"/>
  <c r="AB675" i="1"/>
  <c r="AF675" i="1" s="1"/>
  <c r="AI675" i="1"/>
  <c r="AB737" i="1"/>
  <c r="AF737" i="1" s="1"/>
  <c r="AC737" i="1"/>
  <c r="AG737" i="1" s="1"/>
  <c r="AA737" i="1"/>
  <c r="AE737" i="1" s="1"/>
  <c r="Z737" i="1"/>
  <c r="AD737" i="1" s="1"/>
  <c r="Z712" i="1"/>
  <c r="AD712" i="1" s="1"/>
  <c r="AA712" i="1"/>
  <c r="AE712" i="1" s="1"/>
  <c r="AH711" i="1"/>
  <c r="AA662" i="1"/>
  <c r="AE662" i="1" s="1"/>
  <c r="Z662" i="1"/>
  <c r="AD662" i="1" s="1"/>
  <c r="Z640" i="1"/>
  <c r="AD640" i="1" s="1"/>
  <c r="AA640" i="1"/>
  <c r="AE640" i="1" s="1"/>
  <c r="AI634" i="1"/>
  <c r="AB634" i="1"/>
  <c r="AF634" i="1" s="1"/>
  <c r="AI677" i="1"/>
  <c r="AC677" i="1"/>
  <c r="AG677" i="1" s="1"/>
  <c r="AD647" i="1"/>
  <c r="Z655" i="1"/>
  <c r="AD655" i="1" s="1"/>
  <c r="AA655" i="1"/>
  <c r="AE655" i="1" s="1"/>
  <c r="Z633" i="1"/>
  <c r="AD633" i="1" s="1"/>
  <c r="AA633" i="1"/>
  <c r="AE633" i="1" s="1"/>
  <c r="Z675" i="1"/>
  <c r="AD675" i="1" s="1"/>
  <c r="AA675" i="1"/>
  <c r="AE675" i="1" s="1"/>
  <c r="AI712" i="1"/>
  <c r="AB712" i="1"/>
  <c r="AF712" i="1" s="1"/>
  <c r="Z720" i="1"/>
  <c r="AA720" i="1"/>
  <c r="AE720" i="1" s="1"/>
  <c r="AA628" i="1"/>
  <c r="AE628" i="1" s="1"/>
  <c r="Z628" i="1"/>
  <c r="AD628" i="1" s="1"/>
  <c r="AI628" i="1"/>
  <c r="AB628" i="1"/>
  <c r="AF628" i="1" s="1"/>
  <c r="AA643" i="1"/>
  <c r="AE643" i="1" s="1"/>
  <c r="Z643" i="1"/>
  <c r="AD643" i="1" s="1"/>
  <c r="AI631" i="1"/>
  <c r="AB631" i="1"/>
  <c r="AF631" i="1" s="1"/>
  <c r="AF639" i="1"/>
  <c r="AH639" i="1"/>
  <c r="AI673" i="1"/>
  <c r="AB673" i="1"/>
  <c r="AF673" i="1" s="1"/>
  <c r="AC683" i="1"/>
  <c r="AG683" i="1" s="1"/>
  <c r="AI683" i="1"/>
  <c r="AA673" i="1"/>
  <c r="AE673" i="1" s="1"/>
  <c r="AI633" i="1"/>
  <c r="AB633" i="1"/>
  <c r="AF633" i="1" s="1"/>
  <c r="Z703" i="1"/>
  <c r="AA703" i="1"/>
  <c r="AE703" i="1" s="1"/>
  <c r="AC700" i="1"/>
  <c r="AG700" i="1" s="1"/>
  <c r="AI700" i="1"/>
  <c r="AI718" i="1"/>
  <c r="AB718" i="1"/>
  <c r="AF718" i="1" s="1"/>
  <c r="Z624" i="1"/>
  <c r="AD624" i="1" s="1"/>
  <c r="AI681" i="1"/>
  <c r="AB681" i="1"/>
  <c r="AF681" i="1" s="1"/>
  <c r="Z681" i="1"/>
  <c r="AD681" i="1" s="1"/>
  <c r="AI731" i="1"/>
  <c r="Z654" i="1"/>
  <c r="AD654" i="1" s="1"/>
  <c r="AA654" i="1"/>
  <c r="AE654" i="1" s="1"/>
  <c r="AA710" i="1"/>
  <c r="AE710" i="1" s="1"/>
  <c r="Z710" i="1"/>
  <c r="AD710" i="1" s="1"/>
  <c r="AI652" i="1"/>
  <c r="AB652" i="1"/>
  <c r="AF652" i="1" s="1"/>
  <c r="AI667" i="1"/>
  <c r="AB667" i="1"/>
  <c r="AF667" i="1" s="1"/>
  <c r="Z734" i="1"/>
  <c r="AD734" i="1" s="1"/>
  <c r="AA734" i="1"/>
  <c r="AE734" i="1" s="1"/>
  <c r="AA701" i="1"/>
  <c r="AE701" i="1" s="1"/>
  <c r="AI701" i="1"/>
  <c r="AB701" i="1"/>
  <c r="AF701" i="1" s="1"/>
  <c r="AI622" i="1"/>
  <c r="Z658" i="1"/>
  <c r="AD658" i="1" s="1"/>
  <c r="AA658" i="1"/>
  <c r="AE658" i="1" s="1"/>
  <c r="AC626" i="1"/>
  <c r="AG626" i="1" s="1"/>
  <c r="Z649" i="1"/>
  <c r="AD649" i="1" s="1"/>
  <c r="AA649" i="1"/>
  <c r="AE649" i="1" s="1"/>
  <c r="AC672" i="1"/>
  <c r="AG672" i="1" s="1"/>
  <c r="AI672" i="1"/>
  <c r="AH656" i="1"/>
  <c r="AA713" i="1"/>
  <c r="AE713" i="1" s="1"/>
  <c r="Z713" i="1"/>
  <c r="AD713" i="1" s="1"/>
  <c r="AI710" i="1"/>
  <c r="AB710" i="1"/>
  <c r="AF710" i="1" s="1"/>
  <c r="AC710" i="1"/>
  <c r="AG710" i="1" s="1"/>
  <c r="AA689" i="1"/>
  <c r="AE689" i="1" s="1"/>
  <c r="Z689" i="1"/>
  <c r="AD689" i="1" s="1"/>
  <c r="AA676" i="1"/>
  <c r="AE676" i="1" s="1"/>
  <c r="Z723" i="1"/>
  <c r="AD723" i="1" s="1"/>
  <c r="AA723" i="1"/>
  <c r="AE723" i="1" s="1"/>
  <c r="Z645" i="1"/>
  <c r="AD645" i="1" s="1"/>
  <c r="AA645" i="1"/>
  <c r="AE645" i="1" s="1"/>
  <c r="AB726" i="1"/>
  <c r="AF726" i="1" s="1"/>
  <c r="AI726" i="1"/>
  <c r="AI654" i="1"/>
  <c r="AB654" i="1"/>
  <c r="AF654" i="1" s="1"/>
  <c r="Z667" i="1"/>
  <c r="AD667" i="1" s="1"/>
  <c r="AA667" i="1"/>
  <c r="AE667" i="1" s="1"/>
  <c r="AB630" i="1"/>
  <c r="AF630" i="1" s="1"/>
  <c r="AC630" i="1"/>
  <c r="AG630" i="1" s="1"/>
  <c r="AB682" i="1"/>
  <c r="AF682" i="1" s="1"/>
  <c r="AI682" i="1"/>
  <c r="AI640" i="1"/>
  <c r="AB640" i="1"/>
  <c r="AF640" i="1" s="1"/>
  <c r="AI655" i="1"/>
  <c r="AB655" i="1"/>
  <c r="AF655" i="1" s="1"/>
  <c r="Z673" i="1"/>
  <c r="AD673" i="1" s="1"/>
  <c r="AA625" i="1"/>
  <c r="AE625" i="1" s="1"/>
  <c r="Z625" i="1"/>
  <c r="AD625" i="1" s="1"/>
  <c r="AI658" i="1"/>
  <c r="AB658" i="1"/>
  <c r="AF658" i="1" s="1"/>
  <c r="Z630" i="1"/>
  <c r="AD630" i="1" s="1"/>
  <c r="AA630" i="1"/>
  <c r="AE630" i="1" s="1"/>
  <c r="Z626" i="1"/>
  <c r="AD626" i="1" s="1"/>
  <c r="AB642" i="1"/>
  <c r="AF642" i="1" s="1"/>
  <c r="AI642" i="1"/>
  <c r="Z646" i="1"/>
  <c r="AD646" i="1" s="1"/>
  <c r="AA646" i="1"/>
  <c r="AE646" i="1" s="1"/>
  <c r="AI649" i="1"/>
  <c r="AB649" i="1"/>
  <c r="AF649" i="1" s="1"/>
  <c r="AH708" i="1"/>
  <c r="AB677" i="1"/>
  <c r="AF677" i="1" s="1"/>
  <c r="AA657" i="1"/>
  <c r="AE657" i="1" s="1"/>
  <c r="Z657" i="1"/>
  <c r="AD657" i="1" s="1"/>
  <c r="AA636" i="1"/>
  <c r="AE636" i="1" s="1"/>
  <c r="Z636" i="1"/>
  <c r="AD636" i="1" s="1"/>
  <c r="AA716" i="1"/>
  <c r="AE716" i="1" s="1"/>
  <c r="Z716" i="1"/>
  <c r="AD716" i="1" s="1"/>
  <c r="AB626" i="1"/>
  <c r="AF626" i="1" s="1"/>
  <c r="AA726" i="1"/>
  <c r="AE726" i="1" s="1"/>
  <c r="Z697" i="1"/>
  <c r="AD697" i="1" s="1"/>
  <c r="AA697" i="1"/>
  <c r="AE697" i="1" s="1"/>
  <c r="AH669" i="1"/>
  <c r="AI650" i="1"/>
  <c r="AB650" i="1"/>
  <c r="AF650" i="1" s="1"/>
  <c r="Z718" i="1"/>
  <c r="AD718" i="1" s="1"/>
  <c r="AA718" i="1"/>
  <c r="AE718" i="1" s="1"/>
  <c r="AI625" i="1"/>
  <c r="AB625" i="1"/>
  <c r="AF625" i="1" s="1"/>
  <c r="Z664" i="1"/>
  <c r="AD664" i="1" s="1"/>
  <c r="AA664" i="1"/>
  <c r="AE664" i="1" s="1"/>
  <c r="AE644" i="1"/>
  <c r="AH644" i="1"/>
  <c r="AI646" i="1"/>
  <c r="AB646" i="1"/>
  <c r="AF646" i="1" s="1"/>
  <c r="AI678" i="1"/>
  <c r="AB678" i="1"/>
  <c r="AF678" i="1" s="1"/>
  <c r="AC716" i="1"/>
  <c r="AG716" i="1" s="1"/>
  <c r="AI716" i="1"/>
  <c r="AI657" i="1"/>
  <c r="AA721" i="1"/>
  <c r="AE721" i="1" s="1"/>
  <c r="Z721" i="1"/>
  <c r="AD721" i="1" s="1"/>
  <c r="AA668" i="1"/>
  <c r="AE668" i="1" s="1"/>
  <c r="Z668" i="1"/>
  <c r="AD668" i="1" s="1"/>
  <c r="AI689" i="1"/>
  <c r="AB689" i="1"/>
  <c r="AF689" i="1" s="1"/>
  <c r="AH706" i="1"/>
  <c r="AA681" i="1"/>
  <c r="AE681" i="1" s="1"/>
  <c r="AB723" i="1"/>
  <c r="AF723" i="1" s="1"/>
  <c r="AI723" i="1"/>
  <c r="AB645" i="1"/>
  <c r="AF645" i="1" s="1"/>
  <c r="AI645" i="1"/>
  <c r="AC697" i="1"/>
  <c r="AG697" i="1" s="1"/>
  <c r="Z680" i="1"/>
  <c r="AD680" i="1" s="1"/>
  <c r="AA680" i="1"/>
  <c r="AE680" i="1" s="1"/>
  <c r="AH707" i="1"/>
  <c r="AB733" i="1"/>
  <c r="AF733" i="1" s="1"/>
  <c r="AA629" i="1"/>
  <c r="AE629" i="1" s="1"/>
  <c r="Z629" i="1"/>
  <c r="AD629" i="1" s="1"/>
  <c r="AA661" i="1"/>
  <c r="AE661" i="1" s="1"/>
  <c r="Z661" i="1"/>
  <c r="AD661" i="1" s="1"/>
  <c r="AB663" i="1"/>
  <c r="AF663" i="1" s="1"/>
  <c r="AI663" i="1"/>
  <c r="AA631" i="1"/>
  <c r="AE631" i="1" s="1"/>
  <c r="Z631" i="1"/>
  <c r="AD631" i="1" s="1"/>
  <c r="AI676" i="1"/>
  <c r="AB676" i="1"/>
  <c r="AF676" i="1" s="1"/>
  <c r="AB684" i="1"/>
  <c r="AF684" i="1" s="1"/>
  <c r="AI684" i="1"/>
  <c r="Z684" i="1"/>
  <c r="AD684" i="1" s="1"/>
  <c r="AA684" i="1"/>
  <c r="AE684" i="1" s="1"/>
  <c r="AB622" i="1"/>
  <c r="AF622" i="1" s="1"/>
  <c r="AI643" i="1"/>
  <c r="AB643" i="1"/>
  <c r="AF643" i="1" s="1"/>
  <c r="AA637" i="1"/>
  <c r="AE637" i="1" s="1"/>
  <c r="Z637" i="1"/>
  <c r="AD637" i="1" s="1"/>
  <c r="AI664" i="1"/>
  <c r="AB664" i="1"/>
  <c r="AF664" i="1" s="1"/>
  <c r="AA650" i="1"/>
  <c r="AE650" i="1" s="1"/>
  <c r="Z650" i="1"/>
  <c r="AD650" i="1" s="1"/>
  <c r="AH653" i="1"/>
  <c r="Z627" i="1"/>
  <c r="AD627" i="1" s="1"/>
  <c r="Z678" i="1"/>
  <c r="AD678" i="1" s="1"/>
  <c r="AA678" i="1"/>
  <c r="AE678" i="1" s="1"/>
  <c r="AI636" i="1"/>
  <c r="AB636" i="1"/>
  <c r="AF636" i="1" s="1"/>
  <c r="AB657" i="1"/>
  <c r="AF657" i="1" s="1"/>
  <c r="AB721" i="1"/>
  <c r="AF721" i="1" s="1"/>
  <c r="AC721" i="1"/>
  <c r="AG721" i="1" s="1"/>
  <c r="AC725" i="1"/>
  <c r="AG725" i="1" s="1"/>
  <c r="AB725" i="1"/>
  <c r="AF725" i="1" s="1"/>
  <c r="Z725" i="1"/>
  <c r="AA725" i="1"/>
  <c r="AE725" i="1" s="1"/>
  <c r="Z686" i="1"/>
  <c r="AD686" i="1" s="1"/>
  <c r="AA686" i="1"/>
  <c r="AE686" i="1" s="1"/>
  <c r="AD732" i="1"/>
  <c r="AB624" i="1"/>
  <c r="AF624" i="1" s="1"/>
  <c r="Z698" i="1"/>
  <c r="AD698" i="1" s="1"/>
  <c r="AA698" i="1"/>
  <c r="AE698" i="1" s="1"/>
  <c r="AD735" i="1"/>
  <c r="AH735" i="1"/>
  <c r="AI733" i="1"/>
  <c r="AB734" i="1"/>
  <c r="AF734" i="1" s="1"/>
  <c r="AC734" i="1"/>
  <c r="AG734" i="1" s="1"/>
  <c r="AB691" i="1"/>
  <c r="AF691" i="1" s="1"/>
  <c r="AI691" i="1"/>
  <c r="AA632" i="1"/>
  <c r="AE632" i="1" s="1"/>
  <c r="Z632" i="1"/>
  <c r="AD632" i="1" s="1"/>
  <c r="AI637" i="1"/>
  <c r="AB637" i="1"/>
  <c r="AF637" i="1" s="1"/>
  <c r="AD665" i="1"/>
  <c r="AH665" i="1"/>
  <c r="AE666" i="1"/>
  <c r="AA652" i="1"/>
  <c r="AE652" i="1" s="1"/>
  <c r="Z652" i="1"/>
  <c r="AD652" i="1" s="1"/>
  <c r="Z683" i="1"/>
  <c r="AD683" i="1" s="1"/>
  <c r="AA683" i="1"/>
  <c r="AE683" i="1" s="1"/>
  <c r="Z663" i="1"/>
  <c r="AD663" i="1" s="1"/>
  <c r="AA663" i="1"/>
  <c r="AE663" i="1" s="1"/>
  <c r="AI721" i="1"/>
  <c r="AA670" i="1"/>
  <c r="AE670" i="1" s="1"/>
  <c r="Z670" i="1"/>
  <c r="AD670" i="1" s="1"/>
  <c r="AI668" i="1"/>
  <c r="AB668" i="1"/>
  <c r="AF668" i="1" s="1"/>
  <c r="Z728" i="1"/>
  <c r="AD728" i="1" s="1"/>
  <c r="AA728" i="1"/>
  <c r="AE728" i="1" s="1"/>
  <c r="Z691" i="1"/>
  <c r="AD691" i="1" s="1"/>
  <c r="AA691" i="1"/>
  <c r="AE691" i="1" s="1"/>
  <c r="AB716" i="1"/>
  <c r="AF716" i="1" s="1"/>
  <c r="AI624" i="1"/>
  <c r="AB731" i="1"/>
  <c r="AF731" i="1" s="1"/>
  <c r="AI737" i="1"/>
  <c r="AB680" i="1"/>
  <c r="AF680" i="1" s="1"/>
  <c r="AI680" i="1"/>
  <c r="AI697" i="1"/>
  <c r="AH730" i="1"/>
  <c r="AO307" i="1"/>
  <c r="AO420" i="1"/>
  <c r="AO405" i="1"/>
  <c r="AO318" i="1"/>
  <c r="AO386" i="1"/>
  <c r="AO331" i="1"/>
  <c r="AB311" i="1"/>
  <c r="AF311" i="1" s="1"/>
  <c r="AI311" i="1"/>
  <c r="AA369" i="1"/>
  <c r="AE369" i="1" s="1"/>
  <c r="Z369" i="1"/>
  <c r="AD369" i="1" s="1"/>
  <c r="AB433" i="1"/>
  <c r="AF433" i="1" s="1"/>
  <c r="AI433" i="1"/>
  <c r="AA450" i="1"/>
  <c r="AE450" i="1" s="1"/>
  <c r="Z450" i="1"/>
  <c r="AD450" i="1" s="1"/>
  <c r="AH312" i="1"/>
  <c r="AA382" i="1"/>
  <c r="AE382" i="1" s="1"/>
  <c r="Z382" i="1"/>
  <c r="AD382" i="1" s="1"/>
  <c r="AB404" i="1"/>
  <c r="AF404" i="1" s="1"/>
  <c r="AE418" i="1"/>
  <c r="AH418" i="1"/>
  <c r="Z380" i="1"/>
  <c r="AD380" i="1" s="1"/>
  <c r="AA380" i="1"/>
  <c r="AE380" i="1" s="1"/>
  <c r="AB370" i="1"/>
  <c r="AF370" i="1" s="1"/>
  <c r="AI370" i="1"/>
  <c r="AI409" i="1"/>
  <c r="AB409" i="1"/>
  <c r="AF409" i="1" s="1"/>
  <c r="AB368" i="1"/>
  <c r="AF368" i="1" s="1"/>
  <c r="AI368" i="1"/>
  <c r="Z384" i="1"/>
  <c r="AD384" i="1" s="1"/>
  <c r="AA384" i="1"/>
  <c r="AE384" i="1" s="1"/>
  <c r="AA364" i="1"/>
  <c r="AE364" i="1" s="1"/>
  <c r="Z364" i="1"/>
  <c r="Z377" i="1"/>
  <c r="AD377" i="1" s="1"/>
  <c r="AA377" i="1"/>
  <c r="AE377" i="1" s="1"/>
  <c r="AC373" i="1"/>
  <c r="AG373" i="1" s="1"/>
  <c r="AI373" i="1"/>
  <c r="AI305" i="1"/>
  <c r="Z409" i="1"/>
  <c r="AD409" i="1" s="1"/>
  <c r="AA409" i="1"/>
  <c r="AE409" i="1" s="1"/>
  <c r="AD400" i="1"/>
  <c r="AH400" i="1"/>
  <c r="AI453" i="1"/>
  <c r="AB453" i="1"/>
  <c r="AF453" i="1" s="1"/>
  <c r="AD299" i="1"/>
  <c r="Z338" i="1"/>
  <c r="AD338" i="1" s="1"/>
  <c r="AA338" i="1"/>
  <c r="AE338" i="1" s="1"/>
  <c r="AH356" i="1"/>
  <c r="Z423" i="1"/>
  <c r="AD423" i="1" s="1"/>
  <c r="AA423" i="1"/>
  <c r="AE423" i="1" s="1"/>
  <c r="AH432" i="1"/>
  <c r="Z403" i="1"/>
  <c r="AD403" i="1" s="1"/>
  <c r="AA403" i="1"/>
  <c r="AE403" i="1" s="1"/>
  <c r="Z314" i="1"/>
  <c r="AD314" i="1" s="1"/>
  <c r="AA314" i="1"/>
  <c r="AE314" i="1" s="1"/>
  <c r="AI341" i="1"/>
  <c r="AA341" i="1"/>
  <c r="AE341" i="1" s="1"/>
  <c r="AB341" i="1"/>
  <c r="AF341" i="1" s="1"/>
  <c r="Z311" i="1"/>
  <c r="AD311" i="1" s="1"/>
  <c r="AA311" i="1"/>
  <c r="AE311" i="1" s="1"/>
  <c r="AC369" i="1"/>
  <c r="AG369" i="1" s="1"/>
  <c r="AI369" i="1"/>
  <c r="Z352" i="1"/>
  <c r="AD352" i="1" s="1"/>
  <c r="AA352" i="1"/>
  <c r="AE352" i="1" s="1"/>
  <c r="AB435" i="1"/>
  <c r="AF435" i="1" s="1"/>
  <c r="AI435" i="1"/>
  <c r="AI404" i="1"/>
  <c r="AA348" i="1"/>
  <c r="AE348" i="1" s="1"/>
  <c r="Z348" i="1"/>
  <c r="AD348" i="1" s="1"/>
  <c r="AI456" i="1"/>
  <c r="AB456" i="1"/>
  <c r="AF456" i="1" s="1"/>
  <c r="Z435" i="1"/>
  <c r="AD435" i="1" s="1"/>
  <c r="AA435" i="1"/>
  <c r="AE435" i="1" s="1"/>
  <c r="AI348" i="1"/>
  <c r="AB348" i="1"/>
  <c r="AF348" i="1" s="1"/>
  <c r="AI393" i="1"/>
  <c r="AB393" i="1"/>
  <c r="AF393" i="1" s="1"/>
  <c r="AI326" i="1"/>
  <c r="AB326" i="1"/>
  <c r="AF326" i="1" s="1"/>
  <c r="AB380" i="1"/>
  <c r="AF380" i="1" s="1"/>
  <c r="AI380" i="1"/>
  <c r="AB384" i="1"/>
  <c r="AF384" i="1" s="1"/>
  <c r="AI384" i="1"/>
  <c r="AH329" i="1"/>
  <c r="Z393" i="1"/>
  <c r="AD393" i="1" s="1"/>
  <c r="AA393" i="1"/>
  <c r="AE393" i="1" s="1"/>
  <c r="AI411" i="1"/>
  <c r="Z368" i="1"/>
  <c r="AD368" i="1" s="1"/>
  <c r="AA368" i="1"/>
  <c r="AE368" i="1" s="1"/>
  <c r="AH414" i="1"/>
  <c r="AB411" i="1"/>
  <c r="AF411" i="1" s="1"/>
  <c r="AB388" i="1"/>
  <c r="AF388" i="1" s="1"/>
  <c r="AI388" i="1"/>
  <c r="AI406" i="1"/>
  <c r="AB406" i="1"/>
  <c r="AF406" i="1" s="1"/>
  <c r="AB305" i="1"/>
  <c r="AF305" i="1" s="1"/>
  <c r="AI385" i="1"/>
  <c r="AH410" i="1"/>
  <c r="AH457" i="1"/>
  <c r="Z305" i="1"/>
  <c r="AD305" i="1" s="1"/>
  <c r="AA305" i="1"/>
  <c r="AE305" i="1" s="1"/>
  <c r="Z358" i="1"/>
  <c r="AD358" i="1" s="1"/>
  <c r="AA358" i="1"/>
  <c r="AE358" i="1" s="1"/>
  <c r="AA347" i="1"/>
  <c r="AE347" i="1" s="1"/>
  <c r="Z347" i="1"/>
  <c r="AD347" i="1" s="1"/>
  <c r="Z361" i="1"/>
  <c r="AD361" i="1" s="1"/>
  <c r="AA361" i="1"/>
  <c r="AE361" i="1" s="1"/>
  <c r="AA433" i="1"/>
  <c r="AE433" i="1" s="1"/>
  <c r="Z433" i="1"/>
  <c r="AD433" i="1" s="1"/>
  <c r="AA456" i="1"/>
  <c r="AE456" i="1" s="1"/>
  <c r="Z456" i="1"/>
  <c r="AD456" i="1" s="1"/>
  <c r="Z344" i="1"/>
  <c r="AD344" i="1" s="1"/>
  <c r="AA344" i="1"/>
  <c r="AE344" i="1" s="1"/>
  <c r="AD379" i="1"/>
  <c r="AH379" i="1"/>
  <c r="AB352" i="1"/>
  <c r="AF352" i="1" s="1"/>
  <c r="AI352" i="1"/>
  <c r="AA425" i="1"/>
  <c r="AE425" i="1" s="1"/>
  <c r="Z425" i="1"/>
  <c r="AD425" i="1" s="1"/>
  <c r="AH392" i="1"/>
  <c r="AI450" i="1"/>
  <c r="AB450" i="1"/>
  <c r="AF450" i="1" s="1"/>
  <c r="Z341" i="1"/>
  <c r="AD341" i="1" s="1"/>
  <c r="AI387" i="1"/>
  <c r="AB387" i="1"/>
  <c r="AF387" i="1" s="1"/>
  <c r="Z370" i="1"/>
  <c r="AD370" i="1" s="1"/>
  <c r="AA370" i="1"/>
  <c r="AE370" i="1" s="1"/>
  <c r="AB369" i="1"/>
  <c r="AF369" i="1" s="1"/>
  <c r="AH396" i="1"/>
  <c r="AI323" i="1"/>
  <c r="AB323" i="1"/>
  <c r="AF323" i="1" s="1"/>
  <c r="AH304" i="1"/>
  <c r="AA374" i="1"/>
  <c r="AE374" i="1" s="1"/>
  <c r="Z374" i="1"/>
  <c r="AD374" i="1" s="1"/>
  <c r="AH327" i="1"/>
  <c r="AH315" i="1"/>
  <c r="Z388" i="1"/>
  <c r="AD388" i="1" s="1"/>
  <c r="AA388" i="1"/>
  <c r="AE388" i="1" s="1"/>
  <c r="Z406" i="1"/>
  <c r="AD406" i="1" s="1"/>
  <c r="AA406" i="1"/>
  <c r="AE406" i="1" s="1"/>
  <c r="AH376" i="1"/>
  <c r="Z426" i="1"/>
  <c r="AA426" i="1"/>
  <c r="AE426" i="1" s="1"/>
  <c r="AB359" i="1"/>
  <c r="AF359" i="1" s="1"/>
  <c r="AI359" i="1"/>
  <c r="AA447" i="1"/>
  <c r="AE447" i="1" s="1"/>
  <c r="Z447" i="1"/>
  <c r="AD447" i="1" s="1"/>
  <c r="Z411" i="1"/>
  <c r="AD411" i="1" s="1"/>
  <c r="AB338" i="1"/>
  <c r="AF338" i="1" s="1"/>
  <c r="AI338" i="1"/>
  <c r="Z419" i="1"/>
  <c r="AD419" i="1" s="1"/>
  <c r="AA419" i="1"/>
  <c r="AE419" i="1" s="1"/>
  <c r="AO334" i="1"/>
  <c r="AI314" i="1"/>
  <c r="AB314" i="1"/>
  <c r="AF314" i="1" s="1"/>
  <c r="AB358" i="1"/>
  <c r="AF358" i="1" s="1"/>
  <c r="AI358" i="1"/>
  <c r="AB361" i="1"/>
  <c r="AF361" i="1" s="1"/>
  <c r="AI361" i="1"/>
  <c r="AI408" i="1"/>
  <c r="AB408" i="1"/>
  <c r="AF408" i="1" s="1"/>
  <c r="AC344" i="1"/>
  <c r="AG344" i="1" s="1"/>
  <c r="AH344" i="1"/>
  <c r="AB344" i="1"/>
  <c r="AF344" i="1" s="1"/>
  <c r="AI343" i="1"/>
  <c r="AB343" i="1"/>
  <c r="AF343" i="1" s="1"/>
  <c r="AA343" i="1"/>
  <c r="AE343" i="1" s="1"/>
  <c r="Z343" i="1"/>
  <c r="AD343" i="1" s="1"/>
  <c r="Z332" i="1"/>
  <c r="AA332" i="1"/>
  <c r="AE332" i="1" s="1"/>
  <c r="AH360" i="1"/>
  <c r="AI351" i="1"/>
  <c r="AB351" i="1"/>
  <c r="AF351" i="1" s="1"/>
  <c r="AA424" i="1"/>
  <c r="AE424" i="1" s="1"/>
  <c r="Z424" i="1"/>
  <c r="AD424" i="1" s="1"/>
  <c r="Z385" i="1"/>
  <c r="AD385" i="1" s="1"/>
  <c r="AA385" i="1"/>
  <c r="AE385" i="1" s="1"/>
  <c r="AE413" i="1"/>
  <c r="AH362" i="1"/>
  <c r="AI425" i="1"/>
  <c r="AB425" i="1"/>
  <c r="AF425" i="1" s="1"/>
  <c r="AA453" i="1"/>
  <c r="AE453" i="1" s="1"/>
  <c r="Z453" i="1"/>
  <c r="AD453" i="1" s="1"/>
  <c r="AB403" i="1"/>
  <c r="AF403" i="1" s="1"/>
  <c r="Z326" i="1"/>
  <c r="AD326" i="1" s="1"/>
  <c r="AA326" i="1"/>
  <c r="AE326" i="1" s="1"/>
  <c r="Z387" i="1"/>
  <c r="AD387" i="1" s="1"/>
  <c r="AA387" i="1"/>
  <c r="AE387" i="1" s="1"/>
  <c r="AH443" i="1"/>
  <c r="AA373" i="1"/>
  <c r="AE373" i="1" s="1"/>
  <c r="Z373" i="1"/>
  <c r="AI403" i="1"/>
  <c r="AB317" i="1"/>
  <c r="AF317" i="1" s="1"/>
  <c r="AI317" i="1"/>
  <c r="AA371" i="1"/>
  <c r="AE371" i="1" s="1"/>
  <c r="Z371" i="1"/>
  <c r="AB346" i="1"/>
  <c r="AF346" i="1" s="1"/>
  <c r="AI346" i="1"/>
  <c r="AC421" i="1"/>
  <c r="AG421" i="1" s="1"/>
  <c r="AB421" i="1"/>
  <c r="AF421" i="1" s="1"/>
  <c r="AH322" i="1"/>
  <c r="AA351" i="1"/>
  <c r="AE351" i="1" s="1"/>
  <c r="Z359" i="1"/>
  <c r="AD359" i="1" s="1"/>
  <c r="AA359" i="1"/>
  <c r="AE359" i="1" s="1"/>
  <c r="AI423" i="1"/>
  <c r="AB385" i="1"/>
  <c r="AF385" i="1" s="1"/>
  <c r="AH422" i="1"/>
  <c r="AB424" i="1"/>
  <c r="AF424" i="1" s="1"/>
  <c r="AD302" i="1"/>
  <c r="AI332" i="1"/>
  <c r="Z317" i="1"/>
  <c r="AD317" i="1" s="1"/>
  <c r="AA317" i="1"/>
  <c r="AE317" i="1" s="1"/>
  <c r="AB374" i="1"/>
  <c r="AF374" i="1" s="1"/>
  <c r="AI374" i="1"/>
  <c r="Z346" i="1"/>
  <c r="AD346" i="1" s="1"/>
  <c r="AA346" i="1"/>
  <c r="AE346" i="1" s="1"/>
  <c r="Z320" i="1"/>
  <c r="AA320" i="1"/>
  <c r="AE320" i="1" s="1"/>
  <c r="AH353" i="1"/>
  <c r="AB402" i="1"/>
  <c r="AF402" i="1" s="1"/>
  <c r="AI402" i="1"/>
  <c r="Z421" i="1"/>
  <c r="AD421" i="1" s="1"/>
  <c r="AA421" i="1"/>
  <c r="AE421" i="1" s="1"/>
  <c r="Z404" i="1"/>
  <c r="AD404" i="1" s="1"/>
  <c r="AA404" i="1"/>
  <c r="AE404" i="1" s="1"/>
  <c r="AF430" i="1"/>
  <c r="AB347" i="1"/>
  <c r="AF347" i="1" s="1"/>
  <c r="AI347" i="1"/>
  <c r="AH415" i="1"/>
  <c r="Z351" i="1"/>
  <c r="AD351" i="1" s="1"/>
  <c r="AC419" i="1"/>
  <c r="AG419" i="1" s="1"/>
  <c r="AB419" i="1"/>
  <c r="AF419" i="1" s="1"/>
  <c r="Z408" i="1"/>
  <c r="AD408" i="1" s="1"/>
  <c r="AA408" i="1"/>
  <c r="AE408" i="1" s="1"/>
  <c r="AI447" i="1"/>
  <c r="AB447" i="1"/>
  <c r="AF447" i="1" s="1"/>
  <c r="AI424" i="1"/>
  <c r="AL621" i="1"/>
  <c r="AL255" i="1"/>
  <c r="AL207" i="1"/>
  <c r="AL171" i="1"/>
  <c r="AL147" i="1"/>
  <c r="AL123" i="1"/>
  <c r="AL75" i="1"/>
  <c r="AL620" i="1"/>
  <c r="AL608" i="1"/>
  <c r="AL596" i="1"/>
  <c r="AL584" i="1"/>
  <c r="AL572" i="1"/>
  <c r="AL560" i="1"/>
  <c r="AL500" i="1"/>
  <c r="AL488" i="1"/>
  <c r="AL476" i="1"/>
  <c r="AL194" i="1"/>
  <c r="AL170" i="1"/>
  <c r="AL122" i="1"/>
  <c r="AL110" i="1"/>
  <c r="AL74" i="1"/>
  <c r="AL38" i="1"/>
  <c r="AL26" i="1"/>
  <c r="AL619" i="1"/>
  <c r="AL535" i="1"/>
  <c r="AL618" i="1"/>
  <c r="AL558" i="1"/>
  <c r="AL534" i="1"/>
  <c r="AL228" i="1"/>
  <c r="AL144" i="1"/>
  <c r="AL227" i="1"/>
  <c r="AL143" i="1"/>
  <c r="AL580" i="1"/>
  <c r="AL520" i="1"/>
  <c r="AL484" i="1"/>
  <c r="AL214" i="1"/>
  <c r="AL567" i="1"/>
  <c r="AL543" i="1"/>
  <c r="AL519" i="1"/>
  <c r="AL495" i="1"/>
  <c r="AL213" i="1"/>
  <c r="AL566" i="1"/>
  <c r="AL518" i="1"/>
  <c r="AL236" i="1"/>
  <c r="AL212" i="1"/>
  <c r="AL44" i="1"/>
  <c r="AL79" i="1"/>
  <c r="AL588" i="1"/>
  <c r="AL564" i="1"/>
  <c r="AL540" i="1"/>
  <c r="AL516" i="1"/>
  <c r="AL282" i="1"/>
  <c r="AL258" i="1"/>
  <c r="AL234" i="1"/>
  <c r="AL210" i="1"/>
  <c r="AL126" i="1"/>
  <c r="AL611" i="1"/>
  <c r="AL599" i="1"/>
  <c r="AL587" i="1"/>
  <c r="AL539" i="1"/>
  <c r="AL515" i="1"/>
  <c r="AL209" i="1"/>
  <c r="AL173" i="1"/>
  <c r="AL77" i="1"/>
  <c r="AL17" i="1"/>
  <c r="AL610" i="1"/>
  <c r="AL586" i="1"/>
  <c r="AL514" i="1"/>
  <c r="AL478" i="1"/>
  <c r="AL208" i="1"/>
  <c r="AL172" i="1"/>
  <c r="AL124" i="1"/>
  <c r="AL40" i="1"/>
  <c r="AL16" i="1"/>
  <c r="AK178" i="1"/>
  <c r="AM178" i="1" s="1"/>
  <c r="AO178" i="1" s="1"/>
  <c r="AK70" i="1"/>
  <c r="AM70" i="1" s="1"/>
  <c r="AO70" i="1" s="1"/>
  <c r="AK544" i="1"/>
  <c r="AM544" i="1" s="1"/>
  <c r="AO544" i="1" s="1"/>
  <c r="AK501" i="1"/>
  <c r="AM501" i="1" s="1"/>
  <c r="AO501" i="1" s="1"/>
  <c r="AK286" i="1"/>
  <c r="AM286" i="1" s="1"/>
  <c r="AO286" i="1" s="1"/>
  <c r="AK262" i="1"/>
  <c r="AM262" i="1" s="1"/>
  <c r="AO262" i="1" s="1"/>
  <c r="AK237" i="1"/>
  <c r="AM237" i="1" s="1"/>
  <c r="AO237" i="1" s="1"/>
  <c r="AK130" i="1"/>
  <c r="AM130" i="1" s="1"/>
  <c r="AO130" i="1" s="1"/>
  <c r="AM213" i="1"/>
  <c r="AO213" i="1" s="1"/>
  <c r="AK165" i="1"/>
  <c r="AM165" i="1" s="1"/>
  <c r="AO165" i="1" s="1"/>
  <c r="AK477" i="1"/>
  <c r="AK285" i="1"/>
  <c r="AM285" i="1" s="1"/>
  <c r="AO285" i="1" s="1"/>
  <c r="AK261" i="1"/>
  <c r="AM261" i="1" s="1"/>
  <c r="AO261" i="1" s="1"/>
  <c r="AK190" i="1"/>
  <c r="AM190" i="1" s="1"/>
  <c r="AO190" i="1" s="1"/>
  <c r="AK146" i="1"/>
  <c r="AM146" i="1" s="1"/>
  <c r="AO146" i="1" s="1"/>
  <c r="AK129" i="1"/>
  <c r="AM129" i="1" s="1"/>
  <c r="AO129" i="1" s="1"/>
  <c r="AK106" i="1"/>
  <c r="AM106" i="1" s="1"/>
  <c r="AO106" i="1" s="1"/>
  <c r="AM566" i="1"/>
  <c r="AO566" i="1" s="1"/>
  <c r="AM518" i="1"/>
  <c r="AO518" i="1" s="1"/>
  <c r="AM236" i="1"/>
  <c r="AO236" i="1" s="1"/>
  <c r="AM212" i="1"/>
  <c r="AO212" i="1" s="1"/>
  <c r="AM44" i="1"/>
  <c r="AO44" i="1" s="1"/>
  <c r="AK609" i="1"/>
  <c r="AM609" i="1" s="1"/>
  <c r="AO609" i="1" s="1"/>
  <c r="AK542" i="1"/>
  <c r="AM542" i="1" s="1"/>
  <c r="AO542" i="1" s="1"/>
  <c r="AK496" i="1"/>
  <c r="AM496" i="1" s="1"/>
  <c r="AO496" i="1" s="1"/>
  <c r="AK284" i="1"/>
  <c r="AM284" i="1" s="1"/>
  <c r="AO284" i="1" s="1"/>
  <c r="AK260" i="1"/>
  <c r="AM260" i="1" s="1"/>
  <c r="AO260" i="1" s="1"/>
  <c r="AK189" i="1"/>
  <c r="AM189" i="1" s="1"/>
  <c r="AO189" i="1" s="1"/>
  <c r="AK128" i="1"/>
  <c r="AM128" i="1" s="1"/>
  <c r="AO128" i="1" s="1"/>
  <c r="AK105" i="1"/>
  <c r="AM105" i="1" s="1"/>
  <c r="AO105" i="1" s="1"/>
  <c r="AK39" i="1"/>
  <c r="AM39" i="1" s="1"/>
  <c r="AO39" i="1" s="1"/>
  <c r="AK10" i="1"/>
  <c r="AM10" i="1" s="1"/>
  <c r="AO10" i="1" s="1"/>
  <c r="AM79" i="1"/>
  <c r="AO79" i="1" s="1"/>
  <c r="AK585" i="1"/>
  <c r="AM585" i="1" s="1"/>
  <c r="AO585" i="1" s="1"/>
  <c r="AK561" i="1"/>
  <c r="AM561" i="1" s="1"/>
  <c r="AO561" i="1" s="1"/>
  <c r="AK470" i="1"/>
  <c r="AM470" i="1" s="1"/>
  <c r="AO470" i="1" s="1"/>
  <c r="AK188" i="1"/>
  <c r="AM188" i="1" s="1"/>
  <c r="AO188" i="1" s="1"/>
  <c r="AK104" i="1"/>
  <c r="AM104" i="1" s="1"/>
  <c r="AO104" i="1" s="1"/>
  <c r="AK9" i="1"/>
  <c r="AM9" i="1" s="1"/>
  <c r="AO9" i="1" s="1"/>
  <c r="AM588" i="1"/>
  <c r="AO588" i="1" s="1"/>
  <c r="AM564" i="1"/>
  <c r="AO564" i="1" s="1"/>
  <c r="AM540" i="1"/>
  <c r="AO540" i="1" s="1"/>
  <c r="AM516" i="1"/>
  <c r="AO516" i="1" s="1"/>
  <c r="AM282" i="1"/>
  <c r="AO282" i="1" s="1"/>
  <c r="AM258" i="1"/>
  <c r="AO258" i="1" s="1"/>
  <c r="AM234" i="1"/>
  <c r="AO234" i="1" s="1"/>
  <c r="AM210" i="1"/>
  <c r="AO210" i="1" s="1"/>
  <c r="AM126" i="1"/>
  <c r="AO126" i="1" s="1"/>
  <c r="AK102" i="1"/>
  <c r="AM102" i="1" s="1"/>
  <c r="AO102" i="1" s="1"/>
  <c r="AK90" i="1"/>
  <c r="AM90" i="1" s="1"/>
  <c r="AO90" i="1" s="1"/>
  <c r="AK78" i="1"/>
  <c r="AM78" i="1" s="1"/>
  <c r="AO78" i="1" s="1"/>
  <c r="AK66" i="1"/>
  <c r="AM66" i="1" s="1"/>
  <c r="AO66" i="1" s="1"/>
  <c r="AK54" i="1"/>
  <c r="AM54" i="1" s="1"/>
  <c r="AO54" i="1" s="1"/>
  <c r="AK42" i="1"/>
  <c r="AM42" i="1" s="1"/>
  <c r="AO42" i="1" s="1"/>
  <c r="AK30" i="1"/>
  <c r="AM30" i="1" s="1"/>
  <c r="AO30" i="1" s="1"/>
  <c r="AK18" i="1"/>
  <c r="AM18" i="1" s="1"/>
  <c r="AO18" i="1" s="1"/>
  <c r="AK6" i="1"/>
  <c r="AM6" i="1" s="1"/>
  <c r="AO6" i="1" s="1"/>
  <c r="AK600" i="1"/>
  <c r="AM600" i="1" s="1"/>
  <c r="AO600" i="1" s="1"/>
  <c r="AK494" i="1"/>
  <c r="AM494" i="1" s="1"/>
  <c r="AO494" i="1" s="1"/>
  <c r="AK468" i="1"/>
  <c r="AM468" i="1" s="1"/>
  <c r="AO468" i="1" s="1"/>
  <c r="AK278" i="1"/>
  <c r="AM278" i="1" s="1"/>
  <c r="AO278" i="1" s="1"/>
  <c r="AK186" i="1"/>
  <c r="AM186" i="1" s="1"/>
  <c r="AO186" i="1" s="1"/>
  <c r="AK164" i="1"/>
  <c r="AM164" i="1" s="1"/>
  <c r="AO164" i="1" s="1"/>
  <c r="AK142" i="1"/>
  <c r="AM142" i="1" s="1"/>
  <c r="AO142" i="1" s="1"/>
  <c r="AK94" i="1"/>
  <c r="AM94" i="1" s="1"/>
  <c r="AO94" i="1" s="1"/>
  <c r="AK69" i="1"/>
  <c r="AM69" i="1" s="1"/>
  <c r="AO69" i="1" s="1"/>
  <c r="AK34" i="1"/>
  <c r="AM34" i="1" s="1"/>
  <c r="AO34" i="1" s="1"/>
  <c r="AK8" i="1"/>
  <c r="AM8" i="1" s="1"/>
  <c r="AO8" i="1" s="1"/>
  <c r="AM580" i="1"/>
  <c r="AO580" i="1" s="1"/>
  <c r="AM484" i="1"/>
  <c r="AO484" i="1" s="1"/>
  <c r="AM539" i="1"/>
  <c r="AO539" i="1" s="1"/>
  <c r="AM515" i="1"/>
  <c r="AO515" i="1" s="1"/>
  <c r="AK491" i="1"/>
  <c r="AM491" i="1" s="1"/>
  <c r="AO491" i="1" s="1"/>
  <c r="AK269" i="1"/>
  <c r="AM269" i="1" s="1"/>
  <c r="AO269" i="1" s="1"/>
  <c r="AM209" i="1"/>
  <c r="AO209" i="1" s="1"/>
  <c r="AM173" i="1"/>
  <c r="AO173" i="1" s="1"/>
  <c r="AK161" i="1"/>
  <c r="AM161" i="1" s="1"/>
  <c r="AO161" i="1" s="1"/>
  <c r="AK125" i="1"/>
  <c r="AM125" i="1" s="1"/>
  <c r="AO125" i="1" s="1"/>
  <c r="AM77" i="1"/>
  <c r="AO77" i="1" s="1"/>
  <c r="AM17" i="1"/>
  <c r="AO17" i="1" s="1"/>
  <c r="AK513" i="1"/>
  <c r="AM513" i="1" s="1"/>
  <c r="AO513" i="1" s="1"/>
  <c r="AK492" i="1"/>
  <c r="AM492" i="1" s="1"/>
  <c r="AO492" i="1" s="1"/>
  <c r="AK467" i="1"/>
  <c r="AM467" i="1" s="1"/>
  <c r="AO467" i="1" s="1"/>
  <c r="AK274" i="1"/>
  <c r="AM274" i="1" s="1"/>
  <c r="AO274" i="1" s="1"/>
  <c r="AK254" i="1"/>
  <c r="AM254" i="1" s="1"/>
  <c r="AO254" i="1" s="1"/>
  <c r="AK226" i="1"/>
  <c r="AM226" i="1" s="1"/>
  <c r="AO226" i="1" s="1"/>
  <c r="AK185" i="1"/>
  <c r="AM185" i="1" s="1"/>
  <c r="AO185" i="1" s="1"/>
  <c r="AK162" i="1"/>
  <c r="AM162" i="1" s="1"/>
  <c r="AO162" i="1" s="1"/>
  <c r="AK141" i="1"/>
  <c r="AM141" i="1" s="1"/>
  <c r="AO141" i="1" s="1"/>
  <c r="AK93" i="1"/>
  <c r="AM93" i="1" s="1"/>
  <c r="AO93" i="1" s="1"/>
  <c r="AK68" i="1"/>
  <c r="AM68" i="1" s="1"/>
  <c r="AO68" i="1" s="1"/>
  <c r="AK33" i="1"/>
  <c r="AM33" i="1" s="1"/>
  <c r="AO33" i="1" s="1"/>
  <c r="AK5" i="1"/>
  <c r="AM5" i="1" s="1"/>
  <c r="AO5" i="1" s="1"/>
  <c r="AM621" i="1"/>
  <c r="AO621" i="1" s="1"/>
  <c r="AM477" i="1"/>
  <c r="AO477" i="1" s="1"/>
  <c r="AM214" i="1"/>
  <c r="AO214" i="1" s="1"/>
  <c r="AK615" i="1"/>
  <c r="AM615" i="1" s="1"/>
  <c r="AO615" i="1" s="1"/>
  <c r="AM567" i="1"/>
  <c r="AO567" i="1" s="1"/>
  <c r="AM543" i="1"/>
  <c r="AO543" i="1" s="1"/>
  <c r="AM519" i="1"/>
  <c r="AO519" i="1" s="1"/>
  <c r="AM495" i="1"/>
  <c r="AO495" i="1" s="1"/>
  <c r="AK471" i="1"/>
  <c r="AM471" i="1" s="1"/>
  <c r="AO471" i="1" s="1"/>
  <c r="AM611" i="1"/>
  <c r="AO611" i="1" s="1"/>
  <c r="AM599" i="1"/>
  <c r="AO599" i="1" s="1"/>
  <c r="AM587" i="1"/>
  <c r="AO587" i="1" s="1"/>
  <c r="AM610" i="1"/>
  <c r="AO610" i="1" s="1"/>
  <c r="AM586" i="1"/>
  <c r="AO586" i="1" s="1"/>
  <c r="AM514" i="1"/>
  <c r="AO514" i="1" s="1"/>
  <c r="AM478" i="1"/>
  <c r="AO478" i="1" s="1"/>
  <c r="AM208" i="1"/>
  <c r="AO208" i="1" s="1"/>
  <c r="AM172" i="1"/>
  <c r="AO172" i="1" s="1"/>
  <c r="AM124" i="1"/>
  <c r="AO124" i="1" s="1"/>
  <c r="AK112" i="1"/>
  <c r="AM112" i="1" s="1"/>
  <c r="AO112" i="1" s="1"/>
  <c r="AM40" i="1"/>
  <c r="AO40" i="1" s="1"/>
  <c r="AM16" i="1"/>
  <c r="AO16" i="1" s="1"/>
  <c r="AK598" i="1"/>
  <c r="AM598" i="1" s="1"/>
  <c r="AO598" i="1" s="1"/>
  <c r="AK579" i="1"/>
  <c r="AM579" i="1" s="1"/>
  <c r="AO579" i="1" s="1"/>
  <c r="AK557" i="1"/>
  <c r="AM557" i="1" s="1"/>
  <c r="AO557" i="1" s="1"/>
  <c r="AK508" i="1"/>
  <c r="AM508" i="1" s="1"/>
  <c r="AO508" i="1" s="1"/>
  <c r="AK489" i="1"/>
  <c r="AM489" i="1" s="1"/>
  <c r="AO489" i="1" s="1"/>
  <c r="AK466" i="1"/>
  <c r="AM466" i="1" s="1"/>
  <c r="AO466" i="1" s="1"/>
  <c r="AK273" i="1"/>
  <c r="AM273" i="1" s="1"/>
  <c r="AO273" i="1" s="1"/>
  <c r="AK250" i="1"/>
  <c r="AM250" i="1" s="1"/>
  <c r="AO250" i="1" s="1"/>
  <c r="AK225" i="1"/>
  <c r="AM225" i="1" s="1"/>
  <c r="AO225" i="1" s="1"/>
  <c r="AK202" i="1"/>
  <c r="AM202" i="1" s="1"/>
  <c r="AO202" i="1" s="1"/>
  <c r="AK184" i="1"/>
  <c r="AM184" i="1" s="1"/>
  <c r="AO184" i="1" s="1"/>
  <c r="AK160" i="1"/>
  <c r="AM160" i="1" s="1"/>
  <c r="AO160" i="1" s="1"/>
  <c r="AK140" i="1"/>
  <c r="AM140" i="1" s="1"/>
  <c r="AO140" i="1" s="1"/>
  <c r="AK92" i="1"/>
  <c r="AM92" i="1" s="1"/>
  <c r="AO92" i="1" s="1"/>
  <c r="AK55" i="1"/>
  <c r="AM55" i="1" s="1"/>
  <c r="AO55" i="1" s="1"/>
  <c r="AK32" i="1"/>
  <c r="AM32" i="1" s="1"/>
  <c r="AO32" i="1" s="1"/>
  <c r="AK4" i="1"/>
  <c r="AM4" i="1" s="1"/>
  <c r="AO4" i="1" s="1"/>
  <c r="AM255" i="1"/>
  <c r="AO255" i="1" s="1"/>
  <c r="AM207" i="1"/>
  <c r="AO207" i="1" s="1"/>
  <c r="AM171" i="1"/>
  <c r="AO171" i="1" s="1"/>
  <c r="AM147" i="1"/>
  <c r="AO147" i="1" s="1"/>
  <c r="AM123" i="1"/>
  <c r="AO123" i="1" s="1"/>
  <c r="AK99" i="1"/>
  <c r="AM99" i="1" s="1"/>
  <c r="AO99" i="1" s="1"/>
  <c r="AM75" i="1"/>
  <c r="AO75" i="1" s="1"/>
  <c r="AK15" i="1"/>
  <c r="AM15" i="1" s="1"/>
  <c r="AO15" i="1" s="1"/>
  <c r="AK597" i="1"/>
  <c r="AM597" i="1" s="1"/>
  <c r="AO597" i="1" s="1"/>
  <c r="AK578" i="1"/>
  <c r="AM578" i="1" s="1"/>
  <c r="AO578" i="1" s="1"/>
  <c r="AK556" i="1"/>
  <c r="AM556" i="1" s="1"/>
  <c r="AO556" i="1" s="1"/>
  <c r="AK532" i="1"/>
  <c r="AM532" i="1" s="1"/>
  <c r="AO532" i="1" s="1"/>
  <c r="AK507" i="1"/>
  <c r="AM507" i="1" s="1"/>
  <c r="AO507" i="1" s="1"/>
  <c r="AK465" i="1"/>
  <c r="AM465" i="1" s="1"/>
  <c r="AO465" i="1" s="1"/>
  <c r="AK272" i="1"/>
  <c r="AM272" i="1" s="1"/>
  <c r="AO272" i="1" s="1"/>
  <c r="AK249" i="1"/>
  <c r="AM249" i="1" s="1"/>
  <c r="AO249" i="1" s="1"/>
  <c r="AK224" i="1"/>
  <c r="AM224" i="1" s="1"/>
  <c r="AO224" i="1" s="1"/>
  <c r="AK201" i="1"/>
  <c r="AM201" i="1" s="1"/>
  <c r="AO201" i="1" s="1"/>
  <c r="AK183" i="1"/>
  <c r="AM183" i="1" s="1"/>
  <c r="AO183" i="1" s="1"/>
  <c r="AK159" i="1"/>
  <c r="AM159" i="1" s="1"/>
  <c r="AO159" i="1" s="1"/>
  <c r="AK138" i="1"/>
  <c r="AM138" i="1" s="1"/>
  <c r="AO138" i="1" s="1"/>
  <c r="AK118" i="1"/>
  <c r="AM118" i="1" s="1"/>
  <c r="AO118" i="1" s="1"/>
  <c r="AK88" i="1"/>
  <c r="AM88" i="1" s="1"/>
  <c r="AO88" i="1" s="1"/>
  <c r="AK53" i="1"/>
  <c r="AM53" i="1" s="1"/>
  <c r="AO53" i="1" s="1"/>
  <c r="AM520" i="1"/>
  <c r="AO520" i="1" s="1"/>
  <c r="AM608" i="1"/>
  <c r="AO608" i="1" s="1"/>
  <c r="AM560" i="1"/>
  <c r="AO560" i="1" s="1"/>
  <c r="AM194" i="1"/>
  <c r="AO194" i="1" s="1"/>
  <c r="AM170" i="1"/>
  <c r="AO170" i="1" s="1"/>
  <c r="AM122" i="1"/>
  <c r="AO122" i="1" s="1"/>
  <c r="AM110" i="1"/>
  <c r="AO110" i="1" s="1"/>
  <c r="AK98" i="1"/>
  <c r="AM98" i="1" s="1"/>
  <c r="AO98" i="1" s="1"/>
  <c r="AM74" i="1"/>
  <c r="AO74" i="1" s="1"/>
  <c r="AM38" i="1"/>
  <c r="AO38" i="1" s="1"/>
  <c r="AM26" i="1"/>
  <c r="AO26" i="1" s="1"/>
  <c r="AK576" i="1"/>
  <c r="AM576" i="1" s="1"/>
  <c r="AO576" i="1" s="1"/>
  <c r="AK555" i="1"/>
  <c r="AM555" i="1" s="1"/>
  <c r="AO555" i="1" s="1"/>
  <c r="AK531" i="1"/>
  <c r="AM531" i="1" s="1"/>
  <c r="AO531" i="1" s="1"/>
  <c r="AK506" i="1"/>
  <c r="AM506" i="1" s="1"/>
  <c r="AO506" i="1" s="1"/>
  <c r="AK483" i="1"/>
  <c r="AM483" i="1" s="1"/>
  <c r="AO483" i="1" s="1"/>
  <c r="AK464" i="1"/>
  <c r="AM464" i="1" s="1"/>
  <c r="AO464" i="1" s="1"/>
  <c r="AK270" i="1"/>
  <c r="AM270" i="1" s="1"/>
  <c r="AO270" i="1" s="1"/>
  <c r="AK248" i="1"/>
  <c r="AM248" i="1" s="1"/>
  <c r="AO248" i="1" s="1"/>
  <c r="AK222" i="1"/>
  <c r="AM222" i="1" s="1"/>
  <c r="AO222" i="1" s="1"/>
  <c r="AK200" i="1"/>
  <c r="AM200" i="1" s="1"/>
  <c r="AO200" i="1" s="1"/>
  <c r="AK182" i="1"/>
  <c r="AM182" i="1" s="1"/>
  <c r="AO182" i="1" s="1"/>
  <c r="AK158" i="1"/>
  <c r="AM158" i="1" s="1"/>
  <c r="AO158" i="1" s="1"/>
  <c r="AK137" i="1"/>
  <c r="AM137" i="1" s="1"/>
  <c r="AO137" i="1" s="1"/>
  <c r="AK117" i="1"/>
  <c r="AM117" i="1" s="1"/>
  <c r="AO117" i="1" s="1"/>
  <c r="AK87" i="1"/>
  <c r="AM87" i="1" s="1"/>
  <c r="AO87" i="1" s="1"/>
  <c r="AK52" i="1"/>
  <c r="AM52" i="1" s="1"/>
  <c r="AO52" i="1" s="1"/>
  <c r="AK22" i="1"/>
  <c r="AM22" i="1" s="1"/>
  <c r="AO22" i="1" s="1"/>
  <c r="AM584" i="1"/>
  <c r="AO584" i="1" s="1"/>
  <c r="AM488" i="1"/>
  <c r="AO488" i="1" s="1"/>
  <c r="AM619" i="1"/>
  <c r="AO619" i="1" s="1"/>
  <c r="AM535" i="1"/>
  <c r="AO535" i="1" s="1"/>
  <c r="AK592" i="1"/>
  <c r="AM592" i="1" s="1"/>
  <c r="AO592" i="1" s="1"/>
  <c r="AK573" i="1"/>
  <c r="AM573" i="1" s="1"/>
  <c r="AO573" i="1" s="1"/>
  <c r="AK554" i="1"/>
  <c r="AM554" i="1" s="1"/>
  <c r="AO554" i="1" s="1"/>
  <c r="AK530" i="1"/>
  <c r="AM530" i="1" s="1"/>
  <c r="AO530" i="1" s="1"/>
  <c r="AK504" i="1"/>
  <c r="AM504" i="1" s="1"/>
  <c r="AO504" i="1" s="1"/>
  <c r="AK482" i="1"/>
  <c r="AM482" i="1" s="1"/>
  <c r="AO482" i="1" s="1"/>
  <c r="AK294" i="1"/>
  <c r="AM294" i="1" s="1"/>
  <c r="AO294" i="1" s="1"/>
  <c r="AK268" i="1"/>
  <c r="AM268" i="1" s="1"/>
  <c r="AO268" i="1" s="1"/>
  <c r="AK246" i="1"/>
  <c r="AM246" i="1" s="1"/>
  <c r="AO246" i="1" s="1"/>
  <c r="AK221" i="1"/>
  <c r="AM221" i="1" s="1"/>
  <c r="AO221" i="1" s="1"/>
  <c r="AK198" i="1"/>
  <c r="AM198" i="1" s="1"/>
  <c r="AO198" i="1" s="1"/>
  <c r="AK177" i="1"/>
  <c r="AM177" i="1" s="1"/>
  <c r="AO177" i="1" s="1"/>
  <c r="AK150" i="1"/>
  <c r="AM150" i="1" s="1"/>
  <c r="AO150" i="1" s="1"/>
  <c r="AK136" i="1"/>
  <c r="AM136" i="1" s="1"/>
  <c r="AO136" i="1" s="1"/>
  <c r="AK116" i="1"/>
  <c r="AM116" i="1" s="1"/>
  <c r="AO116" i="1" s="1"/>
  <c r="AK82" i="1"/>
  <c r="AM82" i="1" s="1"/>
  <c r="AO82" i="1" s="1"/>
  <c r="AK51" i="1"/>
  <c r="AM51" i="1" s="1"/>
  <c r="AO51" i="1" s="1"/>
  <c r="AK21" i="1"/>
  <c r="AM21" i="1" s="1"/>
  <c r="AO21" i="1" s="1"/>
  <c r="AM558" i="1"/>
  <c r="AO558" i="1" s="1"/>
  <c r="AM534" i="1"/>
  <c r="AO534" i="1" s="1"/>
  <c r="AM228" i="1"/>
  <c r="AO228" i="1" s="1"/>
  <c r="AM144" i="1"/>
  <c r="AO144" i="1" s="1"/>
  <c r="AK614" i="1"/>
  <c r="AM614" i="1" s="1"/>
  <c r="AO614" i="1" s="1"/>
  <c r="AK591" i="1"/>
  <c r="AM591" i="1" s="1"/>
  <c r="AO591" i="1" s="1"/>
  <c r="AK552" i="1"/>
  <c r="AM552" i="1" s="1"/>
  <c r="AO552" i="1" s="1"/>
  <c r="AK528" i="1"/>
  <c r="AM528" i="1" s="1"/>
  <c r="AO528" i="1" s="1"/>
  <c r="AK503" i="1"/>
  <c r="AM503" i="1" s="1"/>
  <c r="AO503" i="1" s="1"/>
  <c r="AK480" i="1"/>
  <c r="AM480" i="1" s="1"/>
  <c r="AO480" i="1" s="1"/>
  <c r="AK291" i="1"/>
  <c r="AM291" i="1" s="1"/>
  <c r="AO291" i="1" s="1"/>
  <c r="AK267" i="1"/>
  <c r="AM267" i="1" s="1"/>
  <c r="AO267" i="1" s="1"/>
  <c r="AK242" i="1"/>
  <c r="AM242" i="1" s="1"/>
  <c r="AO242" i="1" s="1"/>
  <c r="AK220" i="1"/>
  <c r="AM220" i="1" s="1"/>
  <c r="AO220" i="1" s="1"/>
  <c r="AK196" i="1"/>
  <c r="AM196" i="1" s="1"/>
  <c r="AO196" i="1" s="1"/>
  <c r="AK176" i="1"/>
  <c r="AM176" i="1" s="1"/>
  <c r="AO176" i="1" s="1"/>
  <c r="AK149" i="1"/>
  <c r="AM149" i="1" s="1"/>
  <c r="AO149" i="1" s="1"/>
  <c r="AK135" i="1"/>
  <c r="AM135" i="1" s="1"/>
  <c r="AO135" i="1" s="1"/>
  <c r="AK114" i="1"/>
  <c r="AM114" i="1" s="1"/>
  <c r="AO114" i="1" s="1"/>
  <c r="AK81" i="1"/>
  <c r="AM81" i="1" s="1"/>
  <c r="AO81" i="1" s="1"/>
  <c r="AK46" i="1"/>
  <c r="AM46" i="1" s="1"/>
  <c r="AO46" i="1" s="1"/>
  <c r="AK20" i="1"/>
  <c r="AM20" i="1" s="1"/>
  <c r="AO20" i="1" s="1"/>
  <c r="AM620" i="1"/>
  <c r="AO620" i="1" s="1"/>
  <c r="AM596" i="1"/>
  <c r="AO596" i="1" s="1"/>
  <c r="AM572" i="1"/>
  <c r="AO572" i="1" s="1"/>
  <c r="AM500" i="1"/>
  <c r="AO500" i="1" s="1"/>
  <c r="AM476" i="1"/>
  <c r="AO476" i="1" s="1"/>
  <c r="AM618" i="1"/>
  <c r="AO618" i="1" s="1"/>
  <c r="AM227" i="1"/>
  <c r="AO227" i="1" s="1"/>
  <c r="AM143" i="1"/>
  <c r="AO143" i="1" s="1"/>
  <c r="AK612" i="1"/>
  <c r="AM612" i="1" s="1"/>
  <c r="AO612" i="1" s="1"/>
  <c r="AK590" i="1"/>
  <c r="AM590" i="1" s="1"/>
  <c r="AO590" i="1" s="1"/>
  <c r="AK568" i="1"/>
  <c r="AM568" i="1" s="1"/>
  <c r="AO568" i="1" s="1"/>
  <c r="AK548" i="1"/>
  <c r="AM548" i="1" s="1"/>
  <c r="AO548" i="1" s="1"/>
  <c r="AK502" i="1"/>
  <c r="AM502" i="1" s="1"/>
  <c r="AO502" i="1" s="1"/>
  <c r="AK479" i="1"/>
  <c r="AM479" i="1" s="1"/>
  <c r="AO479" i="1" s="1"/>
  <c r="AK290" i="1"/>
  <c r="AM290" i="1" s="1"/>
  <c r="AO290" i="1" s="1"/>
  <c r="AK266" i="1"/>
  <c r="AM266" i="1" s="1"/>
  <c r="AO266" i="1" s="1"/>
  <c r="AK238" i="1"/>
  <c r="AM238" i="1" s="1"/>
  <c r="AO238" i="1" s="1"/>
  <c r="AK195" i="1"/>
  <c r="AM195" i="1" s="1"/>
  <c r="AO195" i="1" s="1"/>
  <c r="AK174" i="1"/>
  <c r="AM174" i="1" s="1"/>
  <c r="AO174" i="1" s="1"/>
  <c r="AK148" i="1"/>
  <c r="AM148" i="1" s="1"/>
  <c r="AO148" i="1" s="1"/>
  <c r="AK134" i="1"/>
  <c r="AM134" i="1" s="1"/>
  <c r="AO134" i="1" s="1"/>
  <c r="AK111" i="1"/>
  <c r="AM111" i="1" s="1"/>
  <c r="AO111" i="1" s="1"/>
  <c r="AK80" i="1"/>
  <c r="AM80" i="1" s="1"/>
  <c r="AO80" i="1" s="1"/>
  <c r="AK45" i="1"/>
  <c r="AM45" i="1" s="1"/>
  <c r="AO45" i="1" s="1"/>
  <c r="AK19" i="1"/>
  <c r="AM19" i="1" s="1"/>
  <c r="AO19" i="1" s="1"/>
  <c r="AK607" i="1"/>
  <c r="AM607" i="1" s="1"/>
  <c r="AO607" i="1" s="1"/>
  <c r="AK595" i="1"/>
  <c r="AM595" i="1" s="1"/>
  <c r="AO595" i="1" s="1"/>
  <c r="AK583" i="1"/>
  <c r="AM583" i="1" s="1"/>
  <c r="AO583" i="1" s="1"/>
  <c r="AK559" i="1"/>
  <c r="AM559" i="1" s="1"/>
  <c r="AO559" i="1" s="1"/>
  <c r="AK547" i="1"/>
  <c r="AM547" i="1" s="1"/>
  <c r="AO547" i="1" s="1"/>
  <c r="AK523" i="1"/>
  <c r="AM523" i="1" s="1"/>
  <c r="AO523" i="1" s="1"/>
  <c r="AK511" i="1"/>
  <c r="AM511" i="1" s="1"/>
  <c r="AO511" i="1" s="1"/>
  <c r="AK499" i="1"/>
  <c r="AM499" i="1" s="1"/>
  <c r="AO499" i="1" s="1"/>
  <c r="AK487" i="1"/>
  <c r="AM487" i="1" s="1"/>
  <c r="AO487" i="1" s="1"/>
  <c r="AK475" i="1"/>
  <c r="AM475" i="1" s="1"/>
  <c r="AO475" i="1" s="1"/>
  <c r="AK463" i="1"/>
  <c r="AM463" i="1" s="1"/>
  <c r="AO463" i="1" s="1"/>
  <c r="AK289" i="1"/>
  <c r="AM289" i="1" s="1"/>
  <c r="AO289" i="1" s="1"/>
  <c r="AK277" i="1"/>
  <c r="AM277" i="1" s="1"/>
  <c r="AO277" i="1" s="1"/>
  <c r="AK265" i="1"/>
  <c r="AM265" i="1" s="1"/>
  <c r="AO265" i="1" s="1"/>
  <c r="AK253" i="1"/>
  <c r="AM253" i="1" s="1"/>
  <c r="AO253" i="1" s="1"/>
  <c r="AK241" i="1"/>
  <c r="AM241" i="1" s="1"/>
  <c r="AO241" i="1" s="1"/>
  <c r="AK229" i="1"/>
  <c r="AM229" i="1" s="1"/>
  <c r="AO229" i="1" s="1"/>
  <c r="AK217" i="1"/>
  <c r="AM217" i="1" s="1"/>
  <c r="AO217" i="1" s="1"/>
  <c r="AK205" i="1"/>
  <c r="AM205" i="1" s="1"/>
  <c r="AO205" i="1" s="1"/>
  <c r="AK193" i="1"/>
  <c r="AM193" i="1" s="1"/>
  <c r="AO193" i="1" s="1"/>
  <c r="AK181" i="1"/>
  <c r="AM181" i="1" s="1"/>
  <c r="AO181" i="1" s="1"/>
  <c r="AK169" i="1"/>
  <c r="AM169" i="1" s="1"/>
  <c r="AO169" i="1" s="1"/>
  <c r="AK157" i="1"/>
  <c r="AM157" i="1" s="1"/>
  <c r="AO157" i="1" s="1"/>
  <c r="AK145" i="1"/>
  <c r="AM145" i="1" s="1"/>
  <c r="AO145" i="1" s="1"/>
  <c r="AK133" i="1"/>
  <c r="AM133" i="1" s="1"/>
  <c r="AO133" i="1" s="1"/>
  <c r="AK121" i="1"/>
  <c r="AM121" i="1" s="1"/>
  <c r="AO121" i="1" s="1"/>
  <c r="AK109" i="1"/>
  <c r="AM109" i="1" s="1"/>
  <c r="AO109" i="1" s="1"/>
  <c r="AK85" i="1"/>
  <c r="AM85" i="1" s="1"/>
  <c r="AO85" i="1" s="1"/>
  <c r="AK73" i="1"/>
  <c r="AM73" i="1" s="1"/>
  <c r="AO73" i="1" s="1"/>
  <c r="AK61" i="1"/>
  <c r="AM61" i="1" s="1"/>
  <c r="AO61" i="1" s="1"/>
  <c r="AK49" i="1"/>
  <c r="AM49" i="1" s="1"/>
  <c r="AO49" i="1" s="1"/>
  <c r="AK37" i="1"/>
  <c r="AM37" i="1" s="1"/>
  <c r="AO37" i="1" s="1"/>
  <c r="AK25" i="1"/>
  <c r="AM25" i="1" s="1"/>
  <c r="AO25" i="1" s="1"/>
  <c r="AK13" i="1"/>
  <c r="AM13" i="1" s="1"/>
  <c r="AO13" i="1" s="1"/>
  <c r="AK97" i="1"/>
  <c r="AM97" i="1" s="1"/>
  <c r="AO97" i="1" s="1"/>
  <c r="AK606" i="1"/>
  <c r="AM606" i="1" s="1"/>
  <c r="AO606" i="1" s="1"/>
  <c r="AK594" i="1"/>
  <c r="AM594" i="1" s="1"/>
  <c r="AO594" i="1" s="1"/>
  <c r="AK582" i="1"/>
  <c r="AM582" i="1" s="1"/>
  <c r="AO582" i="1" s="1"/>
  <c r="AK546" i="1"/>
  <c r="AM546" i="1" s="1"/>
  <c r="AO546" i="1" s="1"/>
  <c r="AK522" i="1"/>
  <c r="AM522" i="1" s="1"/>
  <c r="AO522" i="1" s="1"/>
  <c r="AK510" i="1"/>
  <c r="AM510" i="1" s="1"/>
  <c r="AO510" i="1" s="1"/>
  <c r="AK498" i="1"/>
  <c r="AM498" i="1" s="1"/>
  <c r="AO498" i="1" s="1"/>
  <c r="AK486" i="1"/>
  <c r="AM486" i="1" s="1"/>
  <c r="AO486" i="1" s="1"/>
  <c r="AK474" i="1"/>
  <c r="AM474" i="1" s="1"/>
  <c r="AO474" i="1" s="1"/>
  <c r="AK462" i="1"/>
  <c r="AM462" i="1" s="1"/>
  <c r="AO462" i="1" s="1"/>
  <c r="AK276" i="1"/>
  <c r="AM276" i="1" s="1"/>
  <c r="AO276" i="1" s="1"/>
  <c r="AK252" i="1"/>
  <c r="AM252" i="1" s="1"/>
  <c r="AO252" i="1" s="1"/>
  <c r="AK240" i="1"/>
  <c r="AM240" i="1" s="1"/>
  <c r="AO240" i="1" s="1"/>
  <c r="AK216" i="1"/>
  <c r="AM216" i="1" s="1"/>
  <c r="AO216" i="1" s="1"/>
  <c r="AK204" i="1"/>
  <c r="AM204" i="1" s="1"/>
  <c r="AO204" i="1" s="1"/>
  <c r="AK192" i="1"/>
  <c r="AM192" i="1" s="1"/>
  <c r="AO192" i="1" s="1"/>
  <c r="AK180" i="1"/>
  <c r="AM180" i="1" s="1"/>
  <c r="AO180" i="1" s="1"/>
  <c r="AK168" i="1"/>
  <c r="AM168" i="1" s="1"/>
  <c r="AO168" i="1" s="1"/>
  <c r="AK156" i="1"/>
  <c r="AM156" i="1" s="1"/>
  <c r="AO156" i="1" s="1"/>
  <c r="AK132" i="1"/>
  <c r="AM132" i="1" s="1"/>
  <c r="AO132" i="1" s="1"/>
  <c r="AK120" i="1"/>
  <c r="AM120" i="1" s="1"/>
  <c r="AO120" i="1" s="1"/>
  <c r="AK108" i="1"/>
  <c r="AM108" i="1" s="1"/>
  <c r="AO108" i="1" s="1"/>
  <c r="AK84" i="1"/>
  <c r="AM84" i="1" s="1"/>
  <c r="AO84" i="1" s="1"/>
  <c r="AK72" i="1"/>
  <c r="AM72" i="1" s="1"/>
  <c r="AO72" i="1" s="1"/>
  <c r="AK60" i="1"/>
  <c r="AM60" i="1" s="1"/>
  <c r="AO60" i="1" s="1"/>
  <c r="AK48" i="1"/>
  <c r="AM48" i="1" s="1"/>
  <c r="AO48" i="1" s="1"/>
  <c r="AK36" i="1"/>
  <c r="AM36" i="1" s="1"/>
  <c r="AO36" i="1" s="1"/>
  <c r="AK24" i="1"/>
  <c r="AM24" i="1" s="1"/>
  <c r="AK12" i="1"/>
  <c r="AM12" i="1" s="1"/>
  <c r="AO12" i="1" s="1"/>
  <c r="AK96" i="1"/>
  <c r="AM96" i="1" s="1"/>
  <c r="AO96" i="1" s="1"/>
  <c r="AK617" i="1"/>
  <c r="AM617" i="1" s="1"/>
  <c r="AO617" i="1" s="1"/>
  <c r="AK605" i="1"/>
  <c r="AM605" i="1" s="1"/>
  <c r="AO605" i="1" s="1"/>
  <c r="AK593" i="1"/>
  <c r="AM593" i="1" s="1"/>
  <c r="AO593" i="1" s="1"/>
  <c r="AK581" i="1"/>
  <c r="AM581" i="1" s="1"/>
  <c r="AO581" i="1" s="1"/>
  <c r="AK569" i="1"/>
  <c r="AM569" i="1" s="1"/>
  <c r="AO569" i="1" s="1"/>
  <c r="AK545" i="1"/>
  <c r="AM545" i="1" s="1"/>
  <c r="AO545" i="1" s="1"/>
  <c r="AK533" i="1"/>
  <c r="AM533" i="1" s="1"/>
  <c r="AO533" i="1" s="1"/>
  <c r="AK521" i="1"/>
  <c r="AM521" i="1" s="1"/>
  <c r="AO521" i="1" s="1"/>
  <c r="AK509" i="1"/>
  <c r="AM509" i="1" s="1"/>
  <c r="AO509" i="1" s="1"/>
  <c r="AK497" i="1"/>
  <c r="AM497" i="1" s="1"/>
  <c r="AO497" i="1" s="1"/>
  <c r="AK485" i="1"/>
  <c r="AM485" i="1" s="1"/>
  <c r="AO485" i="1" s="1"/>
  <c r="AK473" i="1"/>
  <c r="AM473" i="1" s="1"/>
  <c r="AO473" i="1" s="1"/>
  <c r="AK461" i="1"/>
  <c r="AM461" i="1" s="1"/>
  <c r="AO461" i="1" s="1"/>
  <c r="AK275" i="1"/>
  <c r="AM275" i="1" s="1"/>
  <c r="AO275" i="1" s="1"/>
  <c r="AK263" i="1"/>
  <c r="AM263" i="1" s="1"/>
  <c r="AO263" i="1" s="1"/>
  <c r="AK251" i="1"/>
  <c r="AM251" i="1" s="1"/>
  <c r="AO251" i="1" s="1"/>
  <c r="AK239" i="1"/>
  <c r="AM239" i="1" s="1"/>
  <c r="AO239" i="1" s="1"/>
  <c r="AK215" i="1"/>
  <c r="AM215" i="1" s="1"/>
  <c r="AO215" i="1" s="1"/>
  <c r="AK203" i="1"/>
  <c r="AM203" i="1" s="1"/>
  <c r="AO203" i="1" s="1"/>
  <c r="AK191" i="1"/>
  <c r="AM191" i="1" s="1"/>
  <c r="AO191" i="1" s="1"/>
  <c r="AK179" i="1"/>
  <c r="AM179" i="1" s="1"/>
  <c r="AO179" i="1" s="1"/>
  <c r="AK167" i="1"/>
  <c r="AM167" i="1" s="1"/>
  <c r="AO167" i="1" s="1"/>
  <c r="AK155" i="1"/>
  <c r="AM155" i="1" s="1"/>
  <c r="AO155" i="1" s="1"/>
  <c r="AK131" i="1"/>
  <c r="AM131" i="1" s="1"/>
  <c r="AO131" i="1" s="1"/>
  <c r="AK119" i="1"/>
  <c r="AM119" i="1" s="1"/>
  <c r="AO119" i="1" s="1"/>
  <c r="AK107" i="1"/>
  <c r="AM107" i="1" s="1"/>
  <c r="AO107" i="1" s="1"/>
  <c r="AK95" i="1"/>
  <c r="AM95" i="1" s="1"/>
  <c r="AO95" i="1" s="1"/>
  <c r="AK83" i="1"/>
  <c r="AM83" i="1" s="1"/>
  <c r="AO83" i="1" s="1"/>
  <c r="AK71" i="1"/>
  <c r="AM71" i="1" s="1"/>
  <c r="AO71" i="1" s="1"/>
  <c r="AK59" i="1"/>
  <c r="AM59" i="1" s="1"/>
  <c r="AO59" i="1" s="1"/>
  <c r="AK47" i="1"/>
  <c r="AM47" i="1" s="1"/>
  <c r="AO47" i="1" s="1"/>
  <c r="AK35" i="1"/>
  <c r="AM35" i="1" s="1"/>
  <c r="AO35" i="1" s="1"/>
  <c r="AK11" i="1"/>
  <c r="AM11" i="1" s="1"/>
  <c r="AO11" i="1" s="1"/>
  <c r="AK571" i="1"/>
  <c r="AM571" i="1" s="1"/>
  <c r="AO571" i="1" s="1"/>
  <c r="AK570" i="1"/>
  <c r="AM570" i="1" s="1"/>
  <c r="AO570" i="1" s="1"/>
  <c r="AK288" i="1"/>
  <c r="AM288" i="1" s="1"/>
  <c r="AO288" i="1" s="1"/>
  <c r="AK287" i="1"/>
  <c r="AM287" i="1" s="1"/>
  <c r="AO287" i="1" s="1"/>
  <c r="AK23" i="1"/>
  <c r="AM23" i="1" s="1"/>
  <c r="AO23" i="1" s="1"/>
  <c r="AK264" i="1"/>
  <c r="AM264" i="1" s="1"/>
  <c r="AO264" i="1" s="1"/>
  <c r="AK613" i="1"/>
  <c r="AM613" i="1" s="1"/>
  <c r="AO613" i="1" s="1"/>
  <c r="AK601" i="1"/>
  <c r="AM601" i="1" s="1"/>
  <c r="AO601" i="1" s="1"/>
  <c r="AK589" i="1"/>
  <c r="AM589" i="1" s="1"/>
  <c r="AO589" i="1" s="1"/>
  <c r="AK577" i="1"/>
  <c r="AM577" i="1" s="1"/>
  <c r="AO577" i="1" s="1"/>
  <c r="AK565" i="1"/>
  <c r="AM565" i="1" s="1"/>
  <c r="AO565" i="1" s="1"/>
  <c r="AK553" i="1"/>
  <c r="AM553" i="1" s="1"/>
  <c r="AO553" i="1" s="1"/>
  <c r="AK541" i="1"/>
  <c r="AM541" i="1" s="1"/>
  <c r="AO541" i="1" s="1"/>
  <c r="AK529" i="1"/>
  <c r="AM529" i="1" s="1"/>
  <c r="AO529" i="1" s="1"/>
  <c r="AK517" i="1"/>
  <c r="AM517" i="1" s="1"/>
  <c r="AO517" i="1" s="1"/>
  <c r="AK505" i="1"/>
  <c r="AM505" i="1" s="1"/>
  <c r="AO505" i="1" s="1"/>
  <c r="AK493" i="1"/>
  <c r="AM493" i="1" s="1"/>
  <c r="AO493" i="1" s="1"/>
  <c r="AK481" i="1"/>
  <c r="AM481" i="1" s="1"/>
  <c r="AO481" i="1" s="1"/>
  <c r="AK469" i="1"/>
  <c r="AM469" i="1" s="1"/>
  <c r="AO469" i="1" s="1"/>
  <c r="AK295" i="1"/>
  <c r="AM295" i="1" s="1"/>
  <c r="AO295" i="1" s="1"/>
  <c r="AK283" i="1"/>
  <c r="AM283" i="1" s="1"/>
  <c r="AO283" i="1" s="1"/>
  <c r="AK271" i="1"/>
  <c r="AM271" i="1" s="1"/>
  <c r="AO271" i="1" s="1"/>
  <c r="AK259" i="1"/>
  <c r="AM259" i="1" s="1"/>
  <c r="AO259" i="1" s="1"/>
  <c r="AK247" i="1"/>
  <c r="AM247" i="1" s="1"/>
  <c r="AO247" i="1" s="1"/>
  <c r="AK235" i="1"/>
  <c r="AM235" i="1" s="1"/>
  <c r="AO235" i="1" s="1"/>
  <c r="AK223" i="1"/>
  <c r="AM223" i="1" s="1"/>
  <c r="AO223" i="1" s="1"/>
  <c r="AK211" i="1"/>
  <c r="AM211" i="1" s="1"/>
  <c r="AO211" i="1" s="1"/>
  <c r="AK199" i="1"/>
  <c r="AM199" i="1" s="1"/>
  <c r="AO199" i="1" s="1"/>
  <c r="AK187" i="1"/>
  <c r="AM187" i="1" s="1"/>
  <c r="AO187" i="1" s="1"/>
  <c r="AK175" i="1"/>
  <c r="AM175" i="1" s="1"/>
  <c r="AO175" i="1" s="1"/>
  <c r="AK163" i="1"/>
  <c r="AM163" i="1" s="1"/>
  <c r="AO163" i="1" s="1"/>
  <c r="AK151" i="1"/>
  <c r="AM151" i="1" s="1"/>
  <c r="AO151" i="1" s="1"/>
  <c r="AK139" i="1"/>
  <c r="AM139" i="1" s="1"/>
  <c r="AO139" i="1" s="1"/>
  <c r="AK127" i="1"/>
  <c r="AM127" i="1" s="1"/>
  <c r="AO127" i="1" s="1"/>
  <c r="AK115" i="1"/>
  <c r="AM115" i="1" s="1"/>
  <c r="AO115" i="1" s="1"/>
  <c r="AK103" i="1"/>
  <c r="AM103" i="1" s="1"/>
  <c r="AO103" i="1" s="1"/>
  <c r="AK43" i="1"/>
  <c r="AM43" i="1" s="1"/>
  <c r="AO43" i="1" s="1"/>
  <c r="AK91" i="1"/>
  <c r="AM91" i="1" s="1"/>
  <c r="AO91" i="1" s="1"/>
  <c r="AK575" i="1"/>
  <c r="AM575" i="1" s="1"/>
  <c r="AO575" i="1" s="1"/>
  <c r="AK563" i="1"/>
  <c r="AM563" i="1" s="1"/>
  <c r="AO563" i="1" s="1"/>
  <c r="AK551" i="1"/>
  <c r="AM551" i="1" s="1"/>
  <c r="AO551" i="1" s="1"/>
  <c r="AK257" i="1"/>
  <c r="AM257" i="1" s="1"/>
  <c r="AO257" i="1" s="1"/>
  <c r="AK245" i="1"/>
  <c r="AM245" i="1" s="1"/>
  <c r="AO245" i="1" s="1"/>
  <c r="AK113" i="1"/>
  <c r="AM113" i="1" s="1"/>
  <c r="AO113" i="1" s="1"/>
  <c r="AK89" i="1"/>
  <c r="AM89" i="1" s="1"/>
  <c r="AO89" i="1" s="1"/>
  <c r="AK41" i="1"/>
  <c r="AM41" i="1" s="1"/>
  <c r="AO41" i="1" s="1"/>
  <c r="AK29" i="1"/>
  <c r="AM29" i="1" s="1"/>
  <c r="AO29" i="1" s="1"/>
  <c r="AK67" i="1"/>
  <c r="AM67" i="1" s="1"/>
  <c r="AO67" i="1" s="1"/>
  <c r="AK562" i="1"/>
  <c r="AM562" i="1" s="1"/>
  <c r="AO562" i="1" s="1"/>
  <c r="AK550" i="1"/>
  <c r="AM550" i="1" s="1"/>
  <c r="AO550" i="1" s="1"/>
  <c r="AK538" i="1"/>
  <c r="AM538" i="1" s="1"/>
  <c r="AO538" i="1" s="1"/>
  <c r="AK256" i="1"/>
  <c r="AM256" i="1" s="1"/>
  <c r="AO256" i="1" s="1"/>
  <c r="AK244" i="1"/>
  <c r="AM244" i="1" s="1"/>
  <c r="AO244" i="1" s="1"/>
  <c r="AK232" i="1"/>
  <c r="AM232" i="1" s="1"/>
  <c r="AO232" i="1" s="1"/>
  <c r="AK100" i="1"/>
  <c r="AM100" i="1" s="1"/>
  <c r="AO100" i="1" s="1"/>
  <c r="AK76" i="1"/>
  <c r="AM76" i="1" s="1"/>
  <c r="AO76" i="1" s="1"/>
  <c r="AK28" i="1"/>
  <c r="AM28" i="1" s="1"/>
  <c r="AO28" i="1" s="1"/>
  <c r="AK281" i="1"/>
  <c r="AM281" i="1" s="1"/>
  <c r="AO281" i="1" s="1"/>
  <c r="AK65" i="1"/>
  <c r="AM65" i="1" s="1"/>
  <c r="AO65" i="1" s="1"/>
  <c r="AK31" i="1"/>
  <c r="AM31" i="1" s="1"/>
  <c r="AO31" i="1" s="1"/>
  <c r="AK549" i="1"/>
  <c r="AM549" i="1" s="1"/>
  <c r="AO549" i="1" s="1"/>
  <c r="AK537" i="1"/>
  <c r="AM537" i="1" s="1"/>
  <c r="AO537" i="1" s="1"/>
  <c r="AK525" i="1"/>
  <c r="AM525" i="1" s="1"/>
  <c r="AO525" i="1" s="1"/>
  <c r="AK243" i="1"/>
  <c r="AM243" i="1" s="1"/>
  <c r="AO243" i="1" s="1"/>
  <c r="AK231" i="1"/>
  <c r="AM231" i="1" s="1"/>
  <c r="AO231" i="1" s="1"/>
  <c r="AK219" i="1"/>
  <c r="AM219" i="1" s="1"/>
  <c r="AO219" i="1" s="1"/>
  <c r="AK63" i="1"/>
  <c r="AM63" i="1" s="1"/>
  <c r="AO63" i="1" s="1"/>
  <c r="AK27" i="1"/>
  <c r="AM27" i="1" s="1"/>
  <c r="AO27" i="1" s="1"/>
  <c r="AK3" i="1"/>
  <c r="AK527" i="1"/>
  <c r="AM527" i="1" s="1"/>
  <c r="AO527" i="1" s="1"/>
  <c r="AK293" i="1"/>
  <c r="AM293" i="1" s="1"/>
  <c r="AO293" i="1" s="1"/>
  <c r="AK280" i="1"/>
  <c r="AM280" i="1" s="1"/>
  <c r="AO280" i="1" s="1"/>
  <c r="AK64" i="1"/>
  <c r="AM64" i="1" s="1"/>
  <c r="AO64" i="1" s="1"/>
  <c r="AK536" i="1"/>
  <c r="AM536" i="1" s="1"/>
  <c r="AO536" i="1" s="1"/>
  <c r="AK524" i="1"/>
  <c r="AM524" i="1" s="1"/>
  <c r="AO524" i="1" s="1"/>
  <c r="AK512" i="1"/>
  <c r="AM512" i="1" s="1"/>
  <c r="AO512" i="1" s="1"/>
  <c r="AK230" i="1"/>
  <c r="AM230" i="1" s="1"/>
  <c r="AO230" i="1" s="1"/>
  <c r="AK218" i="1"/>
  <c r="AM218" i="1" s="1"/>
  <c r="AO218" i="1" s="1"/>
  <c r="AK206" i="1"/>
  <c r="AM206" i="1" s="1"/>
  <c r="AO206" i="1" s="1"/>
  <c r="AK86" i="1"/>
  <c r="AM86" i="1" s="1"/>
  <c r="AO86" i="1" s="1"/>
  <c r="AK50" i="1"/>
  <c r="AM50" i="1" s="1"/>
  <c r="AO50" i="1" s="1"/>
  <c r="AK14" i="1"/>
  <c r="AM14" i="1" s="1"/>
  <c r="AO14" i="1" s="1"/>
  <c r="AK574" i="1"/>
  <c r="AM574" i="1" s="1"/>
  <c r="AO574" i="1" s="1"/>
  <c r="AK526" i="1"/>
  <c r="AM526" i="1" s="1"/>
  <c r="AO526" i="1" s="1"/>
  <c r="AK490" i="1"/>
  <c r="AM490" i="1" s="1"/>
  <c r="AO490" i="1" s="1"/>
  <c r="AK292" i="1"/>
  <c r="AM292" i="1" s="1"/>
  <c r="AO292" i="1" s="1"/>
  <c r="AK279" i="1"/>
  <c r="AM279" i="1" s="1"/>
  <c r="AO279" i="1" s="1"/>
  <c r="AK233" i="1"/>
  <c r="AM233" i="1" s="1"/>
  <c r="AO233" i="1" s="1"/>
  <c r="AK197" i="1"/>
  <c r="AM197" i="1" s="1"/>
  <c r="AO197" i="1" s="1"/>
  <c r="AK101" i="1"/>
  <c r="AM101" i="1" s="1"/>
  <c r="AO101" i="1" s="1"/>
  <c r="AK62" i="1"/>
  <c r="AM62" i="1" s="1"/>
  <c r="AO62" i="1" s="1"/>
  <c r="AK7" i="1"/>
  <c r="AM7" i="1" s="1"/>
  <c r="AO7" i="1" s="1"/>
  <c r="AK604" i="1"/>
  <c r="AM604" i="1" s="1"/>
  <c r="AO604" i="1" s="1"/>
  <c r="AK460" i="1"/>
  <c r="AM460" i="1" s="1"/>
  <c r="AO460" i="1" s="1"/>
  <c r="AK154" i="1"/>
  <c r="AM154" i="1" s="1"/>
  <c r="AO154" i="1" s="1"/>
  <c r="AK58" i="1"/>
  <c r="AM58" i="1" s="1"/>
  <c r="AO58" i="1" s="1"/>
  <c r="AK616" i="1"/>
  <c r="AM616" i="1" s="1"/>
  <c r="AO616" i="1" s="1"/>
  <c r="AK603" i="1"/>
  <c r="AM603" i="1" s="1"/>
  <c r="AO603" i="1" s="1"/>
  <c r="AK472" i="1"/>
  <c r="AM472" i="1" s="1"/>
  <c r="AO472" i="1" s="1"/>
  <c r="AK459" i="1"/>
  <c r="AM459" i="1" s="1"/>
  <c r="AO459" i="1" s="1"/>
  <c r="AK166" i="1"/>
  <c r="AM166" i="1" s="1"/>
  <c r="AO166" i="1" s="1"/>
  <c r="AK153" i="1"/>
  <c r="AM153" i="1" s="1"/>
  <c r="AO153" i="1" s="1"/>
  <c r="AK57" i="1"/>
  <c r="AM57" i="1" s="1"/>
  <c r="AO57" i="1" s="1"/>
  <c r="AK602" i="1"/>
  <c r="AM602" i="1" s="1"/>
  <c r="AO602" i="1" s="1"/>
  <c r="AK296" i="1"/>
  <c r="AM296" i="1" s="1"/>
  <c r="AO296" i="1" s="1"/>
  <c r="AK152" i="1"/>
  <c r="AM152" i="1" s="1"/>
  <c r="AO152" i="1" s="1"/>
  <c r="AK56" i="1"/>
  <c r="AM56" i="1" s="1"/>
  <c r="AO56" i="1" s="1"/>
  <c r="AF334" i="1" l="1"/>
  <c r="AH334" i="1"/>
  <c r="AH436" i="1"/>
  <c r="AH625" i="1"/>
  <c r="AH654" i="1"/>
  <c r="AH690" i="1"/>
  <c r="AH687" i="1"/>
  <c r="AD399" i="1"/>
  <c r="AH399" i="1"/>
  <c r="AH413" i="1"/>
  <c r="AH389" i="1"/>
  <c r="AH394" i="1"/>
  <c r="AH699" i="1"/>
  <c r="AD724" i="1"/>
  <c r="AH724" i="1"/>
  <c r="AH717" i="1"/>
  <c r="AH696" i="1"/>
  <c r="AH335" i="1"/>
  <c r="AH428" i="1"/>
  <c r="AH430" i="1"/>
  <c r="AH666" i="1"/>
  <c r="AH678" i="1"/>
  <c r="AH439" i="1"/>
  <c r="AH350" i="1"/>
  <c r="AD651" i="1"/>
  <c r="AH651" i="1"/>
  <c r="AH321" i="1"/>
  <c r="AH352" i="1"/>
  <c r="AH307" i="1"/>
  <c r="AH685" i="1"/>
  <c r="AH705" i="1"/>
  <c r="AH444" i="1"/>
  <c r="AH367" i="1"/>
  <c r="AH736" i="1"/>
  <c r="AH420" i="1"/>
  <c r="AH297" i="1"/>
  <c r="AH330" i="1"/>
  <c r="AH454" i="1"/>
  <c r="AH316" i="1"/>
  <c r="AH660" i="1"/>
  <c r="AH709" i="1"/>
  <c r="AH731" i="1"/>
  <c r="AH337" i="1"/>
  <c r="AH423" i="1"/>
  <c r="AH407" i="1"/>
  <c r="AH382" i="1"/>
  <c r="AH299" i="1"/>
  <c r="AH659" i="1"/>
  <c r="AH700" i="1"/>
  <c r="AH641" i="1"/>
  <c r="AH702" i="1"/>
  <c r="AH714" i="1"/>
  <c r="AD390" i="1"/>
  <c r="AH425" i="1"/>
  <c r="AH397" i="1"/>
  <c r="AH412" i="1"/>
  <c r="AH688" i="1"/>
  <c r="AH429" i="1"/>
  <c r="AH693" i="1"/>
  <c r="AD458" i="1"/>
  <c r="AH458" i="1"/>
  <c r="AD401" i="1"/>
  <c r="AH401" i="1"/>
  <c r="AH323" i="1"/>
  <c r="AH453" i="1"/>
  <c r="AH342" i="1"/>
  <c r="AH365" i="1"/>
  <c r="AH695" i="1"/>
  <c r="AH434" i="1"/>
  <c r="AD452" i="1"/>
  <c r="AH452" i="1"/>
  <c r="AH417" i="1"/>
  <c r="AH449" i="1"/>
  <c r="AD303" i="1"/>
  <c r="AH303" i="1"/>
  <c r="AH406" i="1"/>
  <c r="AH677" i="1"/>
  <c r="AH419" i="1"/>
  <c r="AF394" i="1"/>
  <c r="AH712" i="1"/>
  <c r="AD328" i="1"/>
  <c r="AH328" i="1"/>
  <c r="AD308" i="1"/>
  <c r="AH308" i="1"/>
  <c r="AD638" i="1"/>
  <c r="AH638" i="1"/>
  <c r="AH440" i="1"/>
  <c r="AH738" i="1"/>
  <c r="AH445" i="1"/>
  <c r="AH357" i="1"/>
  <c r="AD357" i="1"/>
  <c r="AH732" i="1"/>
  <c r="AH642" i="1"/>
  <c r="AD405" i="1"/>
  <c r="AH405" i="1"/>
  <c r="AH298" i="1"/>
  <c r="AD719" i="1"/>
  <c r="AH719" i="1"/>
  <c r="AH729" i="1"/>
  <c r="AH647" i="1"/>
  <c r="AE386" i="1"/>
  <c r="AH386" i="1"/>
  <c r="AH302" i="1"/>
  <c r="AH456" i="1"/>
  <c r="AH336" i="1"/>
  <c r="AH645" i="1"/>
  <c r="AD381" i="1"/>
  <c r="AH381" i="1"/>
  <c r="AH623" i="1"/>
  <c r="AH355" i="1"/>
  <c r="AH378" i="1"/>
  <c r="AH433" i="1"/>
  <c r="AH713" i="1"/>
  <c r="AH338" i="1"/>
  <c r="AH346" i="1"/>
  <c r="AH314" i="1"/>
  <c r="AH366" i="1"/>
  <c r="AH733" i="1"/>
  <c r="AH652" i="1"/>
  <c r="AD301" i="1"/>
  <c r="AH301" i="1"/>
  <c r="AH635" i="1"/>
  <c r="AE727" i="1"/>
  <c r="AH727" i="1"/>
  <c r="AD375" i="1"/>
  <c r="AH375" i="1"/>
  <c r="AH664" i="1"/>
  <c r="AH339" i="1"/>
  <c r="AH326" i="1"/>
  <c r="AH306" i="1"/>
  <c r="AH648" i="1"/>
  <c r="AH438" i="1"/>
  <c r="AH431" i="1"/>
  <c r="AH313" i="1"/>
  <c r="AH662" i="1"/>
  <c r="AD703" i="1"/>
  <c r="AH703" i="1"/>
  <c r="AH631" i="1"/>
  <c r="AH721" i="1"/>
  <c r="AH684" i="1"/>
  <c r="AH640" i="1"/>
  <c r="AH718" i="1"/>
  <c r="AH636" i="1"/>
  <c r="AH676" i="1"/>
  <c r="AH646" i="1"/>
  <c r="AH726" i="1"/>
  <c r="AH632" i="1"/>
  <c r="AH683" i="1"/>
  <c r="AH689" i="1"/>
  <c r="AH680" i="1"/>
  <c r="AH650" i="1"/>
  <c r="AH728" i="1"/>
  <c r="AH658" i="1"/>
  <c r="AH682" i="1"/>
  <c r="AH628" i="1"/>
  <c r="AH710" i="1"/>
  <c r="AH681" i="1"/>
  <c r="AH701" i="1"/>
  <c r="AD720" i="1"/>
  <c r="AH720" i="1"/>
  <c r="AH691" i="1"/>
  <c r="AH723" i="1"/>
  <c r="AH668" i="1"/>
  <c r="AH624" i="1"/>
  <c r="AH649" i="1"/>
  <c r="AH622" i="1"/>
  <c r="AH673" i="1"/>
  <c r="AH661" i="1"/>
  <c r="AH686" i="1"/>
  <c r="AH655" i="1"/>
  <c r="AH633" i="1"/>
  <c r="AD672" i="1"/>
  <c r="AH672" i="1"/>
  <c r="AH657" i="1"/>
  <c r="AH626" i="1"/>
  <c r="AH667" i="1"/>
  <c r="AH634" i="1"/>
  <c r="AH737" i="1"/>
  <c r="AH627" i="1"/>
  <c r="AD725" i="1"/>
  <c r="AH725" i="1"/>
  <c r="AH643" i="1"/>
  <c r="AH716" i="1"/>
  <c r="AH734" i="1"/>
  <c r="AH637" i="1"/>
  <c r="AH663" i="1"/>
  <c r="AH697" i="1"/>
  <c r="AH630" i="1"/>
  <c r="AH675" i="1"/>
  <c r="AH629" i="1"/>
  <c r="AH698" i="1"/>
  <c r="AH670" i="1"/>
  <c r="AH369" i="1"/>
  <c r="AH402" i="1"/>
  <c r="AH343" i="1"/>
  <c r="AH408" i="1"/>
  <c r="AH411" i="1"/>
  <c r="AH361" i="1"/>
  <c r="AD320" i="1"/>
  <c r="AH320" i="1"/>
  <c r="AH351" i="1"/>
  <c r="AH384" i="1"/>
  <c r="AH435" i="1"/>
  <c r="AH311" i="1"/>
  <c r="AH317" i="1"/>
  <c r="AH447" i="1"/>
  <c r="AH347" i="1"/>
  <c r="AH409" i="1"/>
  <c r="AD373" i="1"/>
  <c r="AH373" i="1"/>
  <c r="AD426" i="1"/>
  <c r="AH426" i="1"/>
  <c r="AH388" i="1"/>
  <c r="AH348" i="1"/>
  <c r="AH341" i="1"/>
  <c r="AH370" i="1"/>
  <c r="AH393" i="1"/>
  <c r="AH305" i="1"/>
  <c r="AH358" i="1"/>
  <c r="AH424" i="1"/>
  <c r="AH421" i="1"/>
  <c r="AH377" i="1"/>
  <c r="AD332" i="1"/>
  <c r="AH332" i="1"/>
  <c r="AH359" i="1"/>
  <c r="AH387" i="1"/>
  <c r="AH404" i="1"/>
  <c r="AD364" i="1"/>
  <c r="AH364" i="1"/>
  <c r="AH450" i="1"/>
  <c r="AH374" i="1"/>
  <c r="AD371" i="1"/>
  <c r="AH371" i="1"/>
  <c r="AH385" i="1"/>
  <c r="AH403" i="1"/>
  <c r="AH380" i="1"/>
  <c r="AH368" i="1"/>
  <c r="AM3" i="1"/>
  <c r="AO3" i="1" s="1"/>
  <c r="AO24" i="1"/>
  <c r="L508" i="3"/>
  <c r="M508" i="3" s="1"/>
  <c r="N508" i="3" s="1"/>
  <c r="L509" i="3"/>
  <c r="M509" i="3" s="1"/>
  <c r="N509" i="3" s="1"/>
  <c r="L510" i="3"/>
  <c r="M510" i="3" s="1"/>
  <c r="N510" i="3" s="1"/>
  <c r="L511" i="3"/>
  <c r="M511" i="3" s="1"/>
  <c r="N511" i="3" s="1"/>
  <c r="L512" i="3"/>
  <c r="M512" i="3" s="1"/>
  <c r="N512" i="3" s="1"/>
  <c r="L513" i="3"/>
  <c r="M513" i="3" s="1"/>
  <c r="N513" i="3" s="1"/>
  <c r="L514" i="3"/>
  <c r="M514" i="3" s="1"/>
  <c r="N514" i="3" s="1"/>
  <c r="L515" i="3"/>
  <c r="M515" i="3" s="1"/>
  <c r="N515" i="3" s="1"/>
  <c r="L516" i="3"/>
  <c r="M516" i="3" s="1"/>
  <c r="N516" i="3" s="1"/>
  <c r="L517" i="3"/>
  <c r="M517" i="3" s="1"/>
  <c r="N517" i="3" s="1"/>
  <c r="L518" i="3"/>
  <c r="M518" i="3" s="1"/>
  <c r="N518" i="3" s="1"/>
  <c r="L519" i="3"/>
  <c r="M519" i="3" s="1"/>
  <c r="N519" i="3" s="1"/>
  <c r="L520" i="3"/>
  <c r="M520" i="3" s="1"/>
  <c r="N520" i="3" s="1"/>
  <c r="L521" i="3"/>
  <c r="M521" i="3" s="1"/>
  <c r="N521" i="3" s="1"/>
  <c r="L522" i="3"/>
  <c r="M522" i="3" s="1"/>
  <c r="N522" i="3" s="1"/>
  <c r="L523" i="3"/>
  <c r="M523" i="3" s="1"/>
  <c r="N523" i="3" s="1"/>
  <c r="L524" i="3"/>
  <c r="M524" i="3" s="1"/>
  <c r="N524" i="3" s="1"/>
  <c r="L525" i="3"/>
  <c r="M525" i="3" s="1"/>
  <c r="N525" i="3" s="1"/>
  <c r="L526" i="3"/>
  <c r="M526" i="3" s="1"/>
  <c r="N526" i="3" s="1"/>
  <c r="L527" i="3"/>
  <c r="M527" i="3" s="1"/>
  <c r="N527" i="3" s="1"/>
  <c r="L528" i="3"/>
  <c r="M528" i="3" s="1"/>
  <c r="N528" i="3" s="1"/>
  <c r="L529" i="3"/>
  <c r="M529" i="3" s="1"/>
  <c r="N529" i="3" s="1"/>
  <c r="L530" i="3"/>
  <c r="M530" i="3" s="1"/>
  <c r="N530" i="3" s="1"/>
  <c r="L531" i="3"/>
  <c r="M531" i="3" s="1"/>
  <c r="N531" i="3" s="1"/>
  <c r="L532" i="3"/>
  <c r="M532" i="3" s="1"/>
  <c r="N532" i="3" s="1"/>
  <c r="L533" i="3"/>
  <c r="M533" i="3" s="1"/>
  <c r="N533" i="3" s="1"/>
  <c r="L534" i="3"/>
  <c r="M534" i="3" s="1"/>
  <c r="N534" i="3" s="1"/>
  <c r="L535" i="3"/>
  <c r="M535" i="3" s="1"/>
  <c r="N535" i="3" s="1"/>
  <c r="L536" i="3"/>
  <c r="M536" i="3" s="1"/>
  <c r="N536" i="3" s="1"/>
  <c r="L537" i="3"/>
  <c r="M537" i="3" s="1"/>
  <c r="L538" i="3"/>
  <c r="M538" i="3" s="1"/>
  <c r="N538" i="3" s="1"/>
  <c r="L539" i="3"/>
  <c r="M539" i="3" s="1"/>
  <c r="N539" i="3" s="1"/>
  <c r="L540" i="3"/>
  <c r="M540" i="3" s="1"/>
  <c r="N540" i="3" s="1"/>
  <c r="L541" i="3"/>
  <c r="M541" i="3" s="1"/>
  <c r="N541" i="3" s="1"/>
  <c r="L542" i="3"/>
  <c r="M542" i="3" s="1"/>
  <c r="N542" i="3" s="1"/>
  <c r="L543" i="3"/>
  <c r="M543" i="3" s="1"/>
  <c r="N543" i="3" s="1"/>
  <c r="L544" i="3"/>
  <c r="M544" i="3" s="1"/>
  <c r="N544" i="3" s="1"/>
  <c r="L545" i="3"/>
  <c r="M545" i="3" s="1"/>
  <c r="N545" i="3" s="1"/>
  <c r="L546" i="3"/>
  <c r="M546" i="3" s="1"/>
  <c r="N546" i="3" s="1"/>
  <c r="L547" i="3"/>
  <c r="M547" i="3" s="1"/>
  <c r="N547" i="3" s="1"/>
  <c r="L548" i="3"/>
  <c r="M548" i="3" s="1"/>
  <c r="N548" i="3" s="1"/>
  <c r="L549" i="3"/>
  <c r="M549" i="3" s="1"/>
  <c r="N549" i="3" s="1"/>
  <c r="L550" i="3"/>
  <c r="M550" i="3" s="1"/>
  <c r="N550" i="3" s="1"/>
  <c r="L551" i="3"/>
  <c r="M551" i="3" s="1"/>
  <c r="N551" i="3" s="1"/>
  <c r="L552" i="3"/>
  <c r="M552" i="3" s="1"/>
  <c r="N552" i="3" s="1"/>
  <c r="L553" i="3"/>
  <c r="M553" i="3" s="1"/>
  <c r="N553" i="3" s="1"/>
  <c r="L554" i="3"/>
  <c r="M554" i="3" s="1"/>
  <c r="N554" i="3" s="1"/>
  <c r="L555" i="3"/>
  <c r="M555" i="3" s="1"/>
  <c r="N555" i="3" s="1"/>
  <c r="L556" i="3"/>
  <c r="L557" i="3"/>
  <c r="M557" i="3" s="1"/>
  <c r="N557" i="3" s="1"/>
  <c r="L558" i="3"/>
  <c r="M558" i="3" s="1"/>
  <c r="N558" i="3" s="1"/>
  <c r="L559" i="3"/>
  <c r="M559" i="3" s="1"/>
  <c r="N559" i="3" s="1"/>
  <c r="L560" i="3"/>
  <c r="M560" i="3" s="1"/>
  <c r="N560" i="3" s="1"/>
  <c r="L561" i="3"/>
  <c r="M561" i="3" s="1"/>
  <c r="N561" i="3" s="1"/>
  <c r="L562" i="3"/>
  <c r="M562" i="3" s="1"/>
  <c r="N562" i="3" s="1"/>
  <c r="L563" i="3"/>
  <c r="M563" i="3" s="1"/>
  <c r="N563" i="3" s="1"/>
  <c r="L564" i="3"/>
  <c r="M564" i="3" s="1"/>
  <c r="N564" i="3" s="1"/>
  <c r="L565" i="3"/>
  <c r="M565" i="3" s="1"/>
  <c r="N565" i="3" s="1"/>
  <c r="L566" i="3"/>
  <c r="M566" i="3" s="1"/>
  <c r="N566" i="3" s="1"/>
  <c r="L567" i="3"/>
  <c r="L568" i="3"/>
  <c r="M568" i="3" s="1"/>
  <c r="N568" i="3" s="1"/>
  <c r="L569" i="3"/>
  <c r="M569" i="3" s="1"/>
  <c r="N569" i="3" s="1"/>
  <c r="L570" i="3"/>
  <c r="M570" i="3" s="1"/>
  <c r="N570" i="3" s="1"/>
  <c r="L571" i="3"/>
  <c r="M571" i="3" s="1"/>
  <c r="N571" i="3" s="1"/>
  <c r="L572" i="3"/>
  <c r="M572" i="3" s="1"/>
  <c r="N572" i="3" s="1"/>
  <c r="L573" i="3"/>
  <c r="M573" i="3" s="1"/>
  <c r="N573" i="3" s="1"/>
  <c r="L574" i="3"/>
  <c r="M574" i="3" s="1"/>
  <c r="N574" i="3" s="1"/>
  <c r="L575" i="3"/>
  <c r="M575" i="3" s="1"/>
  <c r="N575" i="3" s="1"/>
  <c r="L576" i="3"/>
  <c r="M576" i="3" s="1"/>
  <c r="N576" i="3" s="1"/>
  <c r="L577" i="3"/>
  <c r="M577" i="3" s="1"/>
  <c r="N577" i="3" s="1"/>
  <c r="L578" i="3"/>
  <c r="M578" i="3" s="1"/>
  <c r="N578" i="3" s="1"/>
  <c r="L579" i="3"/>
  <c r="M579" i="3" s="1"/>
  <c r="N579" i="3" s="1"/>
  <c r="L580" i="3"/>
  <c r="M580" i="3" s="1"/>
  <c r="N580" i="3" s="1"/>
  <c r="L581" i="3"/>
  <c r="M581" i="3" s="1"/>
  <c r="N581" i="3" s="1"/>
  <c r="L582" i="3"/>
  <c r="M582" i="3" s="1"/>
  <c r="N582" i="3" s="1"/>
  <c r="L583" i="3"/>
  <c r="M583" i="3" s="1"/>
  <c r="N583" i="3" s="1"/>
  <c r="L584" i="3"/>
  <c r="M584" i="3" s="1"/>
  <c r="N584" i="3" s="1"/>
  <c r="L585" i="3"/>
  <c r="M585" i="3" s="1"/>
  <c r="N585" i="3" s="1"/>
  <c r="L586" i="3"/>
  <c r="M586" i="3" s="1"/>
  <c r="N586" i="3" s="1"/>
  <c r="L587" i="3"/>
  <c r="M587" i="3" s="1"/>
  <c r="N587" i="3" s="1"/>
  <c r="L588" i="3"/>
  <c r="M588" i="3" s="1"/>
  <c r="N588" i="3" s="1"/>
  <c r="L589" i="3"/>
  <c r="M589" i="3" s="1"/>
  <c r="N589" i="3" s="1"/>
  <c r="L590" i="3"/>
  <c r="M590" i="3" s="1"/>
  <c r="N590" i="3" s="1"/>
  <c r="L591" i="3"/>
  <c r="M591" i="3" s="1"/>
  <c r="N591" i="3" s="1"/>
  <c r="L592" i="3"/>
  <c r="M592" i="3" s="1"/>
  <c r="N592" i="3" s="1"/>
  <c r="L593" i="3"/>
  <c r="M593" i="3" s="1"/>
  <c r="N593" i="3" s="1"/>
  <c r="L594" i="3"/>
  <c r="M594" i="3" s="1"/>
  <c r="N594" i="3" s="1"/>
  <c r="L595" i="3"/>
  <c r="M595" i="3" s="1"/>
  <c r="N595" i="3" s="1"/>
  <c r="L596" i="3"/>
  <c r="M596" i="3" s="1"/>
  <c r="N596" i="3" s="1"/>
  <c r="L597" i="3"/>
  <c r="M597" i="3" s="1"/>
  <c r="N597" i="3" s="1"/>
  <c r="L598" i="3"/>
  <c r="M598" i="3" s="1"/>
  <c r="N598" i="3" s="1"/>
  <c r="L599" i="3"/>
  <c r="M599" i="3" s="1"/>
  <c r="N599" i="3" s="1"/>
  <c r="L600" i="3"/>
  <c r="M600" i="3" s="1"/>
  <c r="N600" i="3" s="1"/>
  <c r="L601" i="3"/>
  <c r="M601" i="3" s="1"/>
  <c r="N601" i="3" s="1"/>
  <c r="L602" i="3"/>
  <c r="M602" i="3" s="1"/>
  <c r="N602" i="3" s="1"/>
  <c r="L603" i="3"/>
  <c r="M603" i="3" s="1"/>
  <c r="N603" i="3" s="1"/>
  <c r="L604" i="3"/>
  <c r="L605" i="3"/>
  <c r="M605" i="3" s="1"/>
  <c r="N605" i="3" s="1"/>
  <c r="L606" i="3"/>
  <c r="M606" i="3" s="1"/>
  <c r="N606" i="3" s="1"/>
  <c r="L607" i="3"/>
  <c r="M607" i="3" s="1"/>
  <c r="N607" i="3" s="1"/>
  <c r="L608" i="3"/>
  <c r="M608" i="3" s="1"/>
  <c r="N608" i="3" s="1"/>
  <c r="L609" i="3"/>
  <c r="M609" i="3" s="1"/>
  <c r="N609" i="3" s="1"/>
  <c r="L610" i="3"/>
  <c r="M610" i="3" s="1"/>
  <c r="N610" i="3" s="1"/>
  <c r="L611" i="3"/>
  <c r="M611" i="3" s="1"/>
  <c r="N611" i="3" s="1"/>
  <c r="L612" i="3"/>
  <c r="M612" i="3" s="1"/>
  <c r="N612" i="3" s="1"/>
  <c r="L613" i="3"/>
  <c r="M613" i="3" s="1"/>
  <c r="N613" i="3" s="1"/>
  <c r="L614" i="3"/>
  <c r="M614" i="3" s="1"/>
  <c r="N614" i="3" s="1"/>
  <c r="L615" i="3"/>
  <c r="M615" i="3" s="1"/>
  <c r="N615" i="3" s="1"/>
  <c r="L616" i="3"/>
  <c r="M616" i="3" s="1"/>
  <c r="N616" i="3" s="1"/>
  <c r="L617" i="3"/>
  <c r="M617" i="3" s="1"/>
  <c r="N617" i="3" s="1"/>
  <c r="L618" i="3"/>
  <c r="M618" i="3" s="1"/>
  <c r="N618" i="3" s="1"/>
  <c r="L619" i="3"/>
  <c r="M619" i="3" s="1"/>
  <c r="N619" i="3" s="1"/>
  <c r="L620" i="3"/>
  <c r="M620" i="3" s="1"/>
  <c r="N620" i="3" s="1"/>
  <c r="L621" i="3"/>
  <c r="M621" i="3" s="1"/>
  <c r="N621" i="3" s="1"/>
  <c r="L622" i="3"/>
  <c r="M622" i="3" s="1"/>
  <c r="N622" i="3" s="1"/>
  <c r="L623" i="3"/>
  <c r="M623" i="3" s="1"/>
  <c r="N623" i="3" s="1"/>
  <c r="L624" i="3"/>
  <c r="M624" i="3" s="1"/>
  <c r="N624" i="3" s="1"/>
  <c r="L625" i="3"/>
  <c r="M625" i="3" s="1"/>
  <c r="N625" i="3" s="1"/>
  <c r="L626" i="3"/>
  <c r="M626" i="3" s="1"/>
  <c r="N626" i="3" s="1"/>
  <c r="L627" i="3"/>
  <c r="M627" i="3" s="1"/>
  <c r="N627" i="3" s="1"/>
  <c r="L628" i="3"/>
  <c r="M628" i="3" s="1"/>
  <c r="N628" i="3" s="1"/>
  <c r="L629" i="3"/>
  <c r="M629" i="3" s="1"/>
  <c r="N629" i="3" s="1"/>
  <c r="L630" i="3"/>
  <c r="M630" i="3" s="1"/>
  <c r="N630" i="3" s="1"/>
  <c r="L631" i="3"/>
  <c r="M631" i="3" s="1"/>
  <c r="N631" i="3" s="1"/>
  <c r="L632" i="3"/>
  <c r="M632" i="3" s="1"/>
  <c r="N632" i="3" s="1"/>
  <c r="L633" i="3"/>
  <c r="M633" i="3" s="1"/>
  <c r="N633" i="3" s="1"/>
  <c r="L634" i="3"/>
  <c r="M634" i="3" s="1"/>
  <c r="N634" i="3" s="1"/>
  <c r="L635" i="3"/>
  <c r="M635" i="3" s="1"/>
  <c r="N635" i="3" s="1"/>
  <c r="L636" i="3"/>
  <c r="M636" i="3" s="1"/>
  <c r="N636" i="3" s="1"/>
  <c r="L637" i="3"/>
  <c r="M637" i="3" s="1"/>
  <c r="N637" i="3" s="1"/>
  <c r="L638" i="3"/>
  <c r="M638" i="3" s="1"/>
  <c r="N638" i="3" s="1"/>
  <c r="L639" i="3"/>
  <c r="M639" i="3" s="1"/>
  <c r="N639" i="3" s="1"/>
  <c r="L640" i="3"/>
  <c r="M640" i="3" s="1"/>
  <c r="N640" i="3" s="1"/>
  <c r="L641" i="3"/>
  <c r="M641" i="3" s="1"/>
  <c r="N641" i="3" s="1"/>
  <c r="L642" i="3"/>
  <c r="M642" i="3" s="1"/>
  <c r="N642" i="3" s="1"/>
  <c r="L643" i="3"/>
  <c r="M643" i="3" s="1"/>
  <c r="N643" i="3" s="1"/>
  <c r="L644" i="3"/>
  <c r="M644" i="3" s="1"/>
  <c r="N644" i="3" s="1"/>
  <c r="L645" i="3"/>
  <c r="M645" i="3" s="1"/>
  <c r="N645" i="3" s="1"/>
  <c r="L646" i="3"/>
  <c r="M646" i="3" s="1"/>
  <c r="N646" i="3" s="1"/>
  <c r="L647" i="3"/>
  <c r="M647" i="3" s="1"/>
  <c r="N647" i="3" s="1"/>
  <c r="L648" i="3"/>
  <c r="M648" i="3" s="1"/>
  <c r="N648" i="3" s="1"/>
  <c r="L649" i="3"/>
  <c r="M649" i="3" s="1"/>
  <c r="N649" i="3" s="1"/>
  <c r="L650" i="3"/>
  <c r="M650" i="3" s="1"/>
  <c r="N650" i="3" s="1"/>
  <c r="L651" i="3"/>
  <c r="M651" i="3" s="1"/>
  <c r="N651" i="3" s="1"/>
  <c r="L652" i="3"/>
  <c r="M652" i="3" s="1"/>
  <c r="N652" i="3" s="1"/>
  <c r="L653" i="3"/>
  <c r="M653" i="3" s="1"/>
  <c r="N653" i="3" s="1"/>
  <c r="L654" i="3"/>
  <c r="M654" i="3" s="1"/>
  <c r="N654" i="3" s="1"/>
  <c r="L655" i="3"/>
  <c r="M655" i="3" s="1"/>
  <c r="N655" i="3" s="1"/>
  <c r="L656" i="3"/>
  <c r="M656" i="3" s="1"/>
  <c r="N656" i="3" s="1"/>
  <c r="L657" i="3"/>
  <c r="M657" i="3" s="1"/>
  <c r="N657" i="3" s="1"/>
  <c r="L658" i="3"/>
  <c r="M658" i="3" s="1"/>
  <c r="N658" i="3" s="1"/>
  <c r="L659" i="3"/>
  <c r="M659" i="3" s="1"/>
  <c r="N659" i="3" s="1"/>
  <c r="L660" i="3"/>
  <c r="M660" i="3" s="1"/>
  <c r="N660" i="3" s="1"/>
  <c r="L661" i="3"/>
  <c r="M661" i="3" s="1"/>
  <c r="N661" i="3" s="1"/>
  <c r="L662" i="3"/>
  <c r="M662" i="3" s="1"/>
  <c r="N662" i="3" s="1"/>
  <c r="L663" i="3"/>
  <c r="M663" i="3" s="1"/>
  <c r="N663" i="3" s="1"/>
  <c r="L664" i="3"/>
  <c r="M664" i="3" s="1"/>
  <c r="N664" i="3" s="1"/>
  <c r="L665" i="3"/>
  <c r="M665" i="3" s="1"/>
  <c r="N665" i="3" s="1"/>
  <c r="L666" i="3"/>
  <c r="M666" i="3" s="1"/>
  <c r="N666" i="3" s="1"/>
  <c r="L667" i="3"/>
  <c r="M667" i="3" s="1"/>
  <c r="N667" i="3" s="1"/>
  <c r="L668" i="3"/>
  <c r="M668" i="3" s="1"/>
  <c r="N668" i="3" s="1"/>
  <c r="L669" i="3"/>
  <c r="M669" i="3" s="1"/>
  <c r="N669" i="3" s="1"/>
  <c r="L670" i="3"/>
  <c r="M670" i="3" s="1"/>
  <c r="N670" i="3" s="1"/>
  <c r="L671" i="3"/>
  <c r="M671" i="3" s="1"/>
  <c r="N671" i="3" s="1"/>
  <c r="L672" i="3"/>
  <c r="M672" i="3" s="1"/>
  <c r="N672" i="3" s="1"/>
  <c r="L673" i="3"/>
  <c r="M673" i="3" s="1"/>
  <c r="N673" i="3" s="1"/>
  <c r="L674" i="3"/>
  <c r="M674" i="3" s="1"/>
  <c r="N674" i="3" s="1"/>
  <c r="L675" i="3"/>
  <c r="L676" i="3"/>
  <c r="M676" i="3" s="1"/>
  <c r="N676" i="3" s="1"/>
  <c r="L677" i="3"/>
  <c r="M677" i="3" s="1"/>
  <c r="N677" i="3" s="1"/>
  <c r="L678" i="3"/>
  <c r="M678" i="3" s="1"/>
  <c r="N678" i="3" s="1"/>
  <c r="L679" i="3"/>
  <c r="M679" i="3" s="1"/>
  <c r="N679" i="3" s="1"/>
  <c r="L680" i="3"/>
  <c r="M680" i="3" s="1"/>
  <c r="N680" i="3" s="1"/>
  <c r="L681" i="3"/>
  <c r="M681" i="3" s="1"/>
  <c r="N681" i="3" s="1"/>
  <c r="L682" i="3"/>
  <c r="M682" i="3" s="1"/>
  <c r="N682" i="3" s="1"/>
  <c r="L683" i="3"/>
  <c r="M683" i="3" s="1"/>
  <c r="N683" i="3" s="1"/>
  <c r="L684" i="3"/>
  <c r="M684" i="3" s="1"/>
  <c r="N684" i="3" s="1"/>
  <c r="L685" i="3"/>
  <c r="M685" i="3" s="1"/>
  <c r="N685" i="3" s="1"/>
  <c r="L686" i="3"/>
  <c r="M686" i="3" s="1"/>
  <c r="N686" i="3" s="1"/>
  <c r="L687" i="3"/>
  <c r="M687" i="3" s="1"/>
  <c r="N687" i="3" s="1"/>
  <c r="L688" i="3"/>
  <c r="M688" i="3" s="1"/>
  <c r="N688" i="3" s="1"/>
  <c r="L689" i="3"/>
  <c r="M689" i="3" s="1"/>
  <c r="N689" i="3" s="1"/>
  <c r="L690" i="3"/>
  <c r="M690" i="3" s="1"/>
  <c r="N690" i="3" s="1"/>
  <c r="L691" i="3"/>
  <c r="M691" i="3" s="1"/>
  <c r="N691" i="3" s="1"/>
  <c r="L692" i="3"/>
  <c r="M692" i="3" s="1"/>
  <c r="N692" i="3" s="1"/>
  <c r="L693" i="3"/>
  <c r="M693" i="3" s="1"/>
  <c r="N693" i="3" s="1"/>
  <c r="L694" i="3"/>
  <c r="M694" i="3" s="1"/>
  <c r="N694" i="3" s="1"/>
  <c r="L695" i="3"/>
  <c r="M695" i="3" s="1"/>
  <c r="N695" i="3" s="1"/>
  <c r="L696" i="3"/>
  <c r="M696" i="3" s="1"/>
  <c r="N696" i="3" s="1"/>
  <c r="L697" i="3"/>
  <c r="M697" i="3" s="1"/>
  <c r="N697" i="3" s="1"/>
  <c r="L698" i="3"/>
  <c r="M698" i="3" s="1"/>
  <c r="N698" i="3" s="1"/>
  <c r="L699" i="3"/>
  <c r="L700" i="3"/>
  <c r="M700" i="3" s="1"/>
  <c r="N700" i="3" s="1"/>
  <c r="L701" i="3"/>
  <c r="M701" i="3" s="1"/>
  <c r="N701" i="3" s="1"/>
  <c r="L702" i="3"/>
  <c r="M702" i="3" s="1"/>
  <c r="N702" i="3" s="1"/>
  <c r="L703" i="3"/>
  <c r="M703" i="3" s="1"/>
  <c r="N703" i="3" s="1"/>
  <c r="L704" i="3"/>
  <c r="M704" i="3" s="1"/>
  <c r="N704" i="3" s="1"/>
  <c r="L705" i="3"/>
  <c r="M705" i="3" s="1"/>
  <c r="N705" i="3" s="1"/>
  <c r="L706" i="3"/>
  <c r="M706" i="3" s="1"/>
  <c r="N706" i="3" s="1"/>
  <c r="L707" i="3"/>
  <c r="M707" i="3" s="1"/>
  <c r="N707" i="3" s="1"/>
  <c r="L708" i="3"/>
  <c r="M708" i="3" s="1"/>
  <c r="N708" i="3" s="1"/>
  <c r="L709" i="3"/>
  <c r="M709" i="3" s="1"/>
  <c r="N709" i="3" s="1"/>
  <c r="L710" i="3"/>
  <c r="M710" i="3" s="1"/>
  <c r="N710" i="3" s="1"/>
  <c r="L711" i="3"/>
  <c r="M711" i="3" s="1"/>
  <c r="N711" i="3" s="1"/>
  <c r="L712" i="3"/>
  <c r="M712" i="3" s="1"/>
  <c r="N712" i="3" s="1"/>
  <c r="L713" i="3"/>
  <c r="M713" i="3" s="1"/>
  <c r="N713" i="3" s="1"/>
  <c r="L714" i="3"/>
  <c r="M714" i="3" s="1"/>
  <c r="N714" i="3" s="1"/>
  <c r="L715" i="3"/>
  <c r="M715" i="3" s="1"/>
  <c r="N715" i="3" s="1"/>
  <c r="L716" i="3"/>
  <c r="M716" i="3" s="1"/>
  <c r="N716" i="3" s="1"/>
  <c r="L717" i="3"/>
  <c r="M717" i="3" s="1"/>
  <c r="N717" i="3" s="1"/>
  <c r="L718" i="3"/>
  <c r="M718" i="3" s="1"/>
  <c r="N718" i="3" s="1"/>
  <c r="L719" i="3"/>
  <c r="M719" i="3" s="1"/>
  <c r="N719" i="3" s="1"/>
  <c r="L720" i="3"/>
  <c r="M720" i="3" s="1"/>
  <c r="N720" i="3" s="1"/>
  <c r="L721" i="3"/>
  <c r="M721" i="3" s="1"/>
  <c r="N721" i="3" s="1"/>
  <c r="L722" i="3"/>
  <c r="M722" i="3" s="1"/>
  <c r="N722" i="3" s="1"/>
  <c r="L723" i="3"/>
  <c r="M723" i="3" s="1"/>
  <c r="N723" i="3" s="1"/>
  <c r="L724" i="3"/>
  <c r="M724" i="3" s="1"/>
  <c r="N724" i="3" s="1"/>
  <c r="L725" i="3"/>
  <c r="M725" i="3" s="1"/>
  <c r="N725" i="3" s="1"/>
  <c r="L726" i="3"/>
  <c r="M726" i="3" s="1"/>
  <c r="N726" i="3" s="1"/>
  <c r="L727" i="3"/>
  <c r="M727" i="3" s="1"/>
  <c r="N727" i="3" s="1"/>
  <c r="L728" i="3"/>
  <c r="M728" i="3" s="1"/>
  <c r="N728" i="3" s="1"/>
  <c r="L729" i="3"/>
  <c r="M729" i="3" s="1"/>
  <c r="N729" i="3" s="1"/>
  <c r="L730" i="3"/>
  <c r="M730" i="3" s="1"/>
  <c r="N730" i="3" s="1"/>
  <c r="L731" i="3"/>
  <c r="M731" i="3" s="1"/>
  <c r="N731" i="3" s="1"/>
  <c r="L732" i="3"/>
  <c r="M732" i="3" s="1"/>
  <c r="N732" i="3" s="1"/>
  <c r="L733" i="3"/>
  <c r="M733" i="3" s="1"/>
  <c r="N733" i="3" s="1"/>
  <c r="L734" i="3"/>
  <c r="M734" i="3" s="1"/>
  <c r="N734" i="3" s="1"/>
  <c r="L735" i="3"/>
  <c r="M735" i="3" s="1"/>
  <c r="N735" i="3" s="1"/>
  <c r="L736" i="3"/>
  <c r="M736" i="3" s="1"/>
  <c r="N736" i="3" s="1"/>
  <c r="L737" i="3"/>
  <c r="M737" i="3" s="1"/>
  <c r="N737" i="3" s="1"/>
  <c r="L738" i="3"/>
  <c r="M738" i="3" s="1"/>
  <c r="N738" i="3" s="1"/>
  <c r="L739" i="3"/>
  <c r="M739" i="3" s="1"/>
  <c r="N739" i="3" s="1"/>
  <c r="L740" i="3"/>
  <c r="M740" i="3" s="1"/>
  <c r="N740" i="3" s="1"/>
  <c r="L741" i="3"/>
  <c r="M741" i="3" s="1"/>
  <c r="N741" i="3" s="1"/>
  <c r="L742" i="3"/>
  <c r="M742" i="3" s="1"/>
  <c r="N742" i="3" s="1"/>
  <c r="L743" i="3"/>
  <c r="M743" i="3" s="1"/>
  <c r="N743" i="3" s="1"/>
  <c r="L744" i="3"/>
  <c r="M744" i="3" s="1"/>
  <c r="N744" i="3" s="1"/>
  <c r="L745" i="3"/>
  <c r="M745" i="3" s="1"/>
  <c r="N745" i="3" s="1"/>
  <c r="L746" i="3"/>
  <c r="M746" i="3" s="1"/>
  <c r="N746" i="3" s="1"/>
  <c r="L747" i="3"/>
  <c r="M747" i="3" s="1"/>
  <c r="N747" i="3" s="1"/>
  <c r="L748" i="3"/>
  <c r="M748" i="3" s="1"/>
  <c r="N748" i="3" s="1"/>
  <c r="L749" i="3"/>
  <c r="M749" i="3" s="1"/>
  <c r="N749" i="3" s="1"/>
  <c r="L750" i="3"/>
  <c r="M750" i="3" s="1"/>
  <c r="N750" i="3" s="1"/>
  <c r="L751" i="3"/>
  <c r="M751" i="3" s="1"/>
  <c r="N751" i="3" s="1"/>
  <c r="L752" i="3"/>
  <c r="M752" i="3" s="1"/>
  <c r="N752" i="3" s="1"/>
  <c r="L753" i="3"/>
  <c r="M753" i="3" s="1"/>
  <c r="N753" i="3" s="1"/>
  <c r="L754" i="3"/>
  <c r="M754" i="3" s="1"/>
  <c r="N754" i="3" s="1"/>
  <c r="L755" i="3"/>
  <c r="M755" i="3" s="1"/>
  <c r="N755" i="3" s="1"/>
  <c r="L756" i="3"/>
  <c r="M756" i="3" s="1"/>
  <c r="N756" i="3" s="1"/>
  <c r="L757" i="3"/>
  <c r="M757" i="3" s="1"/>
  <c r="N757" i="3" s="1"/>
  <c r="L758" i="3"/>
  <c r="M758" i="3" s="1"/>
  <c r="N758" i="3" s="1"/>
  <c r="L759" i="3"/>
  <c r="M759" i="3" s="1"/>
  <c r="N759" i="3" s="1"/>
  <c r="L760" i="3"/>
  <c r="M760" i="3" s="1"/>
  <c r="N760" i="3" s="1"/>
  <c r="L761" i="3"/>
  <c r="M761" i="3" s="1"/>
  <c r="N761" i="3" s="1"/>
  <c r="L762" i="3"/>
  <c r="M762" i="3" s="1"/>
  <c r="N762" i="3" s="1"/>
  <c r="L763" i="3"/>
  <c r="M763" i="3" s="1"/>
  <c r="N763" i="3" s="1"/>
  <c r="L764" i="3"/>
  <c r="M764" i="3" s="1"/>
  <c r="N764" i="3" s="1"/>
  <c r="L765" i="3"/>
  <c r="M765" i="3" s="1"/>
  <c r="N765" i="3" s="1"/>
  <c r="L766" i="3"/>
  <c r="M766" i="3" s="1"/>
  <c r="N766" i="3" s="1"/>
  <c r="L767" i="3"/>
  <c r="M767" i="3" s="1"/>
  <c r="N767" i="3" s="1"/>
  <c r="L768" i="3"/>
  <c r="M768" i="3" s="1"/>
  <c r="N768" i="3" s="1"/>
  <c r="L769" i="3"/>
  <c r="M769" i="3" s="1"/>
  <c r="N769" i="3" s="1"/>
  <c r="L770" i="3"/>
  <c r="M770" i="3" s="1"/>
  <c r="N770" i="3" s="1"/>
  <c r="L771" i="3"/>
  <c r="M771" i="3" s="1"/>
  <c r="N771" i="3" s="1"/>
  <c r="L772" i="3"/>
  <c r="M772" i="3" s="1"/>
  <c r="N772" i="3" s="1"/>
  <c r="L773" i="3"/>
  <c r="M773" i="3" s="1"/>
  <c r="N773" i="3" s="1"/>
  <c r="L774" i="3"/>
  <c r="M774" i="3" s="1"/>
  <c r="N774" i="3" s="1"/>
  <c r="L775" i="3"/>
  <c r="M775" i="3" s="1"/>
  <c r="N775" i="3" s="1"/>
  <c r="L776" i="3"/>
  <c r="M776" i="3" s="1"/>
  <c r="N776" i="3" s="1"/>
  <c r="L777" i="3"/>
  <c r="M777" i="3" s="1"/>
  <c r="N777" i="3" s="1"/>
  <c r="L778" i="3"/>
  <c r="M778" i="3" s="1"/>
  <c r="N778" i="3" s="1"/>
  <c r="L779" i="3"/>
  <c r="M779" i="3" s="1"/>
  <c r="N779" i="3" s="1"/>
  <c r="L780" i="3"/>
  <c r="M780" i="3" s="1"/>
  <c r="N780" i="3" s="1"/>
  <c r="L781" i="3"/>
  <c r="M781" i="3" s="1"/>
  <c r="N781" i="3" s="1"/>
  <c r="L782" i="3"/>
  <c r="M782" i="3" s="1"/>
  <c r="N782" i="3" s="1"/>
  <c r="L783" i="3"/>
  <c r="M783" i="3" s="1"/>
  <c r="N783" i="3" s="1"/>
  <c r="L784" i="3"/>
  <c r="M784" i="3" s="1"/>
  <c r="N784" i="3" s="1"/>
  <c r="L785" i="3"/>
  <c r="M785" i="3" s="1"/>
  <c r="N785" i="3" s="1"/>
  <c r="L786" i="3"/>
  <c r="M786" i="3" s="1"/>
  <c r="N786" i="3" s="1"/>
  <c r="L787" i="3"/>
  <c r="M787" i="3" s="1"/>
  <c r="N787" i="3" s="1"/>
  <c r="L788" i="3"/>
  <c r="M788" i="3" s="1"/>
  <c r="N788" i="3" s="1"/>
  <c r="L789" i="3"/>
  <c r="M789" i="3" s="1"/>
  <c r="N789" i="3" s="1"/>
  <c r="L790" i="3"/>
  <c r="M790" i="3" s="1"/>
  <c r="N790" i="3" s="1"/>
  <c r="L791" i="3"/>
  <c r="M791" i="3" s="1"/>
  <c r="N791" i="3" s="1"/>
  <c r="L792" i="3"/>
  <c r="M792" i="3" s="1"/>
  <c r="N792" i="3" s="1"/>
  <c r="L793" i="3"/>
  <c r="M793" i="3" s="1"/>
  <c r="N793" i="3" s="1"/>
  <c r="L794" i="3"/>
  <c r="M794" i="3" s="1"/>
  <c r="N794" i="3" s="1"/>
  <c r="L795" i="3"/>
  <c r="M795" i="3" s="1"/>
  <c r="N795" i="3" s="1"/>
  <c r="L796" i="3"/>
  <c r="M796" i="3" s="1"/>
  <c r="N796" i="3" s="1"/>
  <c r="L797" i="3"/>
  <c r="M797" i="3" s="1"/>
  <c r="N797" i="3" s="1"/>
  <c r="L798" i="3"/>
  <c r="M798" i="3" s="1"/>
  <c r="N798" i="3" s="1"/>
  <c r="L799" i="3"/>
  <c r="M799" i="3" s="1"/>
  <c r="N799" i="3" s="1"/>
  <c r="L800" i="3"/>
  <c r="M800" i="3" s="1"/>
  <c r="N800" i="3" s="1"/>
  <c r="L801" i="3"/>
  <c r="M801" i="3" s="1"/>
  <c r="N801" i="3" s="1"/>
  <c r="L802" i="3"/>
  <c r="M802" i="3" s="1"/>
  <c r="N802" i="3" s="1"/>
  <c r="L803" i="3"/>
  <c r="M803" i="3" s="1"/>
  <c r="N803" i="3" s="1"/>
  <c r="L804" i="3"/>
  <c r="M804" i="3" s="1"/>
  <c r="N804" i="3" s="1"/>
  <c r="L805" i="3"/>
  <c r="M805" i="3" s="1"/>
  <c r="N805" i="3" s="1"/>
  <c r="L806" i="3"/>
  <c r="M806" i="3" s="1"/>
  <c r="N806" i="3" s="1"/>
  <c r="L807" i="3"/>
  <c r="M807" i="3" s="1"/>
  <c r="N807" i="3" s="1"/>
  <c r="L808" i="3"/>
  <c r="M808" i="3" s="1"/>
  <c r="N808" i="3" s="1"/>
  <c r="L809" i="3"/>
  <c r="M809" i="3" s="1"/>
  <c r="N809" i="3" s="1"/>
  <c r="L810" i="3"/>
  <c r="M810" i="3" s="1"/>
  <c r="N810" i="3" s="1"/>
  <c r="L811" i="3"/>
  <c r="M811" i="3" s="1"/>
  <c r="N811" i="3" s="1"/>
  <c r="L812" i="3"/>
  <c r="M812" i="3" s="1"/>
  <c r="N812" i="3" s="1"/>
  <c r="L813" i="3"/>
  <c r="M813" i="3" s="1"/>
  <c r="N813" i="3" s="1"/>
  <c r="L814" i="3"/>
  <c r="M814" i="3" s="1"/>
  <c r="N814" i="3" s="1"/>
  <c r="L815" i="3"/>
  <c r="M815" i="3" s="1"/>
  <c r="N815" i="3" s="1"/>
  <c r="L816" i="3"/>
  <c r="M816" i="3" s="1"/>
  <c r="N816" i="3" s="1"/>
  <c r="L817" i="3"/>
  <c r="M817" i="3" s="1"/>
  <c r="N817" i="3" s="1"/>
  <c r="L818" i="3"/>
  <c r="M818" i="3" s="1"/>
  <c r="N818" i="3" s="1"/>
  <c r="L819" i="3"/>
  <c r="M819" i="3" s="1"/>
  <c r="N819" i="3" s="1"/>
  <c r="L820" i="3"/>
  <c r="M820" i="3" s="1"/>
  <c r="N820" i="3" s="1"/>
  <c r="L821" i="3"/>
  <c r="M821" i="3" s="1"/>
  <c r="N821" i="3" s="1"/>
  <c r="L822" i="3"/>
  <c r="M822" i="3" s="1"/>
  <c r="N822" i="3" s="1"/>
  <c r="L823" i="3"/>
  <c r="M823" i="3" s="1"/>
  <c r="N823" i="3" s="1"/>
  <c r="L824" i="3"/>
  <c r="M824" i="3" s="1"/>
  <c r="N824" i="3" s="1"/>
  <c r="L825" i="3"/>
  <c r="M825" i="3" s="1"/>
  <c r="N825" i="3" s="1"/>
  <c r="L826" i="3"/>
  <c r="M826" i="3" s="1"/>
  <c r="N826" i="3" s="1"/>
  <c r="L827" i="3"/>
  <c r="M827" i="3" s="1"/>
  <c r="N827" i="3" s="1"/>
  <c r="L828" i="3"/>
  <c r="M828" i="3" s="1"/>
  <c r="N828" i="3" s="1"/>
  <c r="L829" i="3"/>
  <c r="M829" i="3" s="1"/>
  <c r="N829" i="3" s="1"/>
  <c r="L830" i="3"/>
  <c r="M830" i="3" s="1"/>
  <c r="N830" i="3" s="1"/>
  <c r="L831" i="3"/>
  <c r="M831" i="3" s="1"/>
  <c r="N831" i="3" s="1"/>
  <c r="L832" i="3"/>
  <c r="M832" i="3" s="1"/>
  <c r="N832" i="3" s="1"/>
  <c r="L833" i="3"/>
  <c r="M833" i="3" s="1"/>
  <c r="N833" i="3" s="1"/>
  <c r="L834" i="3"/>
  <c r="M834" i="3" s="1"/>
  <c r="N834" i="3" s="1"/>
  <c r="L835" i="3"/>
  <c r="M835" i="3" s="1"/>
  <c r="N835" i="3" s="1"/>
  <c r="L836" i="3"/>
  <c r="M836" i="3" s="1"/>
  <c r="N836" i="3" s="1"/>
  <c r="L837" i="3"/>
  <c r="M837" i="3" s="1"/>
  <c r="N837" i="3" s="1"/>
  <c r="L838" i="3"/>
  <c r="M838" i="3" s="1"/>
  <c r="N838" i="3" s="1"/>
  <c r="L839" i="3"/>
  <c r="M839" i="3" s="1"/>
  <c r="N839" i="3" s="1"/>
  <c r="L840" i="3"/>
  <c r="M840" i="3" s="1"/>
  <c r="N840" i="3" s="1"/>
  <c r="L841" i="3"/>
  <c r="M841" i="3" s="1"/>
  <c r="N841" i="3" s="1"/>
  <c r="L842" i="3"/>
  <c r="M842" i="3" s="1"/>
  <c r="N842" i="3" s="1"/>
  <c r="L843" i="3"/>
  <c r="M843" i="3" s="1"/>
  <c r="N843" i="3" s="1"/>
  <c r="L844" i="3"/>
  <c r="M844" i="3" s="1"/>
  <c r="N844" i="3" s="1"/>
  <c r="L845" i="3"/>
  <c r="M845" i="3" s="1"/>
  <c r="N845" i="3" s="1"/>
  <c r="L846" i="3"/>
  <c r="M846" i="3" s="1"/>
  <c r="N846" i="3" s="1"/>
  <c r="L847" i="3"/>
  <c r="M847" i="3" s="1"/>
  <c r="N847" i="3" s="1"/>
  <c r="L848" i="3"/>
  <c r="M848" i="3" s="1"/>
  <c r="N848" i="3" s="1"/>
  <c r="L849" i="3"/>
  <c r="M849" i="3" s="1"/>
  <c r="N849" i="3" s="1"/>
  <c r="L850" i="3"/>
  <c r="M850" i="3" s="1"/>
  <c r="N850" i="3" s="1"/>
  <c r="L851" i="3"/>
  <c r="M851" i="3" s="1"/>
  <c r="N851" i="3" s="1"/>
  <c r="L852" i="3"/>
  <c r="M852" i="3" s="1"/>
  <c r="N852" i="3" s="1"/>
  <c r="L853" i="3"/>
  <c r="M853" i="3" s="1"/>
  <c r="N853" i="3" s="1"/>
  <c r="L854" i="3"/>
  <c r="M854" i="3" s="1"/>
  <c r="N854" i="3" s="1"/>
  <c r="L855" i="3"/>
  <c r="M855" i="3" s="1"/>
  <c r="N855" i="3" s="1"/>
  <c r="L856" i="3"/>
  <c r="M856" i="3" s="1"/>
  <c r="N856" i="3" s="1"/>
  <c r="L857" i="3"/>
  <c r="M857" i="3" s="1"/>
  <c r="N857" i="3" s="1"/>
  <c r="L858" i="3"/>
  <c r="M858" i="3" s="1"/>
  <c r="N858" i="3" s="1"/>
  <c r="L859" i="3"/>
  <c r="M859" i="3" s="1"/>
  <c r="N859" i="3" s="1"/>
  <c r="L860" i="3"/>
  <c r="M860" i="3" s="1"/>
  <c r="N860" i="3" s="1"/>
  <c r="L861" i="3"/>
  <c r="M861" i="3" s="1"/>
  <c r="N861" i="3" s="1"/>
  <c r="L862" i="3"/>
  <c r="M862" i="3" s="1"/>
  <c r="N862" i="3" s="1"/>
  <c r="L863" i="3"/>
  <c r="M863" i="3" s="1"/>
  <c r="N863" i="3" s="1"/>
  <c r="L864" i="3"/>
  <c r="M864" i="3" s="1"/>
  <c r="N864" i="3" s="1"/>
  <c r="L865" i="3"/>
  <c r="M865" i="3" s="1"/>
  <c r="N865" i="3" s="1"/>
  <c r="L866" i="3"/>
  <c r="M866" i="3" s="1"/>
  <c r="N866" i="3" s="1"/>
  <c r="L867" i="3"/>
  <c r="L868" i="3"/>
  <c r="M868" i="3" s="1"/>
  <c r="N868" i="3" s="1"/>
  <c r="L869" i="3"/>
  <c r="M869" i="3" s="1"/>
  <c r="N869" i="3" s="1"/>
  <c r="L870" i="3"/>
  <c r="M870" i="3" s="1"/>
  <c r="N870" i="3" s="1"/>
  <c r="L871" i="3"/>
  <c r="M871" i="3" s="1"/>
  <c r="N871" i="3" s="1"/>
  <c r="L872" i="3"/>
  <c r="L873" i="3"/>
  <c r="M873" i="3" s="1"/>
  <c r="N873" i="3" s="1"/>
  <c r="L874" i="3"/>
  <c r="M874" i="3" s="1"/>
  <c r="N874" i="3" s="1"/>
  <c r="L875" i="3"/>
  <c r="M875" i="3" s="1"/>
  <c r="N875" i="3" s="1"/>
  <c r="L876" i="3"/>
  <c r="M876" i="3" s="1"/>
  <c r="N876" i="3" s="1"/>
  <c r="L877" i="3"/>
  <c r="M877" i="3" s="1"/>
  <c r="N877" i="3" s="1"/>
  <c r="L878" i="3"/>
  <c r="M878" i="3" s="1"/>
  <c r="N878" i="3" s="1"/>
  <c r="L879" i="3"/>
  <c r="M879" i="3" s="1"/>
  <c r="N879" i="3" s="1"/>
  <c r="L880" i="3"/>
  <c r="M880" i="3" s="1"/>
  <c r="N880" i="3" s="1"/>
  <c r="L881" i="3"/>
  <c r="M881" i="3" s="1"/>
  <c r="N881" i="3" s="1"/>
  <c r="L882" i="3"/>
  <c r="M882" i="3" s="1"/>
  <c r="N882" i="3" s="1"/>
  <c r="L883" i="3"/>
  <c r="M883" i="3" s="1"/>
  <c r="N883" i="3" s="1"/>
  <c r="L884" i="3"/>
  <c r="M884" i="3" s="1"/>
  <c r="N884" i="3" s="1"/>
  <c r="L885" i="3"/>
  <c r="M885" i="3" s="1"/>
  <c r="N885" i="3" s="1"/>
  <c r="L886" i="3"/>
  <c r="M886" i="3" s="1"/>
  <c r="N886" i="3" s="1"/>
  <c r="L887" i="3"/>
  <c r="M887" i="3" s="1"/>
  <c r="N887" i="3" s="1"/>
  <c r="L888" i="3"/>
  <c r="M888" i="3" s="1"/>
  <c r="N888" i="3" s="1"/>
  <c r="L889" i="3"/>
  <c r="M889" i="3" s="1"/>
  <c r="N889" i="3" s="1"/>
  <c r="L890" i="3"/>
  <c r="M890" i="3" s="1"/>
  <c r="N890" i="3" s="1"/>
  <c r="L891" i="3"/>
  <c r="M891" i="3" s="1"/>
  <c r="N891" i="3" s="1"/>
  <c r="L892" i="3"/>
  <c r="M892" i="3" s="1"/>
  <c r="N892" i="3" s="1"/>
  <c r="L893" i="3"/>
  <c r="M893" i="3" s="1"/>
  <c r="N893" i="3" s="1"/>
  <c r="L894" i="3"/>
  <c r="M894" i="3" s="1"/>
  <c r="N894" i="3" s="1"/>
  <c r="L895" i="3"/>
  <c r="M895" i="3" s="1"/>
  <c r="N895" i="3" s="1"/>
  <c r="L896" i="3"/>
  <c r="M896" i="3" s="1"/>
  <c r="N896" i="3" s="1"/>
  <c r="L897" i="3"/>
  <c r="M897" i="3" s="1"/>
  <c r="N897" i="3" s="1"/>
  <c r="L898" i="3"/>
  <c r="M898" i="3" s="1"/>
  <c r="N898" i="3" s="1"/>
  <c r="L899" i="3"/>
  <c r="M899" i="3" s="1"/>
  <c r="N899" i="3" s="1"/>
  <c r="L900" i="3"/>
  <c r="M900" i="3" s="1"/>
  <c r="N900" i="3" s="1"/>
  <c r="L901" i="3"/>
  <c r="M901" i="3" s="1"/>
  <c r="N901" i="3" s="1"/>
  <c r="L902" i="3"/>
  <c r="M902" i="3" s="1"/>
  <c r="N902" i="3" s="1"/>
  <c r="L903" i="3"/>
  <c r="M903" i="3" s="1"/>
  <c r="N903" i="3" s="1"/>
  <c r="L904" i="3"/>
  <c r="M904" i="3" s="1"/>
  <c r="N904" i="3" s="1"/>
  <c r="L905" i="3"/>
  <c r="M905" i="3" s="1"/>
  <c r="N905" i="3" s="1"/>
  <c r="L906" i="3"/>
  <c r="M906" i="3" s="1"/>
  <c r="N906" i="3" s="1"/>
  <c r="L907" i="3"/>
  <c r="M907" i="3" s="1"/>
  <c r="N907" i="3" s="1"/>
  <c r="L908" i="3"/>
  <c r="M908" i="3" s="1"/>
  <c r="N908" i="3" s="1"/>
  <c r="L909" i="3"/>
  <c r="M909" i="3" s="1"/>
  <c r="N909" i="3" s="1"/>
  <c r="L910" i="3"/>
  <c r="M910" i="3" s="1"/>
  <c r="N910" i="3" s="1"/>
  <c r="L2" i="3"/>
  <c r="M2" i="3" s="1"/>
  <c r="N2" i="3" s="1"/>
  <c r="L3" i="3"/>
  <c r="M3" i="3" s="1"/>
  <c r="N3" i="3" s="1"/>
  <c r="L4" i="3"/>
  <c r="M4" i="3" s="1"/>
  <c r="N4" i="3" s="1"/>
  <c r="L5" i="3"/>
  <c r="M5" i="3" s="1"/>
  <c r="N5" i="3" s="1"/>
  <c r="L6" i="3"/>
  <c r="M6" i="3" s="1"/>
  <c r="N6" i="3" s="1"/>
  <c r="L7" i="3"/>
  <c r="M7" i="3" s="1"/>
  <c r="N7" i="3" s="1"/>
  <c r="L8" i="3"/>
  <c r="M8" i="3" s="1"/>
  <c r="N8" i="3" s="1"/>
  <c r="L9" i="3"/>
  <c r="M9" i="3" s="1"/>
  <c r="N9" i="3" s="1"/>
  <c r="L10" i="3"/>
  <c r="M10" i="3" s="1"/>
  <c r="N10" i="3" s="1"/>
  <c r="L11" i="3"/>
  <c r="M11" i="3" s="1"/>
  <c r="N11" i="3" s="1"/>
  <c r="L12" i="3"/>
  <c r="M12" i="3" s="1"/>
  <c r="N12" i="3" s="1"/>
  <c r="L13" i="3"/>
  <c r="M13" i="3" s="1"/>
  <c r="N13" i="3" s="1"/>
  <c r="L14" i="3"/>
  <c r="M14" i="3" s="1"/>
  <c r="N14" i="3" s="1"/>
  <c r="L15" i="3"/>
  <c r="M15" i="3" s="1"/>
  <c r="N15" i="3" s="1"/>
  <c r="L16" i="3"/>
  <c r="M16" i="3" s="1"/>
  <c r="N16" i="3" s="1"/>
  <c r="L17" i="3"/>
  <c r="M17" i="3" s="1"/>
  <c r="N17" i="3" s="1"/>
  <c r="L18" i="3"/>
  <c r="M18" i="3" s="1"/>
  <c r="N18" i="3" s="1"/>
  <c r="L19" i="3"/>
  <c r="M19" i="3" s="1"/>
  <c r="N19" i="3" s="1"/>
  <c r="L20" i="3"/>
  <c r="M20" i="3" s="1"/>
  <c r="N20" i="3" s="1"/>
  <c r="L21" i="3"/>
  <c r="M21" i="3" s="1"/>
  <c r="N21" i="3" s="1"/>
  <c r="L22" i="3"/>
  <c r="M22" i="3" s="1"/>
  <c r="N22" i="3" s="1"/>
  <c r="L23" i="3"/>
  <c r="M23" i="3" s="1"/>
  <c r="N23" i="3" s="1"/>
  <c r="L24" i="3"/>
  <c r="M24" i="3" s="1"/>
  <c r="N24" i="3" s="1"/>
  <c r="L25" i="3"/>
  <c r="M25" i="3" s="1"/>
  <c r="N25" i="3" s="1"/>
  <c r="L26" i="3"/>
  <c r="M26" i="3" s="1"/>
  <c r="N26" i="3" s="1"/>
  <c r="L27" i="3"/>
  <c r="M27" i="3" s="1"/>
  <c r="N27" i="3" s="1"/>
  <c r="L28" i="3"/>
  <c r="M28" i="3" s="1"/>
  <c r="N28" i="3" s="1"/>
  <c r="L29" i="3"/>
  <c r="M29" i="3" s="1"/>
  <c r="N29" i="3" s="1"/>
  <c r="L30" i="3"/>
  <c r="M30" i="3" s="1"/>
  <c r="N30" i="3" s="1"/>
  <c r="L31" i="3"/>
  <c r="M31" i="3" s="1"/>
  <c r="N31" i="3" s="1"/>
  <c r="L32" i="3"/>
  <c r="M32" i="3" s="1"/>
  <c r="N32" i="3" s="1"/>
  <c r="L33" i="3"/>
  <c r="M33" i="3" s="1"/>
  <c r="N33" i="3" s="1"/>
  <c r="L34" i="3"/>
  <c r="M34" i="3" s="1"/>
  <c r="N34" i="3" s="1"/>
  <c r="L35" i="3"/>
  <c r="M35" i="3" s="1"/>
  <c r="N35" i="3" s="1"/>
  <c r="L36" i="3"/>
  <c r="M36" i="3" s="1"/>
  <c r="N36" i="3" s="1"/>
  <c r="L37" i="3"/>
  <c r="M37" i="3" s="1"/>
  <c r="N37" i="3" s="1"/>
  <c r="L38" i="3"/>
  <c r="M38" i="3" s="1"/>
  <c r="N38" i="3" s="1"/>
  <c r="L39" i="3"/>
  <c r="M39" i="3" s="1"/>
  <c r="N39" i="3" s="1"/>
  <c r="L40" i="3"/>
  <c r="M40" i="3" s="1"/>
  <c r="N40" i="3" s="1"/>
  <c r="L41" i="3"/>
  <c r="M41" i="3" s="1"/>
  <c r="N41" i="3" s="1"/>
  <c r="L42" i="3"/>
  <c r="M42" i="3" s="1"/>
  <c r="N42" i="3" s="1"/>
  <c r="L43" i="3"/>
  <c r="M43" i="3" s="1"/>
  <c r="N43" i="3" s="1"/>
  <c r="L44" i="3"/>
  <c r="M44" i="3" s="1"/>
  <c r="N44" i="3" s="1"/>
  <c r="L45" i="3"/>
  <c r="M45" i="3" s="1"/>
  <c r="N45" i="3" s="1"/>
  <c r="L46" i="3"/>
  <c r="M46" i="3" s="1"/>
  <c r="N46" i="3" s="1"/>
  <c r="L47" i="3"/>
  <c r="M47" i="3" s="1"/>
  <c r="N47" i="3" s="1"/>
  <c r="L48" i="3"/>
  <c r="M48" i="3" s="1"/>
  <c r="N48" i="3" s="1"/>
  <c r="L49" i="3"/>
  <c r="M49" i="3" s="1"/>
  <c r="N49" i="3" s="1"/>
  <c r="L50" i="3"/>
  <c r="M50" i="3" s="1"/>
  <c r="N50" i="3" s="1"/>
  <c r="L51" i="3"/>
  <c r="M51" i="3" s="1"/>
  <c r="N51" i="3" s="1"/>
  <c r="L52" i="3"/>
  <c r="M52" i="3" s="1"/>
  <c r="N52" i="3" s="1"/>
  <c r="L53" i="3"/>
  <c r="M53" i="3" s="1"/>
  <c r="N53" i="3" s="1"/>
  <c r="L54" i="3"/>
  <c r="M54" i="3" s="1"/>
  <c r="N54" i="3" s="1"/>
  <c r="L55" i="3"/>
  <c r="M55" i="3" s="1"/>
  <c r="N55" i="3" s="1"/>
  <c r="L56" i="3"/>
  <c r="M56" i="3" s="1"/>
  <c r="N56" i="3" s="1"/>
  <c r="L57" i="3"/>
  <c r="M57" i="3" s="1"/>
  <c r="N57" i="3" s="1"/>
  <c r="L58" i="3"/>
  <c r="M58" i="3" s="1"/>
  <c r="N58" i="3" s="1"/>
  <c r="L59" i="3"/>
  <c r="M59" i="3" s="1"/>
  <c r="N59" i="3" s="1"/>
  <c r="L60" i="3"/>
  <c r="M60" i="3" s="1"/>
  <c r="N60" i="3" s="1"/>
  <c r="L61" i="3"/>
  <c r="M61" i="3" s="1"/>
  <c r="N61" i="3" s="1"/>
  <c r="L62" i="3"/>
  <c r="M62" i="3" s="1"/>
  <c r="N62" i="3" s="1"/>
  <c r="L63" i="3"/>
  <c r="M63" i="3" s="1"/>
  <c r="N63" i="3" s="1"/>
  <c r="L64" i="3"/>
  <c r="M64" i="3" s="1"/>
  <c r="N64" i="3" s="1"/>
  <c r="L65" i="3"/>
  <c r="M65" i="3" s="1"/>
  <c r="N65" i="3" s="1"/>
  <c r="L66" i="3"/>
  <c r="M66" i="3" s="1"/>
  <c r="N66" i="3" s="1"/>
  <c r="L67" i="3"/>
  <c r="M67" i="3" s="1"/>
  <c r="N67" i="3" s="1"/>
  <c r="L68" i="3"/>
  <c r="M68" i="3" s="1"/>
  <c r="N68" i="3" s="1"/>
  <c r="L69" i="3"/>
  <c r="M69" i="3" s="1"/>
  <c r="N69" i="3" s="1"/>
  <c r="L70" i="3"/>
  <c r="M70" i="3" s="1"/>
  <c r="N70" i="3" s="1"/>
  <c r="L71" i="3"/>
  <c r="M71" i="3" s="1"/>
  <c r="N71" i="3" s="1"/>
  <c r="L72" i="3"/>
  <c r="M72" i="3" s="1"/>
  <c r="N72" i="3" s="1"/>
  <c r="L73" i="3"/>
  <c r="M73" i="3" s="1"/>
  <c r="N73" i="3" s="1"/>
  <c r="L74" i="3"/>
  <c r="M74" i="3" s="1"/>
  <c r="N74" i="3" s="1"/>
  <c r="L75" i="3"/>
  <c r="M75" i="3" s="1"/>
  <c r="N75" i="3" s="1"/>
  <c r="L76" i="3"/>
  <c r="M76" i="3" s="1"/>
  <c r="N76" i="3" s="1"/>
  <c r="L77" i="3"/>
  <c r="M77" i="3" s="1"/>
  <c r="N77" i="3" s="1"/>
  <c r="L78" i="3"/>
  <c r="M78" i="3" s="1"/>
  <c r="N78" i="3" s="1"/>
  <c r="L79" i="3"/>
  <c r="M79" i="3" s="1"/>
  <c r="N79" i="3" s="1"/>
  <c r="L80" i="3"/>
  <c r="M80" i="3" s="1"/>
  <c r="N80" i="3" s="1"/>
  <c r="L81" i="3"/>
  <c r="M81" i="3" s="1"/>
  <c r="N81" i="3" s="1"/>
  <c r="L82" i="3"/>
  <c r="M82" i="3" s="1"/>
  <c r="N82" i="3" s="1"/>
  <c r="L83" i="3"/>
  <c r="M83" i="3" s="1"/>
  <c r="N83" i="3" s="1"/>
  <c r="L84" i="3"/>
  <c r="M84" i="3" s="1"/>
  <c r="N84" i="3" s="1"/>
  <c r="L85" i="3"/>
  <c r="M85" i="3" s="1"/>
  <c r="N85" i="3" s="1"/>
  <c r="L86" i="3"/>
  <c r="M86" i="3" s="1"/>
  <c r="N86" i="3" s="1"/>
  <c r="L87" i="3"/>
  <c r="M87" i="3" s="1"/>
  <c r="N87" i="3" s="1"/>
  <c r="L88" i="3"/>
  <c r="M88" i="3" s="1"/>
  <c r="N88" i="3" s="1"/>
  <c r="L89" i="3"/>
  <c r="M89" i="3" s="1"/>
  <c r="N89" i="3" s="1"/>
  <c r="L90" i="3"/>
  <c r="M90" i="3" s="1"/>
  <c r="N90" i="3" s="1"/>
  <c r="L91" i="3"/>
  <c r="M91" i="3" s="1"/>
  <c r="N91" i="3" s="1"/>
  <c r="L92" i="3"/>
  <c r="M92" i="3" s="1"/>
  <c r="N92" i="3" s="1"/>
  <c r="L93" i="3"/>
  <c r="M93" i="3" s="1"/>
  <c r="N93" i="3" s="1"/>
  <c r="L94" i="3"/>
  <c r="M94" i="3" s="1"/>
  <c r="N94" i="3" s="1"/>
  <c r="L95" i="3"/>
  <c r="M95" i="3" s="1"/>
  <c r="N95" i="3" s="1"/>
  <c r="L96" i="3"/>
  <c r="M96" i="3" s="1"/>
  <c r="N96" i="3" s="1"/>
  <c r="L97" i="3"/>
  <c r="M97" i="3" s="1"/>
  <c r="N97" i="3" s="1"/>
  <c r="L98" i="3"/>
  <c r="M98" i="3" s="1"/>
  <c r="N98" i="3" s="1"/>
  <c r="L99" i="3"/>
  <c r="M99" i="3" s="1"/>
  <c r="N99" i="3" s="1"/>
  <c r="L100" i="3"/>
  <c r="M100" i="3" s="1"/>
  <c r="N100" i="3" s="1"/>
  <c r="L101" i="3"/>
  <c r="M101" i="3" s="1"/>
  <c r="N101" i="3" s="1"/>
  <c r="L102" i="3"/>
  <c r="M102" i="3" s="1"/>
  <c r="N102" i="3" s="1"/>
  <c r="L103" i="3"/>
  <c r="M103" i="3" s="1"/>
  <c r="N103" i="3" s="1"/>
  <c r="L104" i="3"/>
  <c r="M104" i="3" s="1"/>
  <c r="N104" i="3" s="1"/>
  <c r="L105" i="3"/>
  <c r="M105" i="3" s="1"/>
  <c r="N105" i="3" s="1"/>
  <c r="L106" i="3"/>
  <c r="M106" i="3" s="1"/>
  <c r="N106" i="3" s="1"/>
  <c r="L107" i="3"/>
  <c r="M107" i="3" s="1"/>
  <c r="N107" i="3" s="1"/>
  <c r="L108" i="3"/>
  <c r="M108" i="3" s="1"/>
  <c r="N108" i="3" s="1"/>
  <c r="L109" i="3"/>
  <c r="M109" i="3" s="1"/>
  <c r="N109" i="3" s="1"/>
  <c r="L110" i="3"/>
  <c r="M110" i="3" s="1"/>
  <c r="N110" i="3" s="1"/>
  <c r="L111" i="3"/>
  <c r="M111" i="3" s="1"/>
  <c r="N111" i="3" s="1"/>
  <c r="L112" i="3"/>
  <c r="M112" i="3" s="1"/>
  <c r="N112" i="3" s="1"/>
  <c r="L113" i="3"/>
  <c r="M113" i="3" s="1"/>
  <c r="N113" i="3" s="1"/>
  <c r="L114" i="3"/>
  <c r="M114" i="3" s="1"/>
  <c r="N114" i="3" s="1"/>
  <c r="L115" i="3"/>
  <c r="M115" i="3" s="1"/>
  <c r="N115" i="3" s="1"/>
  <c r="L116" i="3"/>
  <c r="M116" i="3" s="1"/>
  <c r="N116" i="3" s="1"/>
  <c r="L117" i="3"/>
  <c r="M117" i="3" s="1"/>
  <c r="N117" i="3" s="1"/>
  <c r="L118" i="3"/>
  <c r="M118" i="3" s="1"/>
  <c r="N118" i="3" s="1"/>
  <c r="L119" i="3"/>
  <c r="M119" i="3" s="1"/>
  <c r="N119" i="3" s="1"/>
  <c r="L120" i="3"/>
  <c r="M120" i="3" s="1"/>
  <c r="N120" i="3" s="1"/>
  <c r="L121" i="3"/>
  <c r="M121" i="3" s="1"/>
  <c r="N121" i="3" s="1"/>
  <c r="L122" i="3"/>
  <c r="M122" i="3" s="1"/>
  <c r="N122" i="3" s="1"/>
  <c r="L123" i="3"/>
  <c r="M123" i="3" s="1"/>
  <c r="N123" i="3" s="1"/>
  <c r="L124" i="3"/>
  <c r="M124" i="3" s="1"/>
  <c r="N124" i="3" s="1"/>
  <c r="L125" i="3"/>
  <c r="M125" i="3" s="1"/>
  <c r="N125" i="3" s="1"/>
  <c r="L126" i="3"/>
  <c r="M126" i="3" s="1"/>
  <c r="N126" i="3" s="1"/>
  <c r="L127" i="3"/>
  <c r="M127" i="3" s="1"/>
  <c r="N127" i="3" s="1"/>
  <c r="L128" i="3"/>
  <c r="M128" i="3" s="1"/>
  <c r="N128" i="3" s="1"/>
  <c r="L129" i="3"/>
  <c r="M129" i="3" s="1"/>
  <c r="N129" i="3" s="1"/>
  <c r="L130" i="3"/>
  <c r="M130" i="3" s="1"/>
  <c r="N130" i="3" s="1"/>
  <c r="L131" i="3"/>
  <c r="M131" i="3" s="1"/>
  <c r="N131" i="3" s="1"/>
  <c r="L132" i="3"/>
  <c r="M132" i="3" s="1"/>
  <c r="N132" i="3" s="1"/>
  <c r="L133" i="3"/>
  <c r="M133" i="3" s="1"/>
  <c r="N133" i="3" s="1"/>
  <c r="L134" i="3"/>
  <c r="M134" i="3" s="1"/>
  <c r="N134" i="3" s="1"/>
  <c r="L135" i="3"/>
  <c r="M135" i="3" s="1"/>
  <c r="N135" i="3" s="1"/>
  <c r="L136" i="3"/>
  <c r="M136" i="3" s="1"/>
  <c r="N136" i="3" s="1"/>
  <c r="L137" i="3"/>
  <c r="M137" i="3" s="1"/>
  <c r="N137" i="3" s="1"/>
  <c r="L138" i="3"/>
  <c r="M138" i="3" s="1"/>
  <c r="N138" i="3" s="1"/>
  <c r="L139" i="3"/>
  <c r="M139" i="3" s="1"/>
  <c r="N139" i="3" s="1"/>
  <c r="L140" i="3"/>
  <c r="M140" i="3" s="1"/>
  <c r="N140" i="3" s="1"/>
  <c r="L141" i="3"/>
  <c r="M141" i="3" s="1"/>
  <c r="N141" i="3" s="1"/>
  <c r="L142" i="3"/>
  <c r="M142" i="3" s="1"/>
  <c r="N142" i="3" s="1"/>
  <c r="L143" i="3"/>
  <c r="M143" i="3" s="1"/>
  <c r="N143" i="3" s="1"/>
  <c r="L144" i="3"/>
  <c r="M144" i="3" s="1"/>
  <c r="N144" i="3" s="1"/>
  <c r="L145" i="3"/>
  <c r="M145" i="3" s="1"/>
  <c r="N145" i="3" s="1"/>
  <c r="L146" i="3"/>
  <c r="M146" i="3" s="1"/>
  <c r="N146" i="3" s="1"/>
  <c r="L147" i="3"/>
  <c r="M147" i="3" s="1"/>
  <c r="N147" i="3" s="1"/>
  <c r="L148" i="3"/>
  <c r="M148" i="3" s="1"/>
  <c r="N148" i="3" s="1"/>
  <c r="L149" i="3"/>
  <c r="M149" i="3" s="1"/>
  <c r="N149" i="3" s="1"/>
  <c r="L150" i="3"/>
  <c r="M150" i="3" s="1"/>
  <c r="N150" i="3" s="1"/>
  <c r="L151" i="3"/>
  <c r="M151" i="3" s="1"/>
  <c r="N151" i="3" s="1"/>
  <c r="L152" i="3"/>
  <c r="M152" i="3" s="1"/>
  <c r="N152" i="3" s="1"/>
  <c r="L153" i="3"/>
  <c r="M153" i="3" s="1"/>
  <c r="N153" i="3" s="1"/>
  <c r="L154" i="3"/>
  <c r="M154" i="3" s="1"/>
  <c r="N154" i="3" s="1"/>
  <c r="L155" i="3"/>
  <c r="M155" i="3" s="1"/>
  <c r="N155" i="3" s="1"/>
  <c r="L156" i="3"/>
  <c r="M156" i="3" s="1"/>
  <c r="N156" i="3" s="1"/>
  <c r="L157" i="3"/>
  <c r="M157" i="3" s="1"/>
  <c r="N157" i="3" s="1"/>
  <c r="L158" i="3"/>
  <c r="M158" i="3" s="1"/>
  <c r="N158" i="3" s="1"/>
  <c r="L159" i="3"/>
  <c r="M159" i="3" s="1"/>
  <c r="N159" i="3" s="1"/>
  <c r="L160" i="3"/>
  <c r="M160" i="3" s="1"/>
  <c r="N160" i="3" s="1"/>
  <c r="L161" i="3"/>
  <c r="M161" i="3" s="1"/>
  <c r="N161" i="3" s="1"/>
  <c r="L162" i="3"/>
  <c r="M162" i="3" s="1"/>
  <c r="N162" i="3" s="1"/>
  <c r="L163" i="3"/>
  <c r="M163" i="3" s="1"/>
  <c r="N163" i="3" s="1"/>
  <c r="L164" i="3"/>
  <c r="M164" i="3" s="1"/>
  <c r="N164" i="3" s="1"/>
  <c r="L165" i="3"/>
  <c r="M165" i="3" s="1"/>
  <c r="N165" i="3" s="1"/>
  <c r="L166" i="3"/>
  <c r="M166" i="3" s="1"/>
  <c r="N166" i="3" s="1"/>
  <c r="L167" i="3"/>
  <c r="M167" i="3" s="1"/>
  <c r="N167" i="3" s="1"/>
  <c r="L168" i="3"/>
  <c r="M168" i="3" s="1"/>
  <c r="N168" i="3" s="1"/>
  <c r="L169" i="3"/>
  <c r="M169" i="3" s="1"/>
  <c r="N169" i="3" s="1"/>
  <c r="L170" i="3"/>
  <c r="M170" i="3" s="1"/>
  <c r="N170" i="3" s="1"/>
  <c r="L171" i="3"/>
  <c r="M171" i="3" s="1"/>
  <c r="N171" i="3" s="1"/>
  <c r="L172" i="3"/>
  <c r="M172" i="3" s="1"/>
  <c r="N172" i="3" s="1"/>
  <c r="L173" i="3"/>
  <c r="M173" i="3" s="1"/>
  <c r="N173" i="3" s="1"/>
  <c r="L174" i="3"/>
  <c r="M174" i="3" s="1"/>
  <c r="N174" i="3" s="1"/>
  <c r="L175" i="3"/>
  <c r="M175" i="3" s="1"/>
  <c r="N175" i="3" s="1"/>
  <c r="L176" i="3"/>
  <c r="M176" i="3" s="1"/>
  <c r="N176" i="3" s="1"/>
  <c r="L177" i="3"/>
  <c r="M177" i="3" s="1"/>
  <c r="N177" i="3" s="1"/>
  <c r="L178" i="3"/>
  <c r="M178" i="3" s="1"/>
  <c r="N178" i="3" s="1"/>
  <c r="L179" i="3"/>
  <c r="M179" i="3" s="1"/>
  <c r="N179" i="3" s="1"/>
  <c r="L180" i="3"/>
  <c r="M180" i="3" s="1"/>
  <c r="N180" i="3" s="1"/>
  <c r="L181" i="3"/>
  <c r="M181" i="3" s="1"/>
  <c r="N181" i="3" s="1"/>
  <c r="L182" i="3"/>
  <c r="M182" i="3" s="1"/>
  <c r="N182" i="3" s="1"/>
  <c r="L183" i="3"/>
  <c r="M183" i="3" s="1"/>
  <c r="N183" i="3" s="1"/>
  <c r="L184" i="3"/>
  <c r="M184" i="3" s="1"/>
  <c r="N184" i="3" s="1"/>
  <c r="L185" i="3"/>
  <c r="M185" i="3" s="1"/>
  <c r="N185" i="3" s="1"/>
  <c r="L186" i="3"/>
  <c r="M186" i="3" s="1"/>
  <c r="N186" i="3" s="1"/>
  <c r="L187" i="3"/>
  <c r="M187" i="3" s="1"/>
  <c r="N187" i="3" s="1"/>
  <c r="L188" i="3"/>
  <c r="M188" i="3" s="1"/>
  <c r="N188" i="3" s="1"/>
  <c r="L189" i="3"/>
  <c r="M189" i="3" s="1"/>
  <c r="N189" i="3" s="1"/>
  <c r="L190" i="3"/>
  <c r="M190" i="3" s="1"/>
  <c r="N190" i="3" s="1"/>
  <c r="L191" i="3"/>
  <c r="M191" i="3" s="1"/>
  <c r="N191" i="3" s="1"/>
  <c r="L192" i="3"/>
  <c r="M192" i="3" s="1"/>
  <c r="N192" i="3" s="1"/>
  <c r="L193" i="3"/>
  <c r="M193" i="3" s="1"/>
  <c r="N193" i="3" s="1"/>
  <c r="L194" i="3"/>
  <c r="M194" i="3" s="1"/>
  <c r="N194" i="3" s="1"/>
  <c r="L195" i="3"/>
  <c r="M195" i="3" s="1"/>
  <c r="N195" i="3" s="1"/>
  <c r="L196" i="3"/>
  <c r="M196" i="3" s="1"/>
  <c r="N196" i="3" s="1"/>
  <c r="L197" i="3"/>
  <c r="M197" i="3" s="1"/>
  <c r="N197" i="3" s="1"/>
  <c r="L198" i="3"/>
  <c r="M198" i="3" s="1"/>
  <c r="N198" i="3" s="1"/>
  <c r="L199" i="3"/>
  <c r="M199" i="3" s="1"/>
  <c r="N199" i="3" s="1"/>
  <c r="L200" i="3"/>
  <c r="M200" i="3" s="1"/>
  <c r="N200" i="3" s="1"/>
  <c r="L201" i="3"/>
  <c r="M201" i="3" s="1"/>
  <c r="N201" i="3" s="1"/>
  <c r="L202" i="3"/>
  <c r="M202" i="3" s="1"/>
  <c r="N202" i="3" s="1"/>
  <c r="L203" i="3"/>
  <c r="M203" i="3" s="1"/>
  <c r="N203" i="3" s="1"/>
  <c r="L204" i="3"/>
  <c r="M204" i="3" s="1"/>
  <c r="N204" i="3" s="1"/>
  <c r="L205" i="3"/>
  <c r="M205" i="3" s="1"/>
  <c r="N205" i="3" s="1"/>
  <c r="L206" i="3"/>
  <c r="M206" i="3" s="1"/>
  <c r="N206" i="3" s="1"/>
  <c r="L207" i="3"/>
  <c r="M207" i="3" s="1"/>
  <c r="N207" i="3" s="1"/>
  <c r="L208" i="3"/>
  <c r="M208" i="3" s="1"/>
  <c r="N208" i="3" s="1"/>
  <c r="L209" i="3"/>
  <c r="M209" i="3" s="1"/>
  <c r="N209" i="3" s="1"/>
  <c r="L210" i="3"/>
  <c r="M210" i="3" s="1"/>
  <c r="N210" i="3" s="1"/>
  <c r="L211" i="3"/>
  <c r="M211" i="3" s="1"/>
  <c r="N211" i="3" s="1"/>
  <c r="L212" i="3"/>
  <c r="M212" i="3" s="1"/>
  <c r="N212" i="3" s="1"/>
  <c r="L213" i="3"/>
  <c r="M213" i="3" s="1"/>
  <c r="N213" i="3" s="1"/>
  <c r="L214" i="3"/>
  <c r="M214" i="3" s="1"/>
  <c r="N214" i="3" s="1"/>
  <c r="L215" i="3"/>
  <c r="M215" i="3" s="1"/>
  <c r="N215" i="3" s="1"/>
  <c r="L216" i="3"/>
  <c r="M216" i="3" s="1"/>
  <c r="N216" i="3" s="1"/>
  <c r="L217" i="3"/>
  <c r="M217" i="3" s="1"/>
  <c r="N217" i="3" s="1"/>
  <c r="L218" i="3"/>
  <c r="M218" i="3" s="1"/>
  <c r="N218" i="3" s="1"/>
  <c r="L219" i="3"/>
  <c r="M219" i="3" s="1"/>
  <c r="N219" i="3" s="1"/>
  <c r="L220" i="3"/>
  <c r="M220" i="3" s="1"/>
  <c r="N220" i="3" s="1"/>
  <c r="L221" i="3"/>
  <c r="M221" i="3" s="1"/>
  <c r="N221" i="3" s="1"/>
  <c r="L222" i="3"/>
  <c r="M222" i="3" s="1"/>
  <c r="N222" i="3" s="1"/>
  <c r="L223" i="3"/>
  <c r="M223" i="3" s="1"/>
  <c r="N223" i="3" s="1"/>
  <c r="L224" i="3"/>
  <c r="M224" i="3" s="1"/>
  <c r="N224" i="3" s="1"/>
  <c r="L225" i="3"/>
  <c r="M225" i="3" s="1"/>
  <c r="N225" i="3" s="1"/>
  <c r="L226" i="3"/>
  <c r="M226" i="3" s="1"/>
  <c r="N226" i="3" s="1"/>
  <c r="L227" i="3"/>
  <c r="M227" i="3" s="1"/>
  <c r="N227" i="3" s="1"/>
  <c r="L228" i="3"/>
  <c r="M228" i="3" s="1"/>
  <c r="N228" i="3" s="1"/>
  <c r="L229" i="3"/>
  <c r="M229" i="3" s="1"/>
  <c r="N229" i="3" s="1"/>
  <c r="L230" i="3"/>
  <c r="M230" i="3" s="1"/>
  <c r="N230" i="3" s="1"/>
  <c r="L231" i="3"/>
  <c r="M231" i="3" s="1"/>
  <c r="N231" i="3" s="1"/>
  <c r="L232" i="3"/>
  <c r="M232" i="3" s="1"/>
  <c r="N232" i="3" s="1"/>
  <c r="L233" i="3"/>
  <c r="M233" i="3" s="1"/>
  <c r="N233" i="3" s="1"/>
  <c r="L234" i="3"/>
  <c r="M234" i="3" s="1"/>
  <c r="N234" i="3" s="1"/>
  <c r="L235" i="3"/>
  <c r="M235" i="3" s="1"/>
  <c r="N235" i="3" s="1"/>
  <c r="L236" i="3"/>
  <c r="M236" i="3" s="1"/>
  <c r="N236" i="3" s="1"/>
  <c r="L237" i="3"/>
  <c r="M237" i="3" s="1"/>
  <c r="N237" i="3" s="1"/>
  <c r="L238" i="3"/>
  <c r="M238" i="3" s="1"/>
  <c r="N238" i="3" s="1"/>
  <c r="L239" i="3"/>
  <c r="M239" i="3" s="1"/>
  <c r="N239" i="3" s="1"/>
  <c r="L240" i="3"/>
  <c r="M240" i="3" s="1"/>
  <c r="N240" i="3" s="1"/>
  <c r="L241" i="3"/>
  <c r="M241" i="3" s="1"/>
  <c r="N241" i="3" s="1"/>
  <c r="L242" i="3"/>
  <c r="M242" i="3" s="1"/>
  <c r="N242" i="3" s="1"/>
  <c r="L243" i="3"/>
  <c r="M243" i="3" s="1"/>
  <c r="N243" i="3" s="1"/>
  <c r="L244" i="3"/>
  <c r="M244" i="3" s="1"/>
  <c r="N244" i="3" s="1"/>
  <c r="L245" i="3"/>
  <c r="M245" i="3" s="1"/>
  <c r="N245" i="3" s="1"/>
  <c r="L246" i="3"/>
  <c r="M246" i="3" s="1"/>
  <c r="N246" i="3" s="1"/>
  <c r="L247" i="3"/>
  <c r="M247" i="3" s="1"/>
  <c r="N247" i="3" s="1"/>
  <c r="L248" i="3"/>
  <c r="M248" i="3" s="1"/>
  <c r="N248" i="3" s="1"/>
  <c r="L249" i="3"/>
  <c r="M249" i="3" s="1"/>
  <c r="N249" i="3" s="1"/>
  <c r="L250" i="3"/>
  <c r="M250" i="3" s="1"/>
  <c r="N250" i="3" s="1"/>
  <c r="L251" i="3"/>
  <c r="M251" i="3" s="1"/>
  <c r="N251" i="3" s="1"/>
  <c r="L252" i="3"/>
  <c r="M252" i="3" s="1"/>
  <c r="N252" i="3" s="1"/>
  <c r="L253" i="3"/>
  <c r="M253" i="3" s="1"/>
  <c r="N253" i="3" s="1"/>
  <c r="L254" i="3"/>
  <c r="M254" i="3" s="1"/>
  <c r="N254" i="3" s="1"/>
  <c r="L255" i="3"/>
  <c r="M255" i="3" s="1"/>
  <c r="N255" i="3" s="1"/>
  <c r="L256" i="3"/>
  <c r="M256" i="3" s="1"/>
  <c r="N256" i="3" s="1"/>
  <c r="L257" i="3"/>
  <c r="L258" i="3"/>
  <c r="M258" i="3" s="1"/>
  <c r="N258" i="3" s="1"/>
  <c r="L259" i="3"/>
  <c r="M259" i="3" s="1"/>
  <c r="N259" i="3" s="1"/>
  <c r="L260" i="3"/>
  <c r="M260" i="3" s="1"/>
  <c r="N260" i="3" s="1"/>
  <c r="L261" i="3"/>
  <c r="M261" i="3" s="1"/>
  <c r="N261" i="3" s="1"/>
  <c r="L262" i="3"/>
  <c r="M262" i="3" s="1"/>
  <c r="N262" i="3" s="1"/>
  <c r="L263" i="3"/>
  <c r="M263" i="3" s="1"/>
  <c r="N263" i="3" s="1"/>
  <c r="L264" i="3"/>
  <c r="M264" i="3" s="1"/>
  <c r="N264" i="3" s="1"/>
  <c r="L265" i="3"/>
  <c r="M265" i="3" s="1"/>
  <c r="N265" i="3" s="1"/>
  <c r="L266" i="3"/>
  <c r="M266" i="3" s="1"/>
  <c r="N266" i="3" s="1"/>
  <c r="L267" i="3"/>
  <c r="M267" i="3" s="1"/>
  <c r="N267" i="3" s="1"/>
  <c r="L268" i="3"/>
  <c r="M268" i="3" s="1"/>
  <c r="N268" i="3" s="1"/>
  <c r="L269" i="3"/>
  <c r="M269" i="3" s="1"/>
  <c r="N269" i="3" s="1"/>
  <c r="L270" i="3"/>
  <c r="L271" i="3"/>
  <c r="M271" i="3" s="1"/>
  <c r="N271" i="3" s="1"/>
  <c r="L272" i="3"/>
  <c r="M272" i="3" s="1"/>
  <c r="N272" i="3" s="1"/>
  <c r="L273" i="3"/>
  <c r="M273" i="3" s="1"/>
  <c r="N273" i="3" s="1"/>
  <c r="L274" i="3"/>
  <c r="M274" i="3" s="1"/>
  <c r="N274" i="3" s="1"/>
  <c r="L275" i="3"/>
  <c r="M275" i="3" s="1"/>
  <c r="N275" i="3" s="1"/>
  <c r="L276" i="3"/>
  <c r="M276" i="3" s="1"/>
  <c r="N276" i="3" s="1"/>
  <c r="L277" i="3"/>
  <c r="M277" i="3" s="1"/>
  <c r="N277" i="3" s="1"/>
  <c r="L278" i="3"/>
  <c r="M278" i="3" s="1"/>
  <c r="N278" i="3" s="1"/>
  <c r="L279" i="3"/>
  <c r="M279" i="3" s="1"/>
  <c r="N279" i="3" s="1"/>
  <c r="L280" i="3"/>
  <c r="M280" i="3" s="1"/>
  <c r="N280" i="3" s="1"/>
  <c r="L281" i="3"/>
  <c r="M281" i="3" s="1"/>
  <c r="N281" i="3" s="1"/>
  <c r="L282" i="3"/>
  <c r="M282" i="3" s="1"/>
  <c r="N282" i="3" s="1"/>
  <c r="L283" i="3"/>
  <c r="L284" i="3"/>
  <c r="M284" i="3" s="1"/>
  <c r="N284" i="3" s="1"/>
  <c r="L285" i="3"/>
  <c r="M285" i="3" s="1"/>
  <c r="N285" i="3" s="1"/>
  <c r="L286" i="3"/>
  <c r="M286" i="3" s="1"/>
  <c r="N286" i="3" s="1"/>
  <c r="L287" i="3"/>
  <c r="M287" i="3" s="1"/>
  <c r="N287" i="3" s="1"/>
  <c r="L288" i="3"/>
  <c r="M288" i="3" s="1"/>
  <c r="N288" i="3" s="1"/>
  <c r="L289" i="3"/>
  <c r="M289" i="3" s="1"/>
  <c r="N289" i="3" s="1"/>
  <c r="L290" i="3"/>
  <c r="M290" i="3" s="1"/>
  <c r="N290" i="3" s="1"/>
  <c r="L291" i="3"/>
  <c r="M291" i="3" s="1"/>
  <c r="N291" i="3" s="1"/>
  <c r="L292" i="3"/>
  <c r="M292" i="3" s="1"/>
  <c r="N292" i="3" s="1"/>
  <c r="L293" i="3"/>
  <c r="M293" i="3" s="1"/>
  <c r="N293" i="3" s="1"/>
  <c r="L294" i="3"/>
  <c r="M294" i="3" s="1"/>
  <c r="N294" i="3" s="1"/>
  <c r="L295" i="3"/>
  <c r="M295" i="3" s="1"/>
  <c r="N295" i="3" s="1"/>
  <c r="L296" i="3"/>
  <c r="M296" i="3" s="1"/>
  <c r="N296" i="3" s="1"/>
  <c r="L297" i="3"/>
  <c r="M297" i="3" s="1"/>
  <c r="N297" i="3" s="1"/>
  <c r="L298" i="3"/>
  <c r="M298" i="3" s="1"/>
  <c r="N298" i="3" s="1"/>
  <c r="L299" i="3"/>
  <c r="M299" i="3" s="1"/>
  <c r="N299" i="3" s="1"/>
  <c r="L300" i="3"/>
  <c r="M300" i="3" s="1"/>
  <c r="N300" i="3" s="1"/>
  <c r="L301" i="3"/>
  <c r="M301" i="3" s="1"/>
  <c r="N301" i="3" s="1"/>
  <c r="L302" i="3"/>
  <c r="M302" i="3" s="1"/>
  <c r="N302" i="3" s="1"/>
  <c r="L303" i="3"/>
  <c r="M303" i="3" s="1"/>
  <c r="N303" i="3" s="1"/>
  <c r="L304" i="3"/>
  <c r="M304" i="3" s="1"/>
  <c r="N304" i="3" s="1"/>
  <c r="L305" i="3"/>
  <c r="M305" i="3" s="1"/>
  <c r="N305" i="3" s="1"/>
  <c r="L306" i="3"/>
  <c r="M306" i="3" s="1"/>
  <c r="N306" i="3" s="1"/>
  <c r="L307" i="3"/>
  <c r="M307" i="3" s="1"/>
  <c r="N307" i="3" s="1"/>
  <c r="L308" i="3"/>
  <c r="M308" i="3" s="1"/>
  <c r="N308" i="3" s="1"/>
  <c r="L309" i="3"/>
  <c r="M309" i="3" s="1"/>
  <c r="N309" i="3" s="1"/>
  <c r="L310" i="3"/>
  <c r="M310" i="3" s="1"/>
  <c r="N310" i="3" s="1"/>
  <c r="L311" i="3"/>
  <c r="M311" i="3" s="1"/>
  <c r="N311" i="3" s="1"/>
  <c r="L312" i="3"/>
  <c r="M312" i="3" s="1"/>
  <c r="N312" i="3" s="1"/>
  <c r="L313" i="3"/>
  <c r="M313" i="3" s="1"/>
  <c r="N313" i="3" s="1"/>
  <c r="L314" i="3"/>
  <c r="M314" i="3" s="1"/>
  <c r="N314" i="3" s="1"/>
  <c r="L315" i="3"/>
  <c r="M315" i="3" s="1"/>
  <c r="N315" i="3" s="1"/>
  <c r="L316" i="3"/>
  <c r="M316" i="3" s="1"/>
  <c r="N316" i="3" s="1"/>
  <c r="L317" i="3"/>
  <c r="M317" i="3" s="1"/>
  <c r="N317" i="3" s="1"/>
  <c r="L318" i="3"/>
  <c r="M318" i="3" s="1"/>
  <c r="N318" i="3" s="1"/>
  <c r="L319" i="3"/>
  <c r="M319" i="3" s="1"/>
  <c r="N319" i="3" s="1"/>
  <c r="L320" i="3"/>
  <c r="M320" i="3" s="1"/>
  <c r="N320" i="3" s="1"/>
  <c r="L321" i="3"/>
  <c r="M321" i="3" s="1"/>
  <c r="N321" i="3" s="1"/>
  <c r="L322" i="3"/>
  <c r="M322" i="3" s="1"/>
  <c r="N322" i="3" s="1"/>
  <c r="L323" i="3"/>
  <c r="M323" i="3" s="1"/>
  <c r="N323" i="3" s="1"/>
  <c r="L324" i="3"/>
  <c r="M324" i="3" s="1"/>
  <c r="N324" i="3" s="1"/>
  <c r="L325" i="3"/>
  <c r="M325" i="3" s="1"/>
  <c r="N325" i="3" s="1"/>
  <c r="L326" i="3"/>
  <c r="M326" i="3" s="1"/>
  <c r="N326" i="3" s="1"/>
  <c r="L327" i="3"/>
  <c r="M327" i="3" s="1"/>
  <c r="N327" i="3" s="1"/>
  <c r="L328" i="3"/>
  <c r="M328" i="3" s="1"/>
  <c r="N328" i="3" s="1"/>
  <c r="L329" i="3"/>
  <c r="M329" i="3" s="1"/>
  <c r="N329" i="3" s="1"/>
  <c r="L330" i="3"/>
  <c r="M330" i="3" s="1"/>
  <c r="N330" i="3" s="1"/>
  <c r="L331" i="3"/>
  <c r="M331" i="3" s="1"/>
  <c r="N331" i="3" s="1"/>
  <c r="L332" i="3"/>
  <c r="M332" i="3" s="1"/>
  <c r="N332" i="3" s="1"/>
  <c r="L333" i="3"/>
  <c r="M333" i="3" s="1"/>
  <c r="N333" i="3" s="1"/>
  <c r="L334" i="3"/>
  <c r="M334" i="3" s="1"/>
  <c r="N334" i="3" s="1"/>
  <c r="L335" i="3"/>
  <c r="M335" i="3" s="1"/>
  <c r="N335" i="3" s="1"/>
  <c r="L336" i="3"/>
  <c r="M336" i="3" s="1"/>
  <c r="N336" i="3" s="1"/>
  <c r="L337" i="3"/>
  <c r="M337" i="3" s="1"/>
  <c r="N337" i="3" s="1"/>
  <c r="L338" i="3"/>
  <c r="M338" i="3" s="1"/>
  <c r="N338" i="3" s="1"/>
  <c r="L339" i="3"/>
  <c r="M339" i="3" s="1"/>
  <c r="N339" i="3" s="1"/>
  <c r="L340" i="3"/>
  <c r="M340" i="3" s="1"/>
  <c r="N340" i="3" s="1"/>
  <c r="L341" i="3"/>
  <c r="M341" i="3" s="1"/>
  <c r="N341" i="3" s="1"/>
  <c r="L342" i="3"/>
  <c r="M342" i="3" s="1"/>
  <c r="N342" i="3" s="1"/>
  <c r="L343" i="3"/>
  <c r="M343" i="3" s="1"/>
  <c r="N343" i="3" s="1"/>
  <c r="L344" i="3"/>
  <c r="M344" i="3" s="1"/>
  <c r="N344" i="3" s="1"/>
  <c r="L345" i="3"/>
  <c r="M345" i="3" s="1"/>
  <c r="N345" i="3" s="1"/>
  <c r="L346" i="3"/>
  <c r="M346" i="3" s="1"/>
  <c r="N346" i="3" s="1"/>
  <c r="L347" i="3"/>
  <c r="M347" i="3" s="1"/>
  <c r="N347" i="3" s="1"/>
  <c r="L348" i="3"/>
  <c r="M348" i="3" s="1"/>
  <c r="N348" i="3" s="1"/>
  <c r="L349" i="3"/>
  <c r="M349" i="3" s="1"/>
  <c r="N349" i="3" s="1"/>
  <c r="L350" i="3"/>
  <c r="M350" i="3" s="1"/>
  <c r="N350" i="3" s="1"/>
  <c r="L351" i="3"/>
  <c r="M351" i="3" s="1"/>
  <c r="N351" i="3" s="1"/>
  <c r="L352" i="3"/>
  <c r="M352" i="3" s="1"/>
  <c r="N352" i="3" s="1"/>
  <c r="L353" i="3"/>
  <c r="M353" i="3" s="1"/>
  <c r="N353" i="3" s="1"/>
  <c r="L354" i="3"/>
  <c r="M354" i="3" s="1"/>
  <c r="N354" i="3" s="1"/>
  <c r="L355" i="3"/>
  <c r="M355" i="3" s="1"/>
  <c r="N355" i="3" s="1"/>
  <c r="L356" i="3"/>
  <c r="M356" i="3" s="1"/>
  <c r="N356" i="3" s="1"/>
  <c r="L357" i="3"/>
  <c r="M357" i="3" s="1"/>
  <c r="N357" i="3" s="1"/>
  <c r="L358" i="3"/>
  <c r="M358" i="3" s="1"/>
  <c r="N358" i="3" s="1"/>
  <c r="L359" i="3"/>
  <c r="M359" i="3" s="1"/>
  <c r="N359" i="3" s="1"/>
  <c r="L360" i="3"/>
  <c r="M360" i="3" s="1"/>
  <c r="N360" i="3" s="1"/>
  <c r="L361" i="3"/>
  <c r="M361" i="3" s="1"/>
  <c r="N361" i="3" s="1"/>
  <c r="L362" i="3"/>
  <c r="M362" i="3" s="1"/>
  <c r="N362" i="3" s="1"/>
  <c r="L363" i="3"/>
  <c r="M363" i="3" s="1"/>
  <c r="N363" i="3" s="1"/>
  <c r="L364" i="3"/>
  <c r="M364" i="3" s="1"/>
  <c r="N364" i="3" s="1"/>
  <c r="L365" i="3"/>
  <c r="M365" i="3" s="1"/>
  <c r="N365" i="3" s="1"/>
  <c r="L366" i="3"/>
  <c r="M366" i="3" s="1"/>
  <c r="N366" i="3" s="1"/>
  <c r="L367" i="3"/>
  <c r="M367" i="3" s="1"/>
  <c r="N367" i="3" s="1"/>
  <c r="L368" i="3"/>
  <c r="M368" i="3" s="1"/>
  <c r="N368" i="3" s="1"/>
  <c r="L369" i="3"/>
  <c r="M369" i="3" s="1"/>
  <c r="N369" i="3" s="1"/>
  <c r="L370" i="3"/>
  <c r="M370" i="3" s="1"/>
  <c r="N370" i="3" s="1"/>
  <c r="L371" i="3"/>
  <c r="M371" i="3" s="1"/>
  <c r="N371" i="3" s="1"/>
  <c r="L372" i="3"/>
  <c r="M372" i="3" s="1"/>
  <c r="N372" i="3" s="1"/>
  <c r="L373" i="3"/>
  <c r="M373" i="3" s="1"/>
  <c r="N373" i="3" s="1"/>
  <c r="L374" i="3"/>
  <c r="M374" i="3" s="1"/>
  <c r="N374" i="3" s="1"/>
  <c r="L375" i="3"/>
  <c r="M375" i="3" s="1"/>
  <c r="N375" i="3" s="1"/>
  <c r="L376" i="3"/>
  <c r="M376" i="3" s="1"/>
  <c r="N376" i="3" s="1"/>
  <c r="L377" i="3"/>
  <c r="M377" i="3" s="1"/>
  <c r="N377" i="3" s="1"/>
  <c r="L378" i="3"/>
  <c r="M378" i="3" s="1"/>
  <c r="N378" i="3" s="1"/>
  <c r="L379" i="3"/>
  <c r="M379" i="3" s="1"/>
  <c r="N379" i="3" s="1"/>
  <c r="L380" i="3"/>
  <c r="M380" i="3" s="1"/>
  <c r="N380" i="3" s="1"/>
  <c r="L381" i="3"/>
  <c r="M381" i="3" s="1"/>
  <c r="N381" i="3" s="1"/>
  <c r="L382" i="3"/>
  <c r="M382" i="3" s="1"/>
  <c r="N382" i="3" s="1"/>
  <c r="L383" i="3"/>
  <c r="M383" i="3" s="1"/>
  <c r="N383" i="3" s="1"/>
  <c r="L384" i="3"/>
  <c r="M384" i="3" s="1"/>
  <c r="N384" i="3" s="1"/>
  <c r="L385" i="3"/>
  <c r="M385" i="3" s="1"/>
  <c r="N385" i="3" s="1"/>
  <c r="L386" i="3"/>
  <c r="M386" i="3" s="1"/>
  <c r="N386" i="3" s="1"/>
  <c r="L387" i="3"/>
  <c r="M387" i="3" s="1"/>
  <c r="N387" i="3" s="1"/>
  <c r="L388" i="3"/>
  <c r="M388" i="3" s="1"/>
  <c r="N388" i="3" s="1"/>
  <c r="L389" i="3"/>
  <c r="M389" i="3" s="1"/>
  <c r="N389" i="3" s="1"/>
  <c r="L390" i="3"/>
  <c r="M390" i="3" s="1"/>
  <c r="N390" i="3" s="1"/>
  <c r="L391" i="3"/>
  <c r="M391" i="3" s="1"/>
  <c r="N391" i="3" s="1"/>
  <c r="L392" i="3"/>
  <c r="M392" i="3" s="1"/>
  <c r="N392" i="3" s="1"/>
  <c r="L393" i="3"/>
  <c r="M393" i="3" s="1"/>
  <c r="N393" i="3" s="1"/>
  <c r="L394" i="3"/>
  <c r="M394" i="3" s="1"/>
  <c r="N394" i="3" s="1"/>
  <c r="L395" i="3"/>
  <c r="M395" i="3" s="1"/>
  <c r="N395" i="3" s="1"/>
  <c r="L396" i="3"/>
  <c r="M396" i="3" s="1"/>
  <c r="N396" i="3" s="1"/>
  <c r="L397" i="3"/>
  <c r="M397" i="3" s="1"/>
  <c r="N397" i="3" s="1"/>
  <c r="L398" i="3"/>
  <c r="M398" i="3" s="1"/>
  <c r="N398" i="3" s="1"/>
  <c r="L399" i="3"/>
  <c r="M399" i="3" s="1"/>
  <c r="N399" i="3" s="1"/>
  <c r="L400" i="3"/>
  <c r="M400" i="3" s="1"/>
  <c r="N400" i="3" s="1"/>
  <c r="L401" i="3"/>
  <c r="M401" i="3" s="1"/>
  <c r="N401" i="3" s="1"/>
  <c r="L402" i="3"/>
  <c r="M402" i="3" s="1"/>
  <c r="N402" i="3" s="1"/>
  <c r="L403" i="3"/>
  <c r="M403" i="3" s="1"/>
  <c r="N403" i="3" s="1"/>
  <c r="L404" i="3"/>
  <c r="M404" i="3" s="1"/>
  <c r="N404" i="3" s="1"/>
  <c r="L405" i="3"/>
  <c r="M405" i="3" s="1"/>
  <c r="N405" i="3" s="1"/>
  <c r="L406" i="3"/>
  <c r="M406" i="3" s="1"/>
  <c r="N406" i="3" s="1"/>
  <c r="L407" i="3"/>
  <c r="M407" i="3" s="1"/>
  <c r="N407" i="3" s="1"/>
  <c r="L408" i="3"/>
  <c r="M408" i="3" s="1"/>
  <c r="N408" i="3" s="1"/>
  <c r="L409" i="3"/>
  <c r="M409" i="3" s="1"/>
  <c r="N409" i="3" s="1"/>
  <c r="L410" i="3"/>
  <c r="M410" i="3" s="1"/>
  <c r="N410" i="3" s="1"/>
  <c r="L411" i="3"/>
  <c r="M411" i="3" s="1"/>
  <c r="N411" i="3" s="1"/>
  <c r="L412" i="3"/>
  <c r="M412" i="3" s="1"/>
  <c r="N412" i="3" s="1"/>
  <c r="L413" i="3"/>
  <c r="M413" i="3" s="1"/>
  <c r="N413" i="3" s="1"/>
  <c r="L414" i="3"/>
  <c r="M414" i="3" s="1"/>
  <c r="N414" i="3" s="1"/>
  <c r="L415" i="3"/>
  <c r="M415" i="3" s="1"/>
  <c r="N415" i="3" s="1"/>
  <c r="L416" i="3"/>
  <c r="M416" i="3" s="1"/>
  <c r="N416" i="3" s="1"/>
  <c r="L417" i="3"/>
  <c r="M417" i="3" s="1"/>
  <c r="N417" i="3" s="1"/>
  <c r="L418" i="3"/>
  <c r="M418" i="3" s="1"/>
  <c r="N418" i="3" s="1"/>
  <c r="L419" i="3"/>
  <c r="M419" i="3" s="1"/>
  <c r="N419" i="3" s="1"/>
  <c r="L420" i="3"/>
  <c r="M420" i="3" s="1"/>
  <c r="N420" i="3" s="1"/>
  <c r="L421" i="3"/>
  <c r="M421" i="3" s="1"/>
  <c r="N421" i="3" s="1"/>
  <c r="L422" i="3"/>
  <c r="M422" i="3" s="1"/>
  <c r="N422" i="3" s="1"/>
  <c r="L423" i="3"/>
  <c r="M423" i="3" s="1"/>
  <c r="N423" i="3" s="1"/>
  <c r="L424" i="3"/>
  <c r="M424" i="3" s="1"/>
  <c r="N424" i="3" s="1"/>
  <c r="L425" i="3"/>
  <c r="M425" i="3" s="1"/>
  <c r="N425" i="3" s="1"/>
  <c r="L426" i="3"/>
  <c r="M426" i="3" s="1"/>
  <c r="N426" i="3" s="1"/>
  <c r="L427" i="3"/>
  <c r="M427" i="3" s="1"/>
  <c r="N427" i="3" s="1"/>
  <c r="L428" i="3"/>
  <c r="M428" i="3" s="1"/>
  <c r="N428" i="3" s="1"/>
  <c r="L429" i="3"/>
  <c r="M429" i="3" s="1"/>
  <c r="N429" i="3" s="1"/>
  <c r="L430" i="3"/>
  <c r="M430" i="3" s="1"/>
  <c r="N430" i="3" s="1"/>
  <c r="L431" i="3"/>
  <c r="M431" i="3" s="1"/>
  <c r="N431" i="3" s="1"/>
  <c r="L432" i="3"/>
  <c r="M432" i="3" s="1"/>
  <c r="N432" i="3" s="1"/>
  <c r="L433" i="3"/>
  <c r="M433" i="3" s="1"/>
  <c r="N433" i="3" s="1"/>
  <c r="L434" i="3"/>
  <c r="M434" i="3" s="1"/>
  <c r="N434" i="3" s="1"/>
  <c r="L435" i="3"/>
  <c r="M435" i="3" s="1"/>
  <c r="N435" i="3" s="1"/>
  <c r="L436" i="3"/>
  <c r="M436" i="3" s="1"/>
  <c r="N436" i="3" s="1"/>
  <c r="L437" i="3"/>
  <c r="M437" i="3" s="1"/>
  <c r="N437" i="3" s="1"/>
  <c r="L438" i="3"/>
  <c r="M438" i="3" s="1"/>
  <c r="N438" i="3" s="1"/>
  <c r="L439" i="3"/>
  <c r="M439" i="3" s="1"/>
  <c r="N439" i="3" s="1"/>
  <c r="L440" i="3"/>
  <c r="M440" i="3" s="1"/>
  <c r="N440" i="3" s="1"/>
  <c r="L441" i="3"/>
  <c r="M441" i="3" s="1"/>
  <c r="N441" i="3" s="1"/>
  <c r="L442" i="3"/>
  <c r="M442" i="3" s="1"/>
  <c r="N442" i="3" s="1"/>
  <c r="L443" i="3"/>
  <c r="M443" i="3" s="1"/>
  <c r="N443" i="3" s="1"/>
  <c r="L444" i="3"/>
  <c r="M444" i="3" s="1"/>
  <c r="N444" i="3" s="1"/>
  <c r="L445" i="3"/>
  <c r="M445" i="3" s="1"/>
  <c r="N445" i="3" s="1"/>
  <c r="L446" i="3"/>
  <c r="M446" i="3" s="1"/>
  <c r="N446" i="3" s="1"/>
  <c r="L447" i="3"/>
  <c r="M447" i="3" s="1"/>
  <c r="N447" i="3" s="1"/>
  <c r="L448" i="3"/>
  <c r="M448" i="3" s="1"/>
  <c r="N448" i="3" s="1"/>
  <c r="L449" i="3"/>
  <c r="M449" i="3" s="1"/>
  <c r="N449" i="3" s="1"/>
  <c r="L450" i="3"/>
  <c r="M450" i="3" s="1"/>
  <c r="N450" i="3" s="1"/>
  <c r="L451" i="3"/>
  <c r="M451" i="3" s="1"/>
  <c r="N451" i="3" s="1"/>
  <c r="L452" i="3"/>
  <c r="M452" i="3" s="1"/>
  <c r="N452" i="3" s="1"/>
  <c r="L453" i="3"/>
  <c r="M453" i="3" s="1"/>
  <c r="N453" i="3" s="1"/>
  <c r="L454" i="3"/>
  <c r="M454" i="3" s="1"/>
  <c r="N454" i="3" s="1"/>
  <c r="L455" i="3"/>
  <c r="M455" i="3" s="1"/>
  <c r="N455" i="3" s="1"/>
  <c r="L456" i="3"/>
  <c r="M456" i="3" s="1"/>
  <c r="N456" i="3" s="1"/>
  <c r="L457" i="3"/>
  <c r="M457" i="3" s="1"/>
  <c r="N457" i="3" s="1"/>
  <c r="L458" i="3"/>
  <c r="M458" i="3" s="1"/>
  <c r="N458" i="3" s="1"/>
  <c r="L459" i="3"/>
  <c r="M459" i="3" s="1"/>
  <c r="N459" i="3" s="1"/>
  <c r="L460" i="3"/>
  <c r="M460" i="3" s="1"/>
  <c r="N460" i="3" s="1"/>
  <c r="L461" i="3"/>
  <c r="M461" i="3" s="1"/>
  <c r="N461" i="3" s="1"/>
  <c r="L462" i="3"/>
  <c r="M462" i="3" s="1"/>
  <c r="N462" i="3" s="1"/>
  <c r="L463" i="3"/>
  <c r="M463" i="3" s="1"/>
  <c r="N463" i="3" s="1"/>
  <c r="L464" i="3"/>
  <c r="M464" i="3" s="1"/>
  <c r="N464" i="3" s="1"/>
  <c r="L465" i="3"/>
  <c r="M465" i="3" s="1"/>
  <c r="N465" i="3" s="1"/>
  <c r="L466" i="3"/>
  <c r="M466" i="3" s="1"/>
  <c r="N466" i="3" s="1"/>
  <c r="L467" i="3"/>
  <c r="M467" i="3" s="1"/>
  <c r="N467" i="3" s="1"/>
  <c r="L468" i="3"/>
  <c r="M468" i="3" s="1"/>
  <c r="N468" i="3" s="1"/>
  <c r="L469" i="3"/>
  <c r="M469" i="3" s="1"/>
  <c r="N469" i="3" s="1"/>
  <c r="L470" i="3"/>
  <c r="M470" i="3" s="1"/>
  <c r="N470" i="3" s="1"/>
  <c r="L471" i="3"/>
  <c r="M471" i="3" s="1"/>
  <c r="N471" i="3" s="1"/>
  <c r="L472" i="3"/>
  <c r="M472" i="3" s="1"/>
  <c r="N472" i="3" s="1"/>
  <c r="L473" i="3"/>
  <c r="M473" i="3" s="1"/>
  <c r="N473" i="3" s="1"/>
  <c r="L474" i="3"/>
  <c r="M474" i="3" s="1"/>
  <c r="N474" i="3" s="1"/>
  <c r="L475" i="3"/>
  <c r="M475" i="3" s="1"/>
  <c r="N475" i="3" s="1"/>
  <c r="L476" i="3"/>
  <c r="M476" i="3" s="1"/>
  <c r="N476" i="3" s="1"/>
  <c r="L477" i="3"/>
  <c r="M477" i="3" s="1"/>
  <c r="N477" i="3" s="1"/>
  <c r="L478" i="3"/>
  <c r="M478" i="3" s="1"/>
  <c r="N478" i="3" s="1"/>
  <c r="L479" i="3"/>
  <c r="M479" i="3" s="1"/>
  <c r="N479" i="3" s="1"/>
  <c r="L480" i="3"/>
  <c r="M480" i="3" s="1"/>
  <c r="N480" i="3" s="1"/>
  <c r="L481" i="3"/>
  <c r="M481" i="3" s="1"/>
  <c r="N481" i="3" s="1"/>
  <c r="L482" i="3"/>
  <c r="M482" i="3" s="1"/>
  <c r="N482" i="3" s="1"/>
  <c r="L483" i="3"/>
  <c r="M483" i="3" s="1"/>
  <c r="N483" i="3" s="1"/>
  <c r="L484" i="3"/>
  <c r="M484" i="3" s="1"/>
  <c r="N484" i="3" s="1"/>
  <c r="L485" i="3"/>
  <c r="M485" i="3" s="1"/>
  <c r="N485" i="3" s="1"/>
  <c r="L486" i="3"/>
  <c r="M486" i="3" s="1"/>
  <c r="N486" i="3" s="1"/>
  <c r="L487" i="3"/>
  <c r="M487" i="3" s="1"/>
  <c r="N487" i="3" s="1"/>
  <c r="L488" i="3"/>
  <c r="M488" i="3" s="1"/>
  <c r="N488" i="3" s="1"/>
  <c r="L489" i="3"/>
  <c r="M489" i="3" s="1"/>
  <c r="N489" i="3" s="1"/>
  <c r="L490" i="3"/>
  <c r="M490" i="3" s="1"/>
  <c r="N490" i="3" s="1"/>
  <c r="L491" i="3"/>
  <c r="M491" i="3" s="1"/>
  <c r="N491" i="3" s="1"/>
  <c r="L492" i="3"/>
  <c r="M492" i="3" s="1"/>
  <c r="N492" i="3" s="1"/>
  <c r="L493" i="3"/>
  <c r="M493" i="3" s="1"/>
  <c r="N493" i="3" s="1"/>
  <c r="L494" i="3"/>
  <c r="M494" i="3" s="1"/>
  <c r="N494" i="3" s="1"/>
  <c r="L495" i="3"/>
  <c r="M495" i="3" s="1"/>
  <c r="N495" i="3" s="1"/>
  <c r="L496" i="3"/>
  <c r="M496" i="3" s="1"/>
  <c r="N496" i="3" s="1"/>
  <c r="L497" i="3"/>
  <c r="M497" i="3" s="1"/>
  <c r="N497" i="3" s="1"/>
  <c r="L498" i="3"/>
  <c r="M498" i="3" s="1"/>
  <c r="N498" i="3" s="1"/>
  <c r="L499" i="3"/>
  <c r="M499" i="3" s="1"/>
  <c r="N499" i="3" s="1"/>
  <c r="L500" i="3"/>
  <c r="M500" i="3" s="1"/>
  <c r="N500" i="3" s="1"/>
  <c r="L501" i="3"/>
  <c r="M501" i="3" s="1"/>
  <c r="N501" i="3" s="1"/>
  <c r="L502" i="3"/>
  <c r="M502" i="3" s="1"/>
  <c r="N502" i="3" s="1"/>
  <c r="L503" i="3"/>
  <c r="M503" i="3" s="1"/>
  <c r="N503" i="3" s="1"/>
  <c r="L504" i="3"/>
  <c r="M504" i="3" s="1"/>
  <c r="N504" i="3" s="1"/>
  <c r="L505" i="3"/>
  <c r="M505" i="3" s="1"/>
  <c r="N505" i="3" s="1"/>
  <c r="L506" i="3"/>
  <c r="M506" i="3" s="1"/>
  <c r="N506" i="3" s="1"/>
  <c r="L507" i="3"/>
  <c r="M507" i="3" s="1"/>
  <c r="N507" i="3" s="1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O537" i="3" l="1"/>
  <c r="N537" i="3"/>
  <c r="O503" i="3"/>
  <c r="O491" i="3"/>
  <c r="O479" i="3"/>
  <c r="O467" i="3"/>
  <c r="O455" i="3"/>
  <c r="O443" i="3"/>
  <c r="O431" i="3"/>
  <c r="O419" i="3"/>
  <c r="O407" i="3"/>
  <c r="O395" i="3"/>
  <c r="O383" i="3"/>
  <c r="O371" i="3"/>
  <c r="O359" i="3"/>
  <c r="O347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O191" i="3"/>
  <c r="O179" i="3"/>
  <c r="O167" i="3"/>
  <c r="O155" i="3"/>
  <c r="O143" i="3"/>
  <c r="O131" i="3"/>
  <c r="O119" i="3"/>
  <c r="O107" i="3"/>
  <c r="O95" i="3"/>
  <c r="O83" i="3"/>
  <c r="O71" i="3"/>
  <c r="O59" i="3"/>
  <c r="O47" i="3"/>
  <c r="O35" i="3"/>
  <c r="O23" i="3"/>
  <c r="O11" i="3"/>
  <c r="O901" i="3"/>
  <c r="O889" i="3"/>
  <c r="O877" i="3"/>
  <c r="O865" i="3"/>
  <c r="O853" i="3"/>
  <c r="O841" i="3"/>
  <c r="O829" i="3"/>
  <c r="O817" i="3"/>
  <c r="O805" i="3"/>
  <c r="O793" i="3"/>
  <c r="O781" i="3"/>
  <c r="O769" i="3"/>
  <c r="O757" i="3"/>
  <c r="O745" i="3"/>
  <c r="O733" i="3"/>
  <c r="O721" i="3"/>
  <c r="O709" i="3"/>
  <c r="O697" i="3"/>
  <c r="O685" i="3"/>
  <c r="O673" i="3"/>
  <c r="O661" i="3"/>
  <c r="O649" i="3"/>
  <c r="O637" i="3"/>
  <c r="O625" i="3"/>
  <c r="O613" i="3"/>
  <c r="O601" i="3"/>
  <c r="O589" i="3"/>
  <c r="O577" i="3"/>
  <c r="O565" i="3"/>
  <c r="O553" i="3"/>
  <c r="O541" i="3"/>
  <c r="O529" i="3"/>
  <c r="O517" i="3"/>
  <c r="O684" i="3"/>
  <c r="O672" i="3"/>
  <c r="O660" i="3"/>
  <c r="O648" i="3"/>
  <c r="O636" i="3"/>
  <c r="O624" i="3"/>
  <c r="O612" i="3"/>
  <c r="O600" i="3"/>
  <c r="O588" i="3"/>
  <c r="O576" i="3"/>
  <c r="O564" i="3"/>
  <c r="O552" i="3"/>
  <c r="O540" i="3"/>
  <c r="O528" i="3"/>
  <c r="O516" i="3"/>
  <c r="O731" i="3"/>
  <c r="O719" i="3"/>
  <c r="O707" i="3"/>
  <c r="O695" i="3"/>
  <c r="O683" i="3"/>
  <c r="O671" i="3"/>
  <c r="O659" i="3"/>
  <c r="O647" i="3"/>
  <c r="O635" i="3"/>
  <c r="O623" i="3"/>
  <c r="O611" i="3"/>
  <c r="O599" i="3"/>
  <c r="O587" i="3"/>
  <c r="O575" i="3"/>
  <c r="O563" i="3"/>
  <c r="O551" i="3"/>
  <c r="O539" i="3"/>
  <c r="O527" i="3"/>
  <c r="O515" i="3"/>
  <c r="O394" i="3"/>
  <c r="O538" i="3"/>
  <c r="O526" i="3"/>
  <c r="O514" i="3"/>
  <c r="O370" i="3"/>
  <c r="O22" i="3"/>
  <c r="O876" i="3"/>
  <c r="O828" i="3"/>
  <c r="O792" i="3"/>
  <c r="O768" i="3"/>
  <c r="O744" i="3"/>
  <c r="O708" i="3"/>
  <c r="O465" i="3"/>
  <c r="O429" i="3"/>
  <c r="O369" i="3"/>
  <c r="O309" i="3"/>
  <c r="O249" i="3"/>
  <c r="O201" i="3"/>
  <c r="O153" i="3"/>
  <c r="O105" i="3"/>
  <c r="O45" i="3"/>
  <c r="O875" i="3"/>
  <c r="O815" i="3"/>
  <c r="O743" i="3"/>
  <c r="O391" i="3"/>
  <c r="O379" i="3"/>
  <c r="O367" i="3"/>
  <c r="O355" i="3"/>
  <c r="O343" i="3"/>
  <c r="O331" i="3"/>
  <c r="O319" i="3"/>
  <c r="O307" i="3"/>
  <c r="O295" i="3"/>
  <c r="O271" i="3"/>
  <c r="O259" i="3"/>
  <c r="O247" i="3"/>
  <c r="O235" i="3"/>
  <c r="O223" i="3"/>
  <c r="O211" i="3"/>
  <c r="O199" i="3"/>
  <c r="O187" i="3"/>
  <c r="O175" i="3"/>
  <c r="O163" i="3"/>
  <c r="O151" i="3"/>
  <c r="O139" i="3"/>
  <c r="O127" i="3"/>
  <c r="O115" i="3"/>
  <c r="O103" i="3"/>
  <c r="O91" i="3"/>
  <c r="O79" i="3"/>
  <c r="O67" i="3"/>
  <c r="O55" i="3"/>
  <c r="O43" i="3"/>
  <c r="O31" i="3"/>
  <c r="O19" i="3"/>
  <c r="O7" i="3"/>
  <c r="O909" i="3"/>
  <c r="O897" i="3"/>
  <c r="O885" i="3"/>
  <c r="O873" i="3"/>
  <c r="O861" i="3"/>
  <c r="O849" i="3"/>
  <c r="O837" i="3"/>
  <c r="O825" i="3"/>
  <c r="O813" i="3"/>
  <c r="O801" i="3"/>
  <c r="O789" i="3"/>
  <c r="O777" i="3"/>
  <c r="O765" i="3"/>
  <c r="O753" i="3"/>
  <c r="O741" i="3"/>
  <c r="O729" i="3"/>
  <c r="O717" i="3"/>
  <c r="O705" i="3"/>
  <c r="O693" i="3"/>
  <c r="O681" i="3"/>
  <c r="O669" i="3"/>
  <c r="O657" i="3"/>
  <c r="O645" i="3"/>
  <c r="O633" i="3"/>
  <c r="O621" i="3"/>
  <c r="O609" i="3"/>
  <c r="O597" i="3"/>
  <c r="O585" i="3"/>
  <c r="O573" i="3"/>
  <c r="O561" i="3"/>
  <c r="O549" i="3"/>
  <c r="O525" i="3"/>
  <c r="O513" i="3"/>
  <c r="O346" i="3"/>
  <c r="O322" i="3"/>
  <c r="O298" i="3"/>
  <c r="O274" i="3"/>
  <c r="O250" i="3"/>
  <c r="O226" i="3"/>
  <c r="O202" i="3"/>
  <c r="O178" i="3"/>
  <c r="O154" i="3"/>
  <c r="O130" i="3"/>
  <c r="O106" i="3"/>
  <c r="O94" i="3"/>
  <c r="O70" i="3"/>
  <c r="O46" i="3"/>
  <c r="O10" i="3"/>
  <c r="O888" i="3"/>
  <c r="O864" i="3"/>
  <c r="O840" i="3"/>
  <c r="O816" i="3"/>
  <c r="O780" i="3"/>
  <c r="O756" i="3"/>
  <c r="O696" i="3"/>
  <c r="O477" i="3"/>
  <c r="O417" i="3"/>
  <c r="O381" i="3"/>
  <c r="O321" i="3"/>
  <c r="O273" i="3"/>
  <c r="O213" i="3"/>
  <c r="O165" i="3"/>
  <c r="O117" i="3"/>
  <c r="O69" i="3"/>
  <c r="O21" i="3"/>
  <c r="O887" i="3"/>
  <c r="O851" i="3"/>
  <c r="O827" i="3"/>
  <c r="O767" i="3"/>
  <c r="O368" i="3"/>
  <c r="O332" i="3"/>
  <c r="O308" i="3"/>
  <c r="O284" i="3"/>
  <c r="O260" i="3"/>
  <c r="O236" i="3"/>
  <c r="O224" i="3"/>
  <c r="O200" i="3"/>
  <c r="O176" i="3"/>
  <c r="O140" i="3"/>
  <c r="O116" i="3"/>
  <c r="O92" i="3"/>
  <c r="O80" i="3"/>
  <c r="O44" i="3"/>
  <c r="O20" i="3"/>
  <c r="O910" i="3"/>
  <c r="O886" i="3"/>
  <c r="O862" i="3"/>
  <c r="O838" i="3"/>
  <c r="O814" i="3"/>
  <c r="O802" i="3"/>
  <c r="O778" i="3"/>
  <c r="O766" i="3"/>
  <c r="O754" i="3"/>
  <c r="O730" i="3"/>
  <c r="O718" i="3"/>
  <c r="O706" i="3"/>
  <c r="O694" i="3"/>
  <c r="O682" i="3"/>
  <c r="O670" i="3"/>
  <c r="O658" i="3"/>
  <c r="O646" i="3"/>
  <c r="O634" i="3"/>
  <c r="O622" i="3"/>
  <c r="O610" i="3"/>
  <c r="O598" i="3"/>
  <c r="O586" i="3"/>
  <c r="O574" i="3"/>
  <c r="O550" i="3"/>
  <c r="O499" i="3"/>
  <c r="O475" i="3"/>
  <c r="O463" i="3"/>
  <c r="O451" i="3"/>
  <c r="O439" i="3"/>
  <c r="O427" i="3"/>
  <c r="O498" i="3"/>
  <c r="O486" i="3"/>
  <c r="O462" i="3"/>
  <c r="O450" i="3"/>
  <c r="O438" i="3"/>
  <c r="O426" i="3"/>
  <c r="O414" i="3"/>
  <c r="O402" i="3"/>
  <c r="O390" i="3"/>
  <c r="O378" i="3"/>
  <c r="O366" i="3"/>
  <c r="O354" i="3"/>
  <c r="O342" i="3"/>
  <c r="O330" i="3"/>
  <c r="O318" i="3"/>
  <c r="O306" i="3"/>
  <c r="O294" i="3"/>
  <c r="O282" i="3"/>
  <c r="O258" i="3"/>
  <c r="O246" i="3"/>
  <c r="O234" i="3"/>
  <c r="O222" i="3"/>
  <c r="O210" i="3"/>
  <c r="O198" i="3"/>
  <c r="O186" i="3"/>
  <c r="O174" i="3"/>
  <c r="O162" i="3"/>
  <c r="O150" i="3"/>
  <c r="O138" i="3"/>
  <c r="O126" i="3"/>
  <c r="O114" i="3"/>
  <c r="O102" i="3"/>
  <c r="O90" i="3"/>
  <c r="O78" i="3"/>
  <c r="O66" i="3"/>
  <c r="O54" i="3"/>
  <c r="O42" i="3"/>
  <c r="O30" i="3"/>
  <c r="O18" i="3"/>
  <c r="O6" i="3"/>
  <c r="O908" i="3"/>
  <c r="O896" i="3"/>
  <c r="O884" i="3"/>
  <c r="O860" i="3"/>
  <c r="O848" i="3"/>
  <c r="O836" i="3"/>
  <c r="O824" i="3"/>
  <c r="O812" i="3"/>
  <c r="O800" i="3"/>
  <c r="O788" i="3"/>
  <c r="O776" i="3"/>
  <c r="O764" i="3"/>
  <c r="O752" i="3"/>
  <c r="O740" i="3"/>
  <c r="O728" i="3"/>
  <c r="O716" i="3"/>
  <c r="O704" i="3"/>
  <c r="O692" i="3"/>
  <c r="O680" i="3"/>
  <c r="O668" i="3"/>
  <c r="O656" i="3"/>
  <c r="O644" i="3"/>
  <c r="O632" i="3"/>
  <c r="O620" i="3"/>
  <c r="O608" i="3"/>
  <c r="O596" i="3"/>
  <c r="O584" i="3"/>
  <c r="O572" i="3"/>
  <c r="O560" i="3"/>
  <c r="O548" i="3"/>
  <c r="O536" i="3"/>
  <c r="O524" i="3"/>
  <c r="O512" i="3"/>
  <c r="O406" i="3"/>
  <c r="O497" i="3"/>
  <c r="O485" i="3"/>
  <c r="O473" i="3"/>
  <c r="O461" i="3"/>
  <c r="O449" i="3"/>
  <c r="O437" i="3"/>
  <c r="O425" i="3"/>
  <c r="O413" i="3"/>
  <c r="O401" i="3"/>
  <c r="O389" i="3"/>
  <c r="O377" i="3"/>
  <c r="O365" i="3"/>
  <c r="O353" i="3"/>
  <c r="O341" i="3"/>
  <c r="O329" i="3"/>
  <c r="O317" i="3"/>
  <c r="O305" i="3"/>
  <c r="O293" i="3"/>
  <c r="O281" i="3"/>
  <c r="O269" i="3"/>
  <c r="O245" i="3"/>
  <c r="O233" i="3"/>
  <c r="O221" i="3"/>
  <c r="O209" i="3"/>
  <c r="O197" i="3"/>
  <c r="O185" i="3"/>
  <c r="O173" i="3"/>
  <c r="O161" i="3"/>
  <c r="O149" i="3"/>
  <c r="O137" i="3"/>
  <c r="O125" i="3"/>
  <c r="O113" i="3"/>
  <c r="O101" i="3"/>
  <c r="O89" i="3"/>
  <c r="O77" i="3"/>
  <c r="O65" i="3"/>
  <c r="O53" i="3"/>
  <c r="O41" i="3"/>
  <c r="O29" i="3"/>
  <c r="O17" i="3"/>
  <c r="O5" i="3"/>
  <c r="O907" i="3"/>
  <c r="O895" i="3"/>
  <c r="O883" i="3"/>
  <c r="O871" i="3"/>
  <c r="O859" i="3"/>
  <c r="O847" i="3"/>
  <c r="O835" i="3"/>
  <c r="O823" i="3"/>
  <c r="O811" i="3"/>
  <c r="O799" i="3"/>
  <c r="O787" i="3"/>
  <c r="O775" i="3"/>
  <c r="O763" i="3"/>
  <c r="O751" i="3"/>
  <c r="O739" i="3"/>
  <c r="O727" i="3"/>
  <c r="O715" i="3"/>
  <c r="O703" i="3"/>
  <c r="O691" i="3"/>
  <c r="O679" i="3"/>
  <c r="O667" i="3"/>
  <c r="O655" i="3"/>
  <c r="O643" i="3"/>
  <c r="O631" i="3"/>
  <c r="O619" i="3"/>
  <c r="O607" i="3"/>
  <c r="O595" i="3"/>
  <c r="O583" i="3"/>
  <c r="O571" i="3"/>
  <c r="O559" i="3"/>
  <c r="O547" i="3"/>
  <c r="O535" i="3"/>
  <c r="O523" i="3"/>
  <c r="O732" i="3"/>
  <c r="O501" i="3"/>
  <c r="O453" i="3"/>
  <c r="O405" i="3"/>
  <c r="O357" i="3"/>
  <c r="O333" i="3"/>
  <c r="O285" i="3"/>
  <c r="O237" i="3"/>
  <c r="O189" i="3"/>
  <c r="O141" i="3"/>
  <c r="O81" i="3"/>
  <c r="O33" i="3"/>
  <c r="O899" i="3"/>
  <c r="O839" i="3"/>
  <c r="O791" i="3"/>
  <c r="O779" i="3"/>
  <c r="O500" i="3"/>
  <c r="O488" i="3"/>
  <c r="O476" i="3"/>
  <c r="O464" i="3"/>
  <c r="O452" i="3"/>
  <c r="O440" i="3"/>
  <c r="O428" i="3"/>
  <c r="O416" i="3"/>
  <c r="O404" i="3"/>
  <c r="O392" i="3"/>
  <c r="O380" i="3"/>
  <c r="O356" i="3"/>
  <c r="O344" i="3"/>
  <c r="O320" i="3"/>
  <c r="O296" i="3"/>
  <c r="O272" i="3"/>
  <c r="O248" i="3"/>
  <c r="O212" i="3"/>
  <c r="O188" i="3"/>
  <c r="O164" i="3"/>
  <c r="O152" i="3"/>
  <c r="O128" i="3"/>
  <c r="O104" i="3"/>
  <c r="O68" i="3"/>
  <c r="O56" i="3"/>
  <c r="O32" i="3"/>
  <c r="O8" i="3"/>
  <c r="O898" i="3"/>
  <c r="O874" i="3"/>
  <c r="O850" i="3"/>
  <c r="O826" i="3"/>
  <c r="O790" i="3"/>
  <c r="O742" i="3"/>
  <c r="O562" i="3"/>
  <c r="O487" i="3"/>
  <c r="O415" i="3"/>
  <c r="O403" i="3"/>
  <c r="O474" i="3"/>
  <c r="O822" i="3"/>
  <c r="O810" i="3"/>
  <c r="O798" i="3"/>
  <c r="O786" i="3"/>
  <c r="O774" i="3"/>
  <c r="O762" i="3"/>
  <c r="O750" i="3"/>
  <c r="O738" i="3"/>
  <c r="O726" i="3"/>
  <c r="O714" i="3"/>
  <c r="O702" i="3"/>
  <c r="O690" i="3"/>
  <c r="O678" i="3"/>
  <c r="O666" i="3"/>
  <c r="O654" i="3"/>
  <c r="O642" i="3"/>
  <c r="O630" i="3"/>
  <c r="O618" i="3"/>
  <c r="O606" i="3"/>
  <c r="O594" i="3"/>
  <c r="O582" i="3"/>
  <c r="O570" i="3"/>
  <c r="O558" i="3"/>
  <c r="O546" i="3"/>
  <c r="O534" i="3"/>
  <c r="O522" i="3"/>
  <c r="O382" i="3"/>
  <c r="O496" i="3"/>
  <c r="O484" i="3"/>
  <c r="O472" i="3"/>
  <c r="O460" i="3"/>
  <c r="O448" i="3"/>
  <c r="O436" i="3"/>
  <c r="O424" i="3"/>
  <c r="O412" i="3"/>
  <c r="O400" i="3"/>
  <c r="O388" i="3"/>
  <c r="O376" i="3"/>
  <c r="O364" i="3"/>
  <c r="O352" i="3"/>
  <c r="O340" i="3"/>
  <c r="O328" i="3"/>
  <c r="O316" i="3"/>
  <c r="O304" i="3"/>
  <c r="O292" i="3"/>
  <c r="O280" i="3"/>
  <c r="O268" i="3"/>
  <c r="O256" i="3"/>
  <c r="O244" i="3"/>
  <c r="O232" i="3"/>
  <c r="O220" i="3"/>
  <c r="O208" i="3"/>
  <c r="O196" i="3"/>
  <c r="O184" i="3"/>
  <c r="O172" i="3"/>
  <c r="O160" i="3"/>
  <c r="O148" i="3"/>
  <c r="O136" i="3"/>
  <c r="O124" i="3"/>
  <c r="O112" i="3"/>
  <c r="O100" i="3"/>
  <c r="O88" i="3"/>
  <c r="O76" i="3"/>
  <c r="O64" i="3"/>
  <c r="O52" i="3"/>
  <c r="O40" i="3"/>
  <c r="O28" i="3"/>
  <c r="O16" i="3"/>
  <c r="O4" i="3"/>
  <c r="O906" i="3"/>
  <c r="O894" i="3"/>
  <c r="O882" i="3"/>
  <c r="O870" i="3"/>
  <c r="O858" i="3"/>
  <c r="O846" i="3"/>
  <c r="O834" i="3"/>
  <c r="O495" i="3"/>
  <c r="O483" i="3"/>
  <c r="O471" i="3"/>
  <c r="O459" i="3"/>
  <c r="O447" i="3"/>
  <c r="O435" i="3"/>
  <c r="O423" i="3"/>
  <c r="O411" i="3"/>
  <c r="O399" i="3"/>
  <c r="O387" i="3"/>
  <c r="O375" i="3"/>
  <c r="O363" i="3"/>
  <c r="O351" i="3"/>
  <c r="O339" i="3"/>
  <c r="O327" i="3"/>
  <c r="O315" i="3"/>
  <c r="O303" i="3"/>
  <c r="O291" i="3"/>
  <c r="O279" i="3"/>
  <c r="O267" i="3"/>
  <c r="O255" i="3"/>
  <c r="O243" i="3"/>
  <c r="O231" i="3"/>
  <c r="O219" i="3"/>
  <c r="O207" i="3"/>
  <c r="O195" i="3"/>
  <c r="O183" i="3"/>
  <c r="O171" i="3"/>
  <c r="O159" i="3"/>
  <c r="O147" i="3"/>
  <c r="O135" i="3"/>
  <c r="O123" i="3"/>
  <c r="O111" i="3"/>
  <c r="O99" i="3"/>
  <c r="O87" i="3"/>
  <c r="O75" i="3"/>
  <c r="O63" i="3"/>
  <c r="O51" i="3"/>
  <c r="O39" i="3"/>
  <c r="O27" i="3"/>
  <c r="O15" i="3"/>
  <c r="O3" i="3"/>
  <c r="O905" i="3"/>
  <c r="O893" i="3"/>
  <c r="O881" i="3"/>
  <c r="O869" i="3"/>
  <c r="O857" i="3"/>
  <c r="O845" i="3"/>
  <c r="O833" i="3"/>
  <c r="O821" i="3"/>
  <c r="O809" i="3"/>
  <c r="O797" i="3"/>
  <c r="O785" i="3"/>
  <c r="O773" i="3"/>
  <c r="O761" i="3"/>
  <c r="O749" i="3"/>
  <c r="O737" i="3"/>
  <c r="O725" i="3"/>
  <c r="O713" i="3"/>
  <c r="O701" i="3"/>
  <c r="O689" i="3"/>
  <c r="O677" i="3"/>
  <c r="O665" i="3"/>
  <c r="O653" i="3"/>
  <c r="O641" i="3"/>
  <c r="O629" i="3"/>
  <c r="O617" i="3"/>
  <c r="O605" i="3"/>
  <c r="O593" i="3"/>
  <c r="O581" i="3"/>
  <c r="O569" i="3"/>
  <c r="O557" i="3"/>
  <c r="O545" i="3"/>
  <c r="O533" i="3"/>
  <c r="O521" i="3"/>
  <c r="O502" i="3"/>
  <c r="O490" i="3"/>
  <c r="O478" i="3"/>
  <c r="O466" i="3"/>
  <c r="O454" i="3"/>
  <c r="O442" i="3"/>
  <c r="O430" i="3"/>
  <c r="O418" i="3"/>
  <c r="O358" i="3"/>
  <c r="O334" i="3"/>
  <c r="O310" i="3"/>
  <c r="O286" i="3"/>
  <c r="O262" i="3"/>
  <c r="O238" i="3"/>
  <c r="O214" i="3"/>
  <c r="O190" i="3"/>
  <c r="O166" i="3"/>
  <c r="O142" i="3"/>
  <c r="O118" i="3"/>
  <c r="O82" i="3"/>
  <c r="O58" i="3"/>
  <c r="O34" i="3"/>
  <c r="O900" i="3"/>
  <c r="O852" i="3"/>
  <c r="O804" i="3"/>
  <c r="O720" i="3"/>
  <c r="O489" i="3"/>
  <c r="O441" i="3"/>
  <c r="O393" i="3"/>
  <c r="O345" i="3"/>
  <c r="O297" i="3"/>
  <c r="O261" i="3"/>
  <c r="O225" i="3"/>
  <c r="O177" i="3"/>
  <c r="O129" i="3"/>
  <c r="O93" i="3"/>
  <c r="O57" i="3"/>
  <c r="O9" i="3"/>
  <c r="O863" i="3"/>
  <c r="O803" i="3"/>
  <c r="O755" i="3"/>
  <c r="O506" i="3"/>
  <c r="O494" i="3"/>
  <c r="O482" i="3"/>
  <c r="O470" i="3"/>
  <c r="O458" i="3"/>
  <c r="O446" i="3"/>
  <c r="O434" i="3"/>
  <c r="O422" i="3"/>
  <c r="O410" i="3"/>
  <c r="O398" i="3"/>
  <c r="O386" i="3"/>
  <c r="O374" i="3"/>
  <c r="O362" i="3"/>
  <c r="O350" i="3"/>
  <c r="O338" i="3"/>
  <c r="O326" i="3"/>
  <c r="O314" i="3"/>
  <c r="O302" i="3"/>
  <c r="O290" i="3"/>
  <c r="O278" i="3"/>
  <c r="O266" i="3"/>
  <c r="O254" i="3"/>
  <c r="O242" i="3"/>
  <c r="O230" i="3"/>
  <c r="O218" i="3"/>
  <c r="O206" i="3"/>
  <c r="O194" i="3"/>
  <c r="O182" i="3"/>
  <c r="O170" i="3"/>
  <c r="O158" i="3"/>
  <c r="O146" i="3"/>
  <c r="O134" i="3"/>
  <c r="O122" i="3"/>
  <c r="O110" i="3"/>
  <c r="O98" i="3"/>
  <c r="O86" i="3"/>
  <c r="O74" i="3"/>
  <c r="O62" i="3"/>
  <c r="O50" i="3"/>
  <c r="O38" i="3"/>
  <c r="O26" i="3"/>
  <c r="O14" i="3"/>
  <c r="O2" i="3"/>
  <c r="O904" i="3"/>
  <c r="O892" i="3"/>
  <c r="O880" i="3"/>
  <c r="O868" i="3"/>
  <c r="O856" i="3"/>
  <c r="O844" i="3"/>
  <c r="O832" i="3"/>
  <c r="O820" i="3"/>
  <c r="O808" i="3"/>
  <c r="O796" i="3"/>
  <c r="O784" i="3"/>
  <c r="O772" i="3"/>
  <c r="O760" i="3"/>
  <c r="O748" i="3"/>
  <c r="O736" i="3"/>
  <c r="O724" i="3"/>
  <c r="O712" i="3"/>
  <c r="O700" i="3"/>
  <c r="O688" i="3"/>
  <c r="O676" i="3"/>
  <c r="O664" i="3"/>
  <c r="O652" i="3"/>
  <c r="O640" i="3"/>
  <c r="O628" i="3"/>
  <c r="O616" i="3"/>
  <c r="O592" i="3"/>
  <c r="O580" i="3"/>
  <c r="O568" i="3"/>
  <c r="O544" i="3"/>
  <c r="O532" i="3"/>
  <c r="O520" i="3"/>
  <c r="O505" i="3"/>
  <c r="O493" i="3"/>
  <c r="O481" i="3"/>
  <c r="O469" i="3"/>
  <c r="O457" i="3"/>
  <c r="O445" i="3"/>
  <c r="O433" i="3"/>
  <c r="O421" i="3"/>
  <c r="O409" i="3"/>
  <c r="O397" i="3"/>
  <c r="O385" i="3"/>
  <c r="O373" i="3"/>
  <c r="O361" i="3"/>
  <c r="O349" i="3"/>
  <c r="O337" i="3"/>
  <c r="O325" i="3"/>
  <c r="O313" i="3"/>
  <c r="O301" i="3"/>
  <c r="O289" i="3"/>
  <c r="O277" i="3"/>
  <c r="O265" i="3"/>
  <c r="O253" i="3"/>
  <c r="O241" i="3"/>
  <c r="O229" i="3"/>
  <c r="O217" i="3"/>
  <c r="O205" i="3"/>
  <c r="O193" i="3"/>
  <c r="O181" i="3"/>
  <c r="O169" i="3"/>
  <c r="O157" i="3"/>
  <c r="O145" i="3"/>
  <c r="O133" i="3"/>
  <c r="O121" i="3"/>
  <c r="O109" i="3"/>
  <c r="O97" i="3"/>
  <c r="O85" i="3"/>
  <c r="O73" i="3"/>
  <c r="O61" i="3"/>
  <c r="O49" i="3"/>
  <c r="O37" i="3"/>
  <c r="O25" i="3"/>
  <c r="O13" i="3"/>
  <c r="O903" i="3"/>
  <c r="O891" i="3"/>
  <c r="O879" i="3"/>
  <c r="O855" i="3"/>
  <c r="O843" i="3"/>
  <c r="O831" i="3"/>
  <c r="O819" i="3"/>
  <c r="O807" i="3"/>
  <c r="O795" i="3"/>
  <c r="O783" i="3"/>
  <c r="O771" i="3"/>
  <c r="O759" i="3"/>
  <c r="O747" i="3"/>
  <c r="O735" i="3"/>
  <c r="O723" i="3"/>
  <c r="O711" i="3"/>
  <c r="O687" i="3"/>
  <c r="O663" i="3"/>
  <c r="O651" i="3"/>
  <c r="O639" i="3"/>
  <c r="O627" i="3"/>
  <c r="O615" i="3"/>
  <c r="O603" i="3"/>
  <c r="O591" i="3"/>
  <c r="O579" i="3"/>
  <c r="O555" i="3"/>
  <c r="O543" i="3"/>
  <c r="O531" i="3"/>
  <c r="O519" i="3"/>
  <c r="O504" i="3"/>
  <c r="O492" i="3"/>
  <c r="O480" i="3"/>
  <c r="O468" i="3"/>
  <c r="O456" i="3"/>
  <c r="O444" i="3"/>
  <c r="O432" i="3"/>
  <c r="O420" i="3"/>
  <c r="O408" i="3"/>
  <c r="O396" i="3"/>
  <c r="O384" i="3"/>
  <c r="O372" i="3"/>
  <c r="O360" i="3"/>
  <c r="O348" i="3"/>
  <c r="O336" i="3"/>
  <c r="O324" i="3"/>
  <c r="O312" i="3"/>
  <c r="O300" i="3"/>
  <c r="O288" i="3"/>
  <c r="O276" i="3"/>
  <c r="O264" i="3"/>
  <c r="O252" i="3"/>
  <c r="O240" i="3"/>
  <c r="O228" i="3"/>
  <c r="O216" i="3"/>
  <c r="O204" i="3"/>
  <c r="O192" i="3"/>
  <c r="O180" i="3"/>
  <c r="O168" i="3"/>
  <c r="O156" i="3"/>
  <c r="O144" i="3"/>
  <c r="O132" i="3"/>
  <c r="O120" i="3"/>
  <c r="O108" i="3"/>
  <c r="O96" i="3"/>
  <c r="O84" i="3"/>
  <c r="O72" i="3"/>
  <c r="O60" i="3"/>
  <c r="O48" i="3"/>
  <c r="O36" i="3"/>
  <c r="O24" i="3"/>
  <c r="O12" i="3"/>
  <c r="O902" i="3"/>
  <c r="O890" i="3"/>
  <c r="O878" i="3"/>
  <c r="O866" i="3"/>
  <c r="O854" i="3"/>
  <c r="O842" i="3"/>
  <c r="O830" i="3"/>
  <c r="O818" i="3"/>
  <c r="O806" i="3"/>
  <c r="O794" i="3"/>
  <c r="O782" i="3"/>
  <c r="O770" i="3"/>
  <c r="O758" i="3"/>
  <c r="O746" i="3"/>
  <c r="O734" i="3"/>
  <c r="O722" i="3"/>
  <c r="O710" i="3"/>
  <c r="O698" i="3"/>
  <c r="O686" i="3"/>
  <c r="O674" i="3"/>
  <c r="O662" i="3"/>
  <c r="O650" i="3"/>
  <c r="O638" i="3"/>
  <c r="O626" i="3"/>
  <c r="O614" i="3"/>
  <c r="O602" i="3"/>
  <c r="O590" i="3"/>
  <c r="O578" i="3"/>
  <c r="O566" i="3"/>
  <c r="O554" i="3"/>
  <c r="O542" i="3"/>
  <c r="O530" i="3"/>
  <c r="O518" i="3"/>
  <c r="M867" i="3"/>
  <c r="N867" i="3" s="1"/>
  <c r="M699" i="3"/>
  <c r="N699" i="3" s="1"/>
  <c r="M675" i="3"/>
  <c r="N675" i="3" s="1"/>
  <c r="M567" i="3"/>
  <c r="N567" i="3" s="1"/>
  <c r="M283" i="3"/>
  <c r="N283" i="3" s="1"/>
  <c r="M270" i="3"/>
  <c r="N270" i="3" s="1"/>
  <c r="M872" i="3"/>
  <c r="N872" i="3" s="1"/>
  <c r="M257" i="3"/>
  <c r="N257" i="3" s="1"/>
  <c r="O511" i="3"/>
  <c r="O510" i="3"/>
  <c r="O507" i="3"/>
  <c r="O509" i="3"/>
  <c r="M604" i="3"/>
  <c r="N604" i="3" s="1"/>
  <c r="M556" i="3"/>
  <c r="N556" i="3" s="1"/>
  <c r="O508" i="3"/>
  <c r="T459" i="1"/>
  <c r="U459" i="1"/>
  <c r="V459" i="1"/>
  <c r="W459" i="1" s="1"/>
  <c r="T460" i="1"/>
  <c r="U460" i="1"/>
  <c r="V460" i="1"/>
  <c r="X460" i="1" s="1"/>
  <c r="T461" i="1"/>
  <c r="U461" i="1"/>
  <c r="V461" i="1"/>
  <c r="Y461" i="1" s="1"/>
  <c r="T462" i="1"/>
  <c r="U462" i="1"/>
  <c r="V462" i="1"/>
  <c r="W462" i="1" s="1"/>
  <c r="T463" i="1"/>
  <c r="U463" i="1"/>
  <c r="V463" i="1"/>
  <c r="Y463" i="1" s="1"/>
  <c r="T464" i="1"/>
  <c r="U464" i="1"/>
  <c r="V464" i="1"/>
  <c r="X464" i="1" s="1"/>
  <c r="T465" i="1"/>
  <c r="U465" i="1"/>
  <c r="V465" i="1"/>
  <c r="X465" i="1" s="1"/>
  <c r="T466" i="1"/>
  <c r="U466" i="1"/>
  <c r="V466" i="1"/>
  <c r="W466" i="1" s="1"/>
  <c r="T467" i="1"/>
  <c r="U467" i="1"/>
  <c r="V467" i="1"/>
  <c r="X467" i="1" s="1"/>
  <c r="T468" i="1"/>
  <c r="U468" i="1"/>
  <c r="V468" i="1"/>
  <c r="X468" i="1" s="1"/>
  <c r="T469" i="1"/>
  <c r="U469" i="1"/>
  <c r="V469" i="1"/>
  <c r="T470" i="1"/>
  <c r="U470" i="1"/>
  <c r="V470" i="1"/>
  <c r="X470" i="1" s="1"/>
  <c r="T471" i="1"/>
  <c r="U471" i="1"/>
  <c r="V471" i="1"/>
  <c r="Y471" i="1" s="1"/>
  <c r="T472" i="1"/>
  <c r="U472" i="1"/>
  <c r="V472" i="1"/>
  <c r="W472" i="1" s="1"/>
  <c r="T473" i="1"/>
  <c r="U473" i="1"/>
  <c r="V473" i="1"/>
  <c r="X473" i="1" s="1"/>
  <c r="T474" i="1"/>
  <c r="U474" i="1"/>
  <c r="V474" i="1"/>
  <c r="Y474" i="1" s="1"/>
  <c r="T475" i="1"/>
  <c r="U475" i="1"/>
  <c r="V475" i="1"/>
  <c r="W475" i="1" s="1"/>
  <c r="T476" i="1"/>
  <c r="U476" i="1"/>
  <c r="V476" i="1"/>
  <c r="Y476" i="1" s="1"/>
  <c r="T477" i="1"/>
  <c r="U477" i="1"/>
  <c r="V477" i="1"/>
  <c r="W477" i="1" s="1"/>
  <c r="T478" i="1"/>
  <c r="U478" i="1"/>
  <c r="V478" i="1"/>
  <c r="W478" i="1" s="1"/>
  <c r="T479" i="1"/>
  <c r="U479" i="1"/>
  <c r="V479" i="1"/>
  <c r="Y479" i="1" s="1"/>
  <c r="T480" i="1"/>
  <c r="U480" i="1"/>
  <c r="V480" i="1"/>
  <c r="X480" i="1" s="1"/>
  <c r="T481" i="1"/>
  <c r="U481" i="1"/>
  <c r="V481" i="1"/>
  <c r="W481" i="1" s="1"/>
  <c r="T482" i="1"/>
  <c r="U482" i="1"/>
  <c r="V482" i="1"/>
  <c r="Y482" i="1" s="1"/>
  <c r="T483" i="1"/>
  <c r="U483" i="1"/>
  <c r="V483" i="1"/>
  <c r="X483" i="1" s="1"/>
  <c r="T484" i="1"/>
  <c r="U484" i="1"/>
  <c r="V484" i="1"/>
  <c r="T485" i="1"/>
  <c r="U485" i="1"/>
  <c r="V485" i="1"/>
  <c r="W485" i="1" s="1"/>
  <c r="T486" i="1"/>
  <c r="U486" i="1"/>
  <c r="V486" i="1"/>
  <c r="W486" i="1" s="1"/>
  <c r="T487" i="1"/>
  <c r="U487" i="1"/>
  <c r="V487" i="1"/>
  <c r="T488" i="1"/>
  <c r="U488" i="1"/>
  <c r="V488" i="1"/>
  <c r="W488" i="1" s="1"/>
  <c r="T489" i="1"/>
  <c r="U489" i="1"/>
  <c r="V489" i="1"/>
  <c r="T490" i="1"/>
  <c r="U490" i="1"/>
  <c r="V490" i="1"/>
  <c r="X490" i="1" s="1"/>
  <c r="T491" i="1"/>
  <c r="U491" i="1"/>
  <c r="V491" i="1"/>
  <c r="X491" i="1" s="1"/>
  <c r="T492" i="1"/>
  <c r="U492" i="1"/>
  <c r="V492" i="1"/>
  <c r="W492" i="1" s="1"/>
  <c r="T493" i="1"/>
  <c r="U493" i="1"/>
  <c r="V493" i="1"/>
  <c r="W493" i="1" s="1"/>
  <c r="T494" i="1"/>
  <c r="U494" i="1"/>
  <c r="V494" i="1"/>
  <c r="W494" i="1" s="1"/>
  <c r="T495" i="1"/>
  <c r="U495" i="1"/>
  <c r="V495" i="1"/>
  <c r="Y495" i="1" s="1"/>
  <c r="T496" i="1"/>
  <c r="U496" i="1"/>
  <c r="V496" i="1"/>
  <c r="Y496" i="1" s="1"/>
  <c r="T497" i="1"/>
  <c r="U497" i="1"/>
  <c r="V497" i="1"/>
  <c r="T498" i="1"/>
  <c r="U498" i="1"/>
  <c r="V498" i="1"/>
  <c r="T499" i="1"/>
  <c r="U499" i="1"/>
  <c r="V499" i="1"/>
  <c r="W499" i="1" s="1"/>
  <c r="T500" i="1"/>
  <c r="U500" i="1"/>
  <c r="V500" i="1"/>
  <c r="W500" i="1" s="1"/>
  <c r="T501" i="1"/>
  <c r="U501" i="1"/>
  <c r="V501" i="1"/>
  <c r="Y501" i="1" s="1"/>
  <c r="T502" i="1"/>
  <c r="U502" i="1"/>
  <c r="V502" i="1"/>
  <c r="W502" i="1" s="1"/>
  <c r="T503" i="1"/>
  <c r="U503" i="1"/>
  <c r="V503" i="1"/>
  <c r="X503" i="1" s="1"/>
  <c r="T504" i="1"/>
  <c r="U504" i="1"/>
  <c r="V504" i="1"/>
  <c r="W504" i="1" s="1"/>
  <c r="T505" i="1"/>
  <c r="U505" i="1"/>
  <c r="V505" i="1"/>
  <c r="W505" i="1" s="1"/>
  <c r="T506" i="1"/>
  <c r="U506" i="1"/>
  <c r="V506" i="1"/>
  <c r="X506" i="1" s="1"/>
  <c r="T507" i="1"/>
  <c r="U507" i="1"/>
  <c r="V507" i="1"/>
  <c r="W507" i="1" s="1"/>
  <c r="T508" i="1"/>
  <c r="U508" i="1"/>
  <c r="V508" i="1"/>
  <c r="T509" i="1"/>
  <c r="U509" i="1"/>
  <c r="V509" i="1"/>
  <c r="T510" i="1"/>
  <c r="U510" i="1"/>
  <c r="V510" i="1"/>
  <c r="T511" i="1"/>
  <c r="U511" i="1"/>
  <c r="V511" i="1"/>
  <c r="T512" i="1"/>
  <c r="U512" i="1"/>
  <c r="V512" i="1"/>
  <c r="X512" i="1" s="1"/>
  <c r="T513" i="1"/>
  <c r="U513" i="1"/>
  <c r="V513" i="1"/>
  <c r="W513" i="1" s="1"/>
  <c r="T514" i="1"/>
  <c r="U514" i="1"/>
  <c r="V514" i="1"/>
  <c r="W514" i="1" s="1"/>
  <c r="T515" i="1"/>
  <c r="U515" i="1"/>
  <c r="V515" i="1"/>
  <c r="T516" i="1"/>
  <c r="U516" i="1"/>
  <c r="V516" i="1"/>
  <c r="X516" i="1" s="1"/>
  <c r="T517" i="1"/>
  <c r="U517" i="1"/>
  <c r="V517" i="1"/>
  <c r="W517" i="1" s="1"/>
  <c r="T518" i="1"/>
  <c r="U518" i="1"/>
  <c r="V518" i="1"/>
  <c r="W518" i="1" s="1"/>
  <c r="T519" i="1"/>
  <c r="U519" i="1"/>
  <c r="V519" i="1"/>
  <c r="W519" i="1" s="1"/>
  <c r="T520" i="1"/>
  <c r="U520" i="1"/>
  <c r="V520" i="1"/>
  <c r="T521" i="1"/>
  <c r="U521" i="1"/>
  <c r="V521" i="1"/>
  <c r="X521" i="1" s="1"/>
  <c r="T522" i="1"/>
  <c r="U522" i="1"/>
  <c r="V522" i="1"/>
  <c r="W522" i="1" s="1"/>
  <c r="T523" i="1"/>
  <c r="U523" i="1"/>
  <c r="V523" i="1"/>
  <c r="X523" i="1" s="1"/>
  <c r="T524" i="1"/>
  <c r="U524" i="1"/>
  <c r="V524" i="1"/>
  <c r="T525" i="1"/>
  <c r="U525" i="1"/>
  <c r="V525" i="1"/>
  <c r="Y525" i="1" s="1"/>
  <c r="T526" i="1"/>
  <c r="U526" i="1"/>
  <c r="V526" i="1"/>
  <c r="X526" i="1" s="1"/>
  <c r="T527" i="1"/>
  <c r="U527" i="1"/>
  <c r="V527" i="1"/>
  <c r="W527" i="1" s="1"/>
  <c r="T528" i="1"/>
  <c r="U528" i="1"/>
  <c r="V528" i="1"/>
  <c r="W528" i="1" s="1"/>
  <c r="T529" i="1"/>
  <c r="U529" i="1"/>
  <c r="V529" i="1"/>
  <c r="T530" i="1"/>
  <c r="U530" i="1"/>
  <c r="V530" i="1"/>
  <c r="X530" i="1" s="1"/>
  <c r="AC530" i="1" s="1"/>
  <c r="T531" i="1"/>
  <c r="U531" i="1"/>
  <c r="V531" i="1"/>
  <c r="X531" i="1" s="1"/>
  <c r="T532" i="1"/>
  <c r="U532" i="1"/>
  <c r="V532" i="1"/>
  <c r="X532" i="1" s="1"/>
  <c r="T533" i="1"/>
  <c r="U533" i="1"/>
  <c r="V533" i="1"/>
  <c r="T534" i="1"/>
  <c r="U534" i="1"/>
  <c r="V534" i="1"/>
  <c r="Y534" i="1" s="1"/>
  <c r="T535" i="1"/>
  <c r="U535" i="1"/>
  <c r="V535" i="1"/>
  <c r="X535" i="1" s="1"/>
  <c r="T536" i="1"/>
  <c r="U536" i="1"/>
  <c r="V536" i="1"/>
  <c r="Y536" i="1" s="1"/>
  <c r="T537" i="1"/>
  <c r="U537" i="1"/>
  <c r="V537" i="1"/>
  <c r="W537" i="1" s="1"/>
  <c r="T538" i="1"/>
  <c r="U538" i="1"/>
  <c r="V538" i="1"/>
  <c r="W538" i="1" s="1"/>
  <c r="T539" i="1"/>
  <c r="U539" i="1"/>
  <c r="V539" i="1"/>
  <c r="X539" i="1" s="1"/>
  <c r="T540" i="1"/>
  <c r="U540" i="1"/>
  <c r="V540" i="1"/>
  <c r="W540" i="1" s="1"/>
  <c r="T541" i="1"/>
  <c r="U541" i="1"/>
  <c r="V541" i="1"/>
  <c r="Y541" i="1" s="1"/>
  <c r="T542" i="1"/>
  <c r="U542" i="1"/>
  <c r="V542" i="1"/>
  <c r="T543" i="1"/>
  <c r="U543" i="1"/>
  <c r="V543" i="1"/>
  <c r="X543" i="1" s="1"/>
  <c r="T544" i="1"/>
  <c r="U544" i="1"/>
  <c r="V544" i="1"/>
  <c r="W544" i="1" s="1"/>
  <c r="T545" i="1"/>
  <c r="U545" i="1"/>
  <c r="V545" i="1"/>
  <c r="T546" i="1"/>
  <c r="U546" i="1"/>
  <c r="V546" i="1"/>
  <c r="T547" i="1"/>
  <c r="U547" i="1"/>
  <c r="V547" i="1"/>
  <c r="Y547" i="1" s="1"/>
  <c r="T548" i="1"/>
  <c r="U548" i="1"/>
  <c r="V548" i="1"/>
  <c r="W548" i="1" s="1"/>
  <c r="T549" i="1"/>
  <c r="U549" i="1"/>
  <c r="V549" i="1"/>
  <c r="W549" i="1" s="1"/>
  <c r="T550" i="1"/>
  <c r="U550" i="1"/>
  <c r="V550" i="1"/>
  <c r="W550" i="1" s="1"/>
  <c r="T551" i="1"/>
  <c r="U551" i="1"/>
  <c r="V551" i="1"/>
  <c r="Y551" i="1" s="1"/>
  <c r="T552" i="1"/>
  <c r="U552" i="1"/>
  <c r="V552" i="1"/>
  <c r="X552" i="1" s="1"/>
  <c r="T553" i="1"/>
  <c r="U553" i="1"/>
  <c r="V553" i="1"/>
  <c r="W553" i="1" s="1"/>
  <c r="T554" i="1"/>
  <c r="U554" i="1"/>
  <c r="V554" i="1"/>
  <c r="W554" i="1" s="1"/>
  <c r="T555" i="1"/>
  <c r="U555" i="1"/>
  <c r="V555" i="1"/>
  <c r="X555" i="1" s="1"/>
  <c r="T556" i="1"/>
  <c r="U556" i="1"/>
  <c r="V556" i="1"/>
  <c r="T557" i="1"/>
  <c r="U557" i="1"/>
  <c r="V557" i="1"/>
  <c r="T558" i="1"/>
  <c r="U558" i="1"/>
  <c r="V558" i="1"/>
  <c r="W558" i="1" s="1"/>
  <c r="T559" i="1"/>
  <c r="U559" i="1"/>
  <c r="V559" i="1"/>
  <c r="X559" i="1" s="1"/>
  <c r="T560" i="1"/>
  <c r="U560" i="1"/>
  <c r="V560" i="1"/>
  <c r="Y560" i="1" s="1"/>
  <c r="T561" i="1"/>
  <c r="U561" i="1"/>
  <c r="V561" i="1"/>
  <c r="X561" i="1" s="1"/>
  <c r="T562" i="1"/>
  <c r="U562" i="1"/>
  <c r="V562" i="1"/>
  <c r="W562" i="1" s="1"/>
  <c r="T563" i="1"/>
  <c r="U563" i="1"/>
  <c r="V563" i="1"/>
  <c r="Y563" i="1" s="1"/>
  <c r="T564" i="1"/>
  <c r="U564" i="1"/>
  <c r="V564" i="1"/>
  <c r="X564" i="1" s="1"/>
  <c r="T565" i="1"/>
  <c r="U565" i="1"/>
  <c r="V565" i="1"/>
  <c r="X565" i="1" s="1"/>
  <c r="T566" i="1"/>
  <c r="U566" i="1"/>
  <c r="V566" i="1"/>
  <c r="T567" i="1"/>
  <c r="U567" i="1"/>
  <c r="V567" i="1"/>
  <c r="T568" i="1"/>
  <c r="U568" i="1"/>
  <c r="V568" i="1"/>
  <c r="W568" i="1" s="1"/>
  <c r="T569" i="1"/>
  <c r="U569" i="1"/>
  <c r="V569" i="1"/>
  <c r="X569" i="1" s="1"/>
  <c r="T570" i="1"/>
  <c r="U570" i="1"/>
  <c r="V570" i="1"/>
  <c r="W570" i="1" s="1"/>
  <c r="T571" i="1"/>
  <c r="U571" i="1"/>
  <c r="V571" i="1"/>
  <c r="T572" i="1"/>
  <c r="U572" i="1"/>
  <c r="V572" i="1"/>
  <c r="Y572" i="1" s="1"/>
  <c r="T573" i="1"/>
  <c r="U573" i="1"/>
  <c r="V573" i="1"/>
  <c r="Y573" i="1" s="1"/>
  <c r="T574" i="1"/>
  <c r="U574" i="1"/>
  <c r="V574" i="1"/>
  <c r="W574" i="1" s="1"/>
  <c r="T575" i="1"/>
  <c r="U575" i="1"/>
  <c r="V575" i="1"/>
  <c r="T576" i="1"/>
  <c r="U576" i="1"/>
  <c r="V576" i="1"/>
  <c r="Y576" i="1" s="1"/>
  <c r="T577" i="1"/>
  <c r="U577" i="1"/>
  <c r="V577" i="1"/>
  <c r="W577" i="1" s="1"/>
  <c r="T578" i="1"/>
  <c r="U578" i="1"/>
  <c r="V578" i="1"/>
  <c r="T579" i="1"/>
  <c r="U579" i="1"/>
  <c r="V579" i="1"/>
  <c r="Y579" i="1" s="1"/>
  <c r="T580" i="1"/>
  <c r="U580" i="1"/>
  <c r="V580" i="1"/>
  <c r="X580" i="1" s="1"/>
  <c r="T581" i="1"/>
  <c r="U581" i="1"/>
  <c r="V581" i="1"/>
  <c r="Y581" i="1" s="1"/>
  <c r="T582" i="1"/>
  <c r="U582" i="1"/>
  <c r="V582" i="1"/>
  <c r="T583" i="1"/>
  <c r="U583" i="1"/>
  <c r="V583" i="1"/>
  <c r="T584" i="1"/>
  <c r="U584" i="1"/>
  <c r="V584" i="1"/>
  <c r="Y584" i="1" s="1"/>
  <c r="T585" i="1"/>
  <c r="U585" i="1"/>
  <c r="V585" i="1"/>
  <c r="W585" i="1" s="1"/>
  <c r="T586" i="1"/>
  <c r="U586" i="1"/>
  <c r="V586" i="1"/>
  <c r="W586" i="1" s="1"/>
  <c r="T587" i="1"/>
  <c r="U587" i="1"/>
  <c r="V587" i="1"/>
  <c r="T588" i="1"/>
  <c r="U588" i="1"/>
  <c r="V588" i="1"/>
  <c r="X588" i="1" s="1"/>
  <c r="AC588" i="1" s="1"/>
  <c r="T589" i="1"/>
  <c r="U589" i="1"/>
  <c r="V589" i="1"/>
  <c r="T590" i="1"/>
  <c r="U590" i="1"/>
  <c r="V590" i="1"/>
  <c r="X590" i="1" s="1"/>
  <c r="T591" i="1"/>
  <c r="U591" i="1"/>
  <c r="V591" i="1"/>
  <c r="Y591" i="1" s="1"/>
  <c r="T592" i="1"/>
  <c r="U592" i="1"/>
  <c r="V592" i="1"/>
  <c r="X592" i="1" s="1"/>
  <c r="T593" i="1"/>
  <c r="U593" i="1"/>
  <c r="V593" i="1"/>
  <c r="X593" i="1" s="1"/>
  <c r="T594" i="1"/>
  <c r="U594" i="1"/>
  <c r="V594" i="1"/>
  <c r="X594" i="1" s="1"/>
  <c r="T595" i="1"/>
  <c r="U595" i="1"/>
  <c r="V595" i="1"/>
  <c r="W595" i="1" s="1"/>
  <c r="T596" i="1"/>
  <c r="U596" i="1"/>
  <c r="V596" i="1"/>
  <c r="X596" i="1" s="1"/>
  <c r="T597" i="1"/>
  <c r="U597" i="1"/>
  <c r="V597" i="1"/>
  <c r="X597" i="1" s="1"/>
  <c r="T598" i="1"/>
  <c r="U598" i="1"/>
  <c r="V598" i="1"/>
  <c r="T599" i="1"/>
  <c r="U599" i="1"/>
  <c r="V599" i="1"/>
  <c r="X599" i="1" s="1"/>
  <c r="T600" i="1"/>
  <c r="U600" i="1"/>
  <c r="V600" i="1"/>
  <c r="X600" i="1" s="1"/>
  <c r="T601" i="1"/>
  <c r="U601" i="1"/>
  <c r="V601" i="1"/>
  <c r="W601" i="1" s="1"/>
  <c r="T602" i="1"/>
  <c r="U602" i="1"/>
  <c r="V602" i="1"/>
  <c r="W602" i="1" s="1"/>
  <c r="T603" i="1"/>
  <c r="U603" i="1"/>
  <c r="V603" i="1"/>
  <c r="X603" i="1" s="1"/>
  <c r="T604" i="1"/>
  <c r="U604" i="1"/>
  <c r="V604" i="1"/>
  <c r="W604" i="1" s="1"/>
  <c r="T605" i="1"/>
  <c r="U605" i="1"/>
  <c r="V605" i="1"/>
  <c r="T606" i="1"/>
  <c r="U606" i="1"/>
  <c r="V606" i="1"/>
  <c r="T607" i="1"/>
  <c r="U607" i="1"/>
  <c r="V607" i="1"/>
  <c r="Y607" i="1" s="1"/>
  <c r="T608" i="1"/>
  <c r="U608" i="1"/>
  <c r="V608" i="1"/>
  <c r="W608" i="1" s="1"/>
  <c r="T609" i="1"/>
  <c r="U609" i="1"/>
  <c r="V609" i="1"/>
  <c r="T610" i="1"/>
  <c r="U610" i="1"/>
  <c r="V610" i="1"/>
  <c r="X610" i="1" s="1"/>
  <c r="T611" i="1"/>
  <c r="U611" i="1"/>
  <c r="V611" i="1"/>
  <c r="W611" i="1" s="1"/>
  <c r="T612" i="1"/>
  <c r="U612" i="1"/>
  <c r="V612" i="1"/>
  <c r="Y612" i="1" s="1"/>
  <c r="T613" i="1"/>
  <c r="U613" i="1"/>
  <c r="V613" i="1"/>
  <c r="W613" i="1" s="1"/>
  <c r="T614" i="1"/>
  <c r="U614" i="1"/>
  <c r="V614" i="1"/>
  <c r="T615" i="1"/>
  <c r="U615" i="1"/>
  <c r="V615" i="1"/>
  <c r="X615" i="1" s="1"/>
  <c r="T616" i="1"/>
  <c r="U616" i="1"/>
  <c r="V616" i="1"/>
  <c r="Y616" i="1" s="1"/>
  <c r="T617" i="1"/>
  <c r="U617" i="1"/>
  <c r="V617" i="1"/>
  <c r="W617" i="1" s="1"/>
  <c r="T618" i="1"/>
  <c r="U618" i="1"/>
  <c r="V618" i="1"/>
  <c r="X618" i="1" s="1"/>
  <c r="T619" i="1"/>
  <c r="U619" i="1"/>
  <c r="V619" i="1"/>
  <c r="Y619" i="1" s="1"/>
  <c r="T620" i="1"/>
  <c r="U620" i="1"/>
  <c r="V620" i="1"/>
  <c r="T621" i="1"/>
  <c r="U621" i="1"/>
  <c r="V621" i="1"/>
  <c r="X621" i="1" s="1"/>
  <c r="V64" i="1"/>
  <c r="W64" i="1" s="1"/>
  <c r="V65" i="1"/>
  <c r="W65" i="1" s="1"/>
  <c r="V66" i="1"/>
  <c r="W66" i="1" s="1"/>
  <c r="V67" i="1"/>
  <c r="V68" i="1"/>
  <c r="V69" i="1"/>
  <c r="V70" i="1"/>
  <c r="Y70" i="1" s="1"/>
  <c r="V71" i="1"/>
  <c r="V72" i="1"/>
  <c r="Y72" i="1" s="1"/>
  <c r="V73" i="1"/>
  <c r="Y73" i="1" s="1"/>
  <c r="V74" i="1"/>
  <c r="Y74" i="1" s="1"/>
  <c r="V75" i="1"/>
  <c r="X75" i="1" s="1"/>
  <c r="V76" i="1"/>
  <c r="Y76" i="1" s="1"/>
  <c r="V77" i="1"/>
  <c r="W77" i="1" s="1"/>
  <c r="V78" i="1"/>
  <c r="X78" i="1" s="1"/>
  <c r="V79" i="1"/>
  <c r="Y79" i="1" s="1"/>
  <c r="V80" i="1"/>
  <c r="V81" i="1"/>
  <c r="W81" i="1" s="1"/>
  <c r="V82" i="1"/>
  <c r="Y82" i="1" s="1"/>
  <c r="V83" i="1"/>
  <c r="V84" i="1"/>
  <c r="X84" i="1" s="1"/>
  <c r="V85" i="1"/>
  <c r="Y85" i="1" s="1"/>
  <c r="V86" i="1"/>
  <c r="Y86" i="1" s="1"/>
  <c r="V87" i="1"/>
  <c r="X87" i="1" s="1"/>
  <c r="V88" i="1"/>
  <c r="Y88" i="1" s="1"/>
  <c r="V89" i="1"/>
  <c r="X89" i="1" s="1"/>
  <c r="V90" i="1"/>
  <c r="W90" i="1" s="1"/>
  <c r="V91" i="1"/>
  <c r="V92" i="1"/>
  <c r="X92" i="1" s="1"/>
  <c r="V93" i="1"/>
  <c r="Y93" i="1" s="1"/>
  <c r="V94" i="1"/>
  <c r="Y94" i="1" s="1"/>
  <c r="V95" i="1"/>
  <c r="W95" i="1" s="1"/>
  <c r="V96" i="1"/>
  <c r="Y96" i="1" s="1"/>
  <c r="V97" i="1"/>
  <c r="Y97" i="1" s="1"/>
  <c r="V98" i="1"/>
  <c r="V99" i="1"/>
  <c r="X99" i="1" s="1"/>
  <c r="V100" i="1"/>
  <c r="Y100" i="1" s="1"/>
  <c r="V101" i="1"/>
  <c r="X101" i="1" s="1"/>
  <c r="V102" i="1"/>
  <c r="X102" i="1" s="1"/>
  <c r="V103" i="1"/>
  <c r="X103" i="1" s="1"/>
  <c r="V104" i="1"/>
  <c r="X104" i="1" s="1"/>
  <c r="V105" i="1"/>
  <c r="X105" i="1" s="1"/>
  <c r="V106" i="1"/>
  <c r="V107" i="1"/>
  <c r="X107" i="1" s="1"/>
  <c r="V108" i="1"/>
  <c r="V109" i="1"/>
  <c r="W109" i="1" s="1"/>
  <c r="V110" i="1"/>
  <c r="V111" i="1"/>
  <c r="Y111" i="1" s="1"/>
  <c r="V112" i="1"/>
  <c r="Y112" i="1" s="1"/>
  <c r="V113" i="1"/>
  <c r="X113" i="1" s="1"/>
  <c r="V114" i="1"/>
  <c r="W114" i="1" s="1"/>
  <c r="V115" i="1"/>
  <c r="Y115" i="1" s="1"/>
  <c r="V116" i="1"/>
  <c r="V117" i="1"/>
  <c r="W117" i="1" s="1"/>
  <c r="V118" i="1"/>
  <c r="W118" i="1" s="1"/>
  <c r="V119" i="1"/>
  <c r="X119" i="1" s="1"/>
  <c r="V120" i="1"/>
  <c r="Y120" i="1" s="1"/>
  <c r="V121" i="1"/>
  <c r="Y121" i="1" s="1"/>
  <c r="V122" i="1"/>
  <c r="W122" i="1"/>
  <c r="V123" i="1"/>
  <c r="W123" i="1" s="1"/>
  <c r="V124" i="1"/>
  <c r="W124" i="1" s="1"/>
  <c r="V125" i="1"/>
  <c r="X125" i="1" s="1"/>
  <c r="V126" i="1"/>
  <c r="W126" i="1" s="1"/>
  <c r="V127" i="1"/>
  <c r="W127" i="1" s="1"/>
  <c r="V128" i="1"/>
  <c r="X128" i="1" s="1"/>
  <c r="V129" i="1"/>
  <c r="Y129" i="1" s="1"/>
  <c r="V130" i="1"/>
  <c r="W130" i="1" s="1"/>
  <c r="V131" i="1"/>
  <c r="X131" i="1" s="1"/>
  <c r="V132" i="1"/>
  <c r="X132" i="1" s="1"/>
  <c r="V133" i="1"/>
  <c r="Y133" i="1" s="1"/>
  <c r="V134" i="1"/>
  <c r="V135" i="1"/>
  <c r="W135" i="1" s="1"/>
  <c r="V136" i="1"/>
  <c r="Y136" i="1" s="1"/>
  <c r="V137" i="1"/>
  <c r="X137" i="1" s="1"/>
  <c r="V138" i="1"/>
  <c r="X138" i="1" s="1"/>
  <c r="V139" i="1"/>
  <c r="Y139" i="1" s="1"/>
  <c r="V140" i="1"/>
  <c r="X140" i="1" s="1"/>
  <c r="V141" i="1"/>
  <c r="V142" i="1"/>
  <c r="W142" i="1" s="1"/>
  <c r="V143" i="1"/>
  <c r="X143" i="1" s="1"/>
  <c r="V144" i="1"/>
  <c r="W144" i="1" s="1"/>
  <c r="V145" i="1"/>
  <c r="Y145" i="1" s="1"/>
  <c r="V146" i="1"/>
  <c r="V147" i="1"/>
  <c r="Y147" i="1" s="1"/>
  <c r="V148" i="1"/>
  <c r="Y148" i="1" s="1"/>
  <c r="V149" i="1"/>
  <c r="V150" i="1"/>
  <c r="Y150" i="1" s="1"/>
  <c r="V151" i="1"/>
  <c r="Y151" i="1" s="1"/>
  <c r="V152" i="1"/>
  <c r="V153" i="1"/>
  <c r="W153" i="1" s="1"/>
  <c r="V154" i="1"/>
  <c r="X154" i="1" s="1"/>
  <c r="V155" i="1"/>
  <c r="W155" i="1" s="1"/>
  <c r="V156" i="1"/>
  <c r="X156" i="1" s="1"/>
  <c r="V157" i="1"/>
  <c r="Y157" i="1" s="1"/>
  <c r="V158" i="1"/>
  <c r="W158" i="1" s="1"/>
  <c r="V159" i="1"/>
  <c r="V160" i="1"/>
  <c r="Y160" i="1" s="1"/>
  <c r="V161" i="1"/>
  <c r="W161" i="1" s="1"/>
  <c r="V162" i="1"/>
  <c r="W162" i="1" s="1"/>
  <c r="V163" i="1"/>
  <c r="Y163" i="1" s="1"/>
  <c r="V164" i="1"/>
  <c r="X164" i="1" s="1"/>
  <c r="V165" i="1"/>
  <c r="W165" i="1" s="1"/>
  <c r="V166" i="1"/>
  <c r="Y166" i="1" s="1"/>
  <c r="V167" i="1"/>
  <c r="W167" i="1" s="1"/>
  <c r="V168" i="1"/>
  <c r="V169" i="1"/>
  <c r="Y169" i="1" s="1"/>
  <c r="V170" i="1"/>
  <c r="V171" i="1"/>
  <c r="W171" i="1" s="1"/>
  <c r="V172" i="1"/>
  <c r="Y172" i="1" s="1"/>
  <c r="V173" i="1"/>
  <c r="V174" i="1"/>
  <c r="X174" i="1" s="1"/>
  <c r="V175" i="1"/>
  <c r="X175" i="1" s="1"/>
  <c r="V176" i="1"/>
  <c r="X176" i="1" s="1"/>
  <c r="V177" i="1"/>
  <c r="W177" i="1" s="1"/>
  <c r="V178" i="1"/>
  <c r="V179" i="1"/>
  <c r="Y179" i="1" s="1"/>
  <c r="V180" i="1"/>
  <c r="V181" i="1"/>
  <c r="X181" i="1" s="1"/>
  <c r="V182" i="1"/>
  <c r="V183" i="1"/>
  <c r="V184" i="1"/>
  <c r="Y184" i="1" s="1"/>
  <c r="V185" i="1"/>
  <c r="W185" i="1" s="1"/>
  <c r="V186" i="1"/>
  <c r="X186" i="1" s="1"/>
  <c r="V187" i="1"/>
  <c r="Y187" i="1" s="1"/>
  <c r="V188" i="1"/>
  <c r="V189" i="1"/>
  <c r="W189" i="1" s="1"/>
  <c r="V190" i="1"/>
  <c r="Y190" i="1" s="1"/>
  <c r="V191" i="1"/>
  <c r="X191" i="1" s="1"/>
  <c r="V192" i="1"/>
  <c r="X192" i="1" s="1"/>
  <c r="V193" i="1"/>
  <c r="Y193" i="1" s="1"/>
  <c r="V194" i="1"/>
  <c r="V195" i="1"/>
  <c r="V196" i="1"/>
  <c r="W196" i="1" s="1"/>
  <c r="V197" i="1"/>
  <c r="X197" i="1" s="1"/>
  <c r="V198" i="1"/>
  <c r="W198" i="1" s="1"/>
  <c r="V199" i="1"/>
  <c r="X199" i="1" s="1"/>
  <c r="V200" i="1"/>
  <c r="V201" i="1"/>
  <c r="V202" i="1"/>
  <c r="Y202" i="1" s="1"/>
  <c r="V203" i="1"/>
  <c r="W203" i="1" s="1"/>
  <c r="V204" i="1"/>
  <c r="W204" i="1" s="1"/>
  <c r="V205" i="1"/>
  <c r="Y205" i="1" s="1"/>
  <c r="V206" i="1"/>
  <c r="V207" i="1"/>
  <c r="W207" i="1" s="1"/>
  <c r="V208" i="1"/>
  <c r="V209" i="1"/>
  <c r="V210" i="1"/>
  <c r="W210" i="1" s="1"/>
  <c r="V211" i="1"/>
  <c r="X211" i="1" s="1"/>
  <c r="V212" i="1"/>
  <c r="X212" i="1" s="1"/>
  <c r="V213" i="1"/>
  <c r="W213" i="1" s="1"/>
  <c r="V214" i="1"/>
  <c r="Y214" i="1" s="1"/>
  <c r="V215" i="1"/>
  <c r="X215" i="1" s="1"/>
  <c r="V216" i="1"/>
  <c r="V217" i="1"/>
  <c r="Y217" i="1" s="1"/>
  <c r="V218" i="1"/>
  <c r="W218" i="1" s="1"/>
  <c r="V219" i="1"/>
  <c r="X219" i="1" s="1"/>
  <c r="V220" i="1"/>
  <c r="Y220" i="1" s="1"/>
  <c r="V221" i="1"/>
  <c r="V222" i="1"/>
  <c r="W222" i="1" s="1"/>
  <c r="V223" i="1"/>
  <c r="Y223" i="1" s="1"/>
  <c r="V224" i="1"/>
  <c r="V225" i="1"/>
  <c r="Y225" i="1" s="1"/>
  <c r="V226" i="1"/>
  <c r="Y226" i="1" s="1"/>
  <c r="V227" i="1"/>
  <c r="V228" i="1"/>
  <c r="Y228" i="1" s="1"/>
  <c r="V229" i="1"/>
  <c r="Y229" i="1" s="1"/>
  <c r="V230" i="1"/>
  <c r="W230" i="1" s="1"/>
  <c r="V231" i="1"/>
  <c r="W231" i="1" s="1"/>
  <c r="V232" i="1"/>
  <c r="V233" i="1"/>
  <c r="X233" i="1" s="1"/>
  <c r="V234" i="1"/>
  <c r="W234" i="1" s="1"/>
  <c r="V235" i="1"/>
  <c r="X235" i="1" s="1"/>
  <c r="V236" i="1"/>
  <c r="X236" i="1" s="1"/>
  <c r="V237" i="1"/>
  <c r="Y237" i="1" s="1"/>
  <c r="V238" i="1"/>
  <c r="W238" i="1" s="1"/>
  <c r="V239" i="1"/>
  <c r="W239" i="1" s="1"/>
  <c r="V240" i="1"/>
  <c r="Y240" i="1" s="1"/>
  <c r="V241" i="1"/>
  <c r="Y241" i="1" s="1"/>
  <c r="V242" i="1"/>
  <c r="V243" i="1"/>
  <c r="Y243" i="1" s="1"/>
  <c r="V244" i="1"/>
  <c r="V245" i="1"/>
  <c r="W245" i="1" s="1"/>
  <c r="V246" i="1"/>
  <c r="W246" i="1" s="1"/>
  <c r="V247" i="1"/>
  <c r="W247" i="1" s="1"/>
  <c r="V248" i="1"/>
  <c r="W248" i="1" s="1"/>
  <c r="V249" i="1"/>
  <c r="X249" i="1" s="1"/>
  <c r="V250" i="1"/>
  <c r="Y250" i="1" s="1"/>
  <c r="V251" i="1"/>
  <c r="W251" i="1" s="1"/>
  <c r="V252" i="1"/>
  <c r="V253" i="1"/>
  <c r="Y253" i="1" s="1"/>
  <c r="V254" i="1"/>
  <c r="V255" i="1"/>
  <c r="V256" i="1"/>
  <c r="Y256" i="1" s="1"/>
  <c r="V257" i="1"/>
  <c r="W257" i="1" s="1"/>
  <c r="V258" i="1"/>
  <c r="Y258" i="1" s="1"/>
  <c r="V259" i="1"/>
  <c r="Y259" i="1" s="1"/>
  <c r="V260" i="1"/>
  <c r="V261" i="1"/>
  <c r="V262" i="1"/>
  <c r="Y262" i="1" s="1"/>
  <c r="V263" i="1"/>
  <c r="W263" i="1" s="1"/>
  <c r="V264" i="1"/>
  <c r="Y264" i="1" s="1"/>
  <c r="V265" i="1"/>
  <c r="Y265" i="1" s="1"/>
  <c r="V266" i="1"/>
  <c r="W266" i="1" s="1"/>
  <c r="V267" i="1"/>
  <c r="X267" i="1" s="1"/>
  <c r="V268" i="1"/>
  <c r="Y268" i="1" s="1"/>
  <c r="V269" i="1"/>
  <c r="W269" i="1" s="1"/>
  <c r="V270" i="1"/>
  <c r="W270" i="1" s="1"/>
  <c r="V271" i="1"/>
  <c r="V272" i="1"/>
  <c r="W272" i="1" s="1"/>
  <c r="V273" i="1"/>
  <c r="Y273" i="1" s="1"/>
  <c r="V274" i="1"/>
  <c r="Y274" i="1" s="1"/>
  <c r="V275" i="1"/>
  <c r="V276" i="1"/>
  <c r="W276" i="1" s="1"/>
  <c r="V277" i="1"/>
  <c r="Y277" i="1" s="1"/>
  <c r="V278" i="1"/>
  <c r="V279" i="1"/>
  <c r="Y279" i="1" s="1"/>
  <c r="V280" i="1"/>
  <c r="Y280" i="1" s="1"/>
  <c r="V281" i="1"/>
  <c r="W281" i="1" s="1"/>
  <c r="V282" i="1"/>
  <c r="V283" i="1"/>
  <c r="Y283" i="1" s="1"/>
  <c r="V284" i="1"/>
  <c r="X284" i="1" s="1"/>
  <c r="V285" i="1"/>
  <c r="W285" i="1" s="1"/>
  <c r="V286" i="1"/>
  <c r="Y286" i="1" s="1"/>
  <c r="V287" i="1"/>
  <c r="W287" i="1" s="1"/>
  <c r="V288" i="1"/>
  <c r="V289" i="1"/>
  <c r="Y289" i="1" s="1"/>
  <c r="V290" i="1"/>
  <c r="W290" i="1" s="1"/>
  <c r="V291" i="1"/>
  <c r="Y291" i="1" s="1"/>
  <c r="V292" i="1"/>
  <c r="Y292" i="1" s="1"/>
  <c r="V293" i="1"/>
  <c r="W293" i="1" s="1"/>
  <c r="V294" i="1"/>
  <c r="Y294" i="1" s="1"/>
  <c r="V295" i="1"/>
  <c r="Y295" i="1" s="1"/>
  <c r="V296" i="1"/>
  <c r="X296" i="1" s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U3" i="1"/>
  <c r="T3" i="1"/>
  <c r="V4" i="1"/>
  <c r="W4" i="1" s="1"/>
  <c r="V5" i="1"/>
  <c r="V6" i="1"/>
  <c r="V7" i="1"/>
  <c r="V8" i="1"/>
  <c r="Y8" i="1" s="1"/>
  <c r="V9" i="1"/>
  <c r="V10" i="1"/>
  <c r="X10" i="1" s="1"/>
  <c r="V11" i="1"/>
  <c r="Y11" i="1" s="1"/>
  <c r="V12" i="1"/>
  <c r="W12" i="1" s="1"/>
  <c r="V13" i="1"/>
  <c r="V14" i="1"/>
  <c r="Y14" i="1" s="1"/>
  <c r="V15" i="1"/>
  <c r="V16" i="1"/>
  <c r="Y16" i="1" s="1"/>
  <c r="V17" i="1"/>
  <c r="Y17" i="1" s="1"/>
  <c r="V18" i="1"/>
  <c r="V19" i="1"/>
  <c r="Y19" i="1" s="1"/>
  <c r="V20" i="1"/>
  <c r="Y20" i="1" s="1"/>
  <c r="V21" i="1"/>
  <c r="V22" i="1"/>
  <c r="Y22" i="1" s="1"/>
  <c r="V23" i="1"/>
  <c r="V24" i="1"/>
  <c r="W24" i="1" s="1"/>
  <c r="V25" i="1"/>
  <c r="Y25" i="1" s="1"/>
  <c r="V26" i="1"/>
  <c r="Y26" i="1" s="1"/>
  <c r="V27" i="1"/>
  <c r="V28" i="1"/>
  <c r="X28" i="1" s="1"/>
  <c r="V29" i="1"/>
  <c r="Y29" i="1" s="1"/>
  <c r="V30" i="1"/>
  <c r="V31" i="1"/>
  <c r="W31" i="1" s="1"/>
  <c r="V32" i="1"/>
  <c r="Y32" i="1" s="1"/>
  <c r="V33" i="1"/>
  <c r="V34" i="1"/>
  <c r="W34" i="1" s="1"/>
  <c r="V35" i="1"/>
  <c r="V36" i="1"/>
  <c r="V37" i="1"/>
  <c r="Y37" i="1" s="1"/>
  <c r="V38" i="1"/>
  <c r="Y38" i="1" s="1"/>
  <c r="V39" i="1"/>
  <c r="V40" i="1"/>
  <c r="X40" i="1" s="1"/>
  <c r="V41" i="1"/>
  <c r="W41" i="1" s="1"/>
  <c r="V42" i="1"/>
  <c r="V43" i="1"/>
  <c r="Y43" i="1" s="1"/>
  <c r="V44" i="1"/>
  <c r="X44" i="1" s="1"/>
  <c r="V45" i="1"/>
  <c r="V46" i="1"/>
  <c r="Y46" i="1" s="1"/>
  <c r="V47" i="1"/>
  <c r="W47" i="1" s="1"/>
  <c r="V48" i="1"/>
  <c r="W48" i="1" s="1"/>
  <c r="V49" i="1"/>
  <c r="W49" i="1" s="1"/>
  <c r="V50" i="1"/>
  <c r="Y50" i="1" s="1"/>
  <c r="V51" i="1"/>
  <c r="W51" i="1" s="1"/>
  <c r="V52" i="1"/>
  <c r="Y52" i="1" s="1"/>
  <c r="V53" i="1"/>
  <c r="V54" i="1"/>
  <c r="V55" i="1"/>
  <c r="Y55" i="1" s="1"/>
  <c r="V56" i="1"/>
  <c r="W56" i="1" s="1"/>
  <c r="V57" i="1"/>
  <c r="V58" i="1"/>
  <c r="Y58" i="1" s="1"/>
  <c r="V59" i="1"/>
  <c r="V60" i="1"/>
  <c r="V61" i="1"/>
  <c r="V62" i="1"/>
  <c r="Y62" i="1" s="1"/>
  <c r="V63" i="1"/>
  <c r="W63" i="1" s="1"/>
  <c r="V3" i="1"/>
  <c r="X3" i="1" s="1"/>
  <c r="AC89" i="1" l="1"/>
  <c r="AG89" i="1" s="1"/>
  <c r="AC267" i="1"/>
  <c r="AG267" i="1" s="1"/>
  <c r="AC99" i="1"/>
  <c r="AG99" i="1" s="1"/>
  <c r="AC621" i="1"/>
  <c r="AG621" i="1" s="1"/>
  <c r="AC84" i="1"/>
  <c r="AG84" i="1" s="1"/>
  <c r="AC596" i="1"/>
  <c r="AG596" i="1" s="1"/>
  <c r="AC564" i="1"/>
  <c r="AG564" i="1" s="1"/>
  <c r="AC552" i="1"/>
  <c r="AG552" i="1" s="1"/>
  <c r="AC516" i="1"/>
  <c r="AG516" i="1" s="1"/>
  <c r="AC480" i="1"/>
  <c r="AG480" i="1" s="1"/>
  <c r="AC468" i="1"/>
  <c r="AG468" i="1" s="1"/>
  <c r="AC460" i="1"/>
  <c r="AG460" i="1" s="1"/>
  <c r="AC104" i="1"/>
  <c r="AG104" i="1" s="1"/>
  <c r="AC103" i="1"/>
  <c r="AG103" i="1" s="1"/>
  <c r="AC197" i="1"/>
  <c r="AG197" i="1" s="1"/>
  <c r="AC137" i="1"/>
  <c r="AG137" i="1" s="1"/>
  <c r="AC610" i="1"/>
  <c r="AG610" i="1" s="1"/>
  <c r="AC590" i="1"/>
  <c r="AG590" i="1" s="1"/>
  <c r="AC526" i="1"/>
  <c r="AG526" i="1" s="1"/>
  <c r="AC490" i="1"/>
  <c r="AG490" i="1" s="1"/>
  <c r="AC113" i="1"/>
  <c r="AG113" i="1" s="1"/>
  <c r="AC10" i="1"/>
  <c r="AG10" i="1" s="1"/>
  <c r="AC219" i="1"/>
  <c r="AG219" i="1" s="1"/>
  <c r="AC87" i="1"/>
  <c r="AG87" i="1" s="1"/>
  <c r="AC75" i="1"/>
  <c r="AG75" i="1" s="1"/>
  <c r="AC597" i="1"/>
  <c r="AG597" i="1" s="1"/>
  <c r="AC593" i="1"/>
  <c r="AG593" i="1" s="1"/>
  <c r="AC565" i="1"/>
  <c r="AG565" i="1" s="1"/>
  <c r="AC561" i="1"/>
  <c r="AG561" i="1" s="1"/>
  <c r="AC521" i="1"/>
  <c r="AG521" i="1" s="1"/>
  <c r="AC465" i="1"/>
  <c r="AG465" i="1" s="1"/>
  <c r="AC44" i="1"/>
  <c r="AG44" i="1" s="1"/>
  <c r="AC156" i="1"/>
  <c r="AG156" i="1" s="1"/>
  <c r="AC132" i="1"/>
  <c r="AG132" i="1" s="1"/>
  <c r="AC191" i="1"/>
  <c r="AG191" i="1" s="1"/>
  <c r="AC143" i="1"/>
  <c r="AG143" i="1" s="1"/>
  <c r="AC600" i="1"/>
  <c r="AG600" i="1" s="1"/>
  <c r="AC592" i="1"/>
  <c r="AG592" i="1" s="1"/>
  <c r="AC580" i="1"/>
  <c r="AG580" i="1" s="1"/>
  <c r="Z536" i="1"/>
  <c r="AD536" i="1" s="1"/>
  <c r="AC532" i="1"/>
  <c r="AG532" i="1" s="1"/>
  <c r="AC512" i="1"/>
  <c r="AG512" i="1" s="1"/>
  <c r="AC464" i="1"/>
  <c r="AG464" i="1" s="1"/>
  <c r="AC154" i="1"/>
  <c r="AC119" i="1"/>
  <c r="AG119" i="1" s="1"/>
  <c r="AC107" i="1"/>
  <c r="AG107" i="1" s="1"/>
  <c r="AC235" i="1"/>
  <c r="AG235" i="1" s="1"/>
  <c r="AC199" i="1"/>
  <c r="AG199" i="1" s="1"/>
  <c r="AC174" i="1"/>
  <c r="AG174" i="1" s="1"/>
  <c r="AC138" i="1"/>
  <c r="AG138" i="1" s="1"/>
  <c r="AC233" i="1"/>
  <c r="AG233" i="1" s="1"/>
  <c r="AC125" i="1"/>
  <c r="AG125" i="1" s="1"/>
  <c r="AC102" i="1"/>
  <c r="AG102" i="1" s="1"/>
  <c r="AC78" i="1"/>
  <c r="AG78" i="1" s="1"/>
  <c r="AC618" i="1"/>
  <c r="AG618" i="1" s="1"/>
  <c r="AC594" i="1"/>
  <c r="AG594" i="1" s="1"/>
  <c r="AC506" i="1"/>
  <c r="AG506" i="1" s="1"/>
  <c r="AC470" i="1"/>
  <c r="AG470" i="1" s="1"/>
  <c r="AC101" i="1"/>
  <c r="AG101" i="1" s="1"/>
  <c r="AC569" i="1"/>
  <c r="AG569" i="1" s="1"/>
  <c r="AC473" i="1"/>
  <c r="AG473" i="1" s="1"/>
  <c r="AA217" i="1"/>
  <c r="AC181" i="1"/>
  <c r="AG181" i="1" s="1"/>
  <c r="AC192" i="1"/>
  <c r="AG192" i="1" s="1"/>
  <c r="AC215" i="1"/>
  <c r="AG215" i="1" s="1"/>
  <c r="AC131" i="1"/>
  <c r="AG131" i="1" s="1"/>
  <c r="AC3" i="1"/>
  <c r="AG3" i="1" s="1"/>
  <c r="AC40" i="1"/>
  <c r="AG40" i="1" s="1"/>
  <c r="AC28" i="1"/>
  <c r="AG28" i="1" s="1"/>
  <c r="AC249" i="1"/>
  <c r="AG249" i="1" s="1"/>
  <c r="AC211" i="1"/>
  <c r="AG211" i="1" s="1"/>
  <c r="AC175" i="1"/>
  <c r="AG175" i="1" s="1"/>
  <c r="AC92" i="1"/>
  <c r="AG92" i="1" s="1"/>
  <c r="AC186" i="1"/>
  <c r="AG186" i="1" s="1"/>
  <c r="AC296" i="1"/>
  <c r="AG296" i="1" s="1"/>
  <c r="AC284" i="1"/>
  <c r="AG284" i="1" s="1"/>
  <c r="AC236" i="1"/>
  <c r="AG236" i="1" s="1"/>
  <c r="AC212" i="1"/>
  <c r="AG212" i="1" s="1"/>
  <c r="AC176" i="1"/>
  <c r="AG176" i="1" s="1"/>
  <c r="AC164" i="1"/>
  <c r="AG164" i="1" s="1"/>
  <c r="AC140" i="1"/>
  <c r="AG140" i="1" s="1"/>
  <c r="AC128" i="1"/>
  <c r="AG128" i="1" s="1"/>
  <c r="AC105" i="1"/>
  <c r="AG105" i="1" s="1"/>
  <c r="AC615" i="1"/>
  <c r="AG615" i="1" s="1"/>
  <c r="AC603" i="1"/>
  <c r="AG603" i="1" s="1"/>
  <c r="AC599" i="1"/>
  <c r="AG599" i="1" s="1"/>
  <c r="AC559" i="1"/>
  <c r="AG559" i="1" s="1"/>
  <c r="AC555" i="1"/>
  <c r="AG555" i="1" s="1"/>
  <c r="AA547" i="1"/>
  <c r="AC543" i="1"/>
  <c r="AG543" i="1" s="1"/>
  <c r="AC539" i="1"/>
  <c r="AG539" i="1" s="1"/>
  <c r="AG535" i="1"/>
  <c r="AC535" i="1"/>
  <c r="AC531" i="1"/>
  <c r="AG531" i="1" s="1"/>
  <c r="AC523" i="1"/>
  <c r="AG523" i="1" s="1"/>
  <c r="AC503" i="1"/>
  <c r="AG503" i="1" s="1"/>
  <c r="AC491" i="1"/>
  <c r="AG491" i="1" s="1"/>
  <c r="AC483" i="1"/>
  <c r="AG483" i="1" s="1"/>
  <c r="AC467" i="1"/>
  <c r="AG467" i="1" s="1"/>
  <c r="X214" i="1"/>
  <c r="X558" i="1"/>
  <c r="AB558" i="1" s="1"/>
  <c r="W597" i="1"/>
  <c r="W273" i="1"/>
  <c r="X250" i="1"/>
  <c r="X58" i="1"/>
  <c r="W139" i="1"/>
  <c r="Y544" i="1"/>
  <c r="X289" i="1"/>
  <c r="Y574" i="1"/>
  <c r="X514" i="1"/>
  <c r="AB514" i="1" s="1"/>
  <c r="W62" i="1"/>
  <c r="AA62" i="1" s="1"/>
  <c r="X52" i="1"/>
  <c r="X595" i="1"/>
  <c r="AB595" i="1" s="1"/>
  <c r="W136" i="1"/>
  <c r="Y523" i="1"/>
  <c r="W530" i="1"/>
  <c r="Y102" i="1"/>
  <c r="X165" i="1"/>
  <c r="X121" i="1"/>
  <c r="W217" i="1"/>
  <c r="X129" i="1"/>
  <c r="W249" i="1"/>
  <c r="X96" i="1"/>
  <c r="Y621" i="1"/>
  <c r="Y592" i="1"/>
  <c r="Y562" i="1"/>
  <c r="Y514" i="1"/>
  <c r="W52" i="1"/>
  <c r="AA52" i="1" s="1"/>
  <c r="W256" i="1"/>
  <c r="AA256" i="1" s="1"/>
  <c r="Y494" i="1"/>
  <c r="W214" i="1"/>
  <c r="AA214" i="1" s="1"/>
  <c r="W103" i="1"/>
  <c r="X591" i="1"/>
  <c r="Y538" i="1"/>
  <c r="W286" i="1"/>
  <c r="W591" i="1"/>
  <c r="X572" i="1"/>
  <c r="Y530" i="1"/>
  <c r="W264" i="1"/>
  <c r="AA264" i="1" s="1"/>
  <c r="X612" i="1"/>
  <c r="Y597" i="1"/>
  <c r="X541" i="1"/>
  <c r="W516" i="1"/>
  <c r="W280" i="1"/>
  <c r="AA280" i="1" s="1"/>
  <c r="X222" i="1"/>
  <c r="X139" i="1"/>
  <c r="W102" i="1"/>
  <c r="AB102" i="1" s="1"/>
  <c r="Y600" i="1"/>
  <c r="Y594" i="1"/>
  <c r="W588" i="1"/>
  <c r="W534" i="1"/>
  <c r="X37" i="1"/>
  <c r="W26" i="1"/>
  <c r="AA26" i="1" s="1"/>
  <c r="X190" i="1"/>
  <c r="W580" i="1"/>
  <c r="W559" i="1"/>
  <c r="W552" i="1"/>
  <c r="Y164" i="1"/>
  <c r="W294" i="1"/>
  <c r="W145" i="1"/>
  <c r="AA145" i="1" s="1"/>
  <c r="W137" i="1"/>
  <c r="W99" i="1"/>
  <c r="AB99" i="1" s="1"/>
  <c r="X265" i="1"/>
  <c r="W237" i="1"/>
  <c r="Y599" i="1"/>
  <c r="W590" i="1"/>
  <c r="W482" i="1"/>
  <c r="Y236" i="1"/>
  <c r="X579" i="1"/>
  <c r="W43" i="1"/>
  <c r="W283" i="1"/>
  <c r="AA283" i="1" s="1"/>
  <c r="X264" i="1"/>
  <c r="W236" i="1"/>
  <c r="W175" i="1"/>
  <c r="W143" i="1"/>
  <c r="W105" i="1"/>
  <c r="AB105" i="1" s="1"/>
  <c r="Y165" i="1"/>
  <c r="Y608" i="1"/>
  <c r="Y601" i="1"/>
  <c r="W579" i="1"/>
  <c r="X568" i="1"/>
  <c r="AB568" i="1" s="1"/>
  <c r="Y561" i="1"/>
  <c r="Y554" i="1"/>
  <c r="Y485" i="1"/>
  <c r="Y586" i="1"/>
  <c r="Y537" i="1"/>
  <c r="W240" i="1"/>
  <c r="AA240" i="1" s="1"/>
  <c r="W160" i="1"/>
  <c r="W125" i="1"/>
  <c r="X100" i="1"/>
  <c r="Y613" i="1"/>
  <c r="X586" i="1"/>
  <c r="AB586" i="1" s="1"/>
  <c r="Y552" i="1"/>
  <c r="X537" i="1"/>
  <c r="AB537" i="1" s="1"/>
  <c r="X534" i="1"/>
  <c r="X500" i="1"/>
  <c r="X482" i="1"/>
  <c r="W32" i="1"/>
  <c r="AA32" i="1" s="1"/>
  <c r="W289" i="1"/>
  <c r="W229" i="1"/>
  <c r="AA229" i="1" s="1"/>
  <c r="W212" i="1"/>
  <c r="W87" i="1"/>
  <c r="Y615" i="1"/>
  <c r="Y519" i="1"/>
  <c r="X478" i="1"/>
  <c r="AB478" i="1" s="1"/>
  <c r="W474" i="1"/>
  <c r="AA474" i="1" s="1"/>
  <c r="X11" i="1"/>
  <c r="X262" i="1"/>
  <c r="W228" i="1"/>
  <c r="W211" i="1"/>
  <c r="W191" i="1"/>
  <c r="W129" i="1"/>
  <c r="AA129" i="1" s="1"/>
  <c r="X111" i="1"/>
  <c r="W96" i="1"/>
  <c r="W621" i="1"/>
  <c r="AB621" i="1" s="1"/>
  <c r="X608" i="1"/>
  <c r="AB608" i="1" s="1"/>
  <c r="X574" i="1"/>
  <c r="X560" i="1"/>
  <c r="X544" i="1"/>
  <c r="AB544" i="1" s="1"/>
  <c r="W541" i="1"/>
  <c r="AA541" i="1" s="1"/>
  <c r="X538" i="1"/>
  <c r="W501" i="1"/>
  <c r="Y466" i="1"/>
  <c r="X55" i="1"/>
  <c r="X38" i="1"/>
  <c r="W11" i="1"/>
  <c r="X294" i="1"/>
  <c r="W279" i="1"/>
  <c r="W262" i="1"/>
  <c r="AA262" i="1" s="1"/>
  <c r="X217" i="1"/>
  <c r="AC217" i="1" s="1"/>
  <c r="W172" i="1"/>
  <c r="Z172" i="1" s="1"/>
  <c r="AD172" i="1" s="1"/>
  <c r="X136" i="1"/>
  <c r="AC136" i="1" s="1"/>
  <c r="W120" i="1"/>
  <c r="W111" i="1"/>
  <c r="AA111" i="1" s="1"/>
  <c r="X85" i="1"/>
  <c r="Y590" i="1"/>
  <c r="X584" i="1"/>
  <c r="Y550" i="1"/>
  <c r="W547" i="1"/>
  <c r="Y535" i="1"/>
  <c r="W55" i="1"/>
  <c r="W46" i="1"/>
  <c r="W38" i="1"/>
  <c r="AA38" i="1" s="1"/>
  <c r="X19" i="1"/>
  <c r="X550" i="1"/>
  <c r="AB550" i="1" s="1"/>
  <c r="Y480" i="1"/>
  <c r="X62" i="1"/>
  <c r="W19" i="1"/>
  <c r="W10" i="1"/>
  <c r="W233" i="1"/>
  <c r="Y595" i="1"/>
  <c r="X486" i="1"/>
  <c r="AB486" i="1" s="1"/>
  <c r="W464" i="1"/>
  <c r="W584" i="1"/>
  <c r="Z584" i="1" s="1"/>
  <c r="AD584" i="1" s="1"/>
  <c r="Y558" i="1"/>
  <c r="W531" i="1"/>
  <c r="X519" i="1"/>
  <c r="Y500" i="1"/>
  <c r="X494" i="1"/>
  <c r="AB494" i="1" s="1"/>
  <c r="X485" i="1"/>
  <c r="AB485" i="1" s="1"/>
  <c r="X466" i="1"/>
  <c r="X145" i="1"/>
  <c r="W131" i="1"/>
  <c r="Y249" i="1"/>
  <c r="Y142" i="1"/>
  <c r="W615" i="1"/>
  <c r="W612" i="1"/>
  <c r="AA612" i="1" s="1"/>
  <c r="W560" i="1"/>
  <c r="AA560" i="1" s="1"/>
  <c r="X536" i="1"/>
  <c r="X496" i="1"/>
  <c r="Y478" i="1"/>
  <c r="Y468" i="1"/>
  <c r="Y246" i="1"/>
  <c r="Y130" i="1"/>
  <c r="W594" i="1"/>
  <c r="Y527" i="1"/>
  <c r="X499" i="1"/>
  <c r="AB499" i="1" s="1"/>
  <c r="Y486" i="1"/>
  <c r="W468" i="1"/>
  <c r="Y465" i="1"/>
  <c r="X462" i="1"/>
  <c r="Y175" i="1"/>
  <c r="Y235" i="1"/>
  <c r="Y103" i="1"/>
  <c r="Y64" i="1"/>
  <c r="Y104" i="1"/>
  <c r="X50" i="1"/>
  <c r="X25" i="1"/>
  <c r="X243" i="1"/>
  <c r="X193" i="1"/>
  <c r="Y196" i="1"/>
  <c r="Y63" i="1"/>
  <c r="Y247" i="1"/>
  <c r="Y140" i="1"/>
  <c r="X32" i="1"/>
  <c r="W25" i="1"/>
  <c r="AA25" i="1" s="1"/>
  <c r="X16" i="1"/>
  <c r="X283" i="1"/>
  <c r="W267" i="1"/>
  <c r="W243" i="1"/>
  <c r="W235" i="1"/>
  <c r="X228" i="1"/>
  <c r="W193" i="1"/>
  <c r="AA193" i="1" s="1"/>
  <c r="X120" i="1"/>
  <c r="W112" i="1"/>
  <c r="AA112" i="1" s="1"/>
  <c r="W104" i="1"/>
  <c r="Y87" i="1"/>
  <c r="W535" i="1"/>
  <c r="W526" i="1"/>
  <c r="W523" i="1"/>
  <c r="Y477" i="1"/>
  <c r="AG588" i="1"/>
  <c r="Y127" i="1"/>
  <c r="Y125" i="1"/>
  <c r="Y222" i="1"/>
  <c r="Y124" i="1"/>
  <c r="W58" i="1"/>
  <c r="AA58" i="1" s="1"/>
  <c r="W37" i="1"/>
  <c r="AA37" i="1" s="1"/>
  <c r="X22" i="1"/>
  <c r="W16" i="1"/>
  <c r="W274" i="1"/>
  <c r="X253" i="1"/>
  <c r="X247" i="1"/>
  <c r="AB247" i="1" s="1"/>
  <c r="X157" i="1"/>
  <c r="Y296" i="1"/>
  <c r="Y119" i="1"/>
  <c r="Y107" i="1"/>
  <c r="Y48" i="1"/>
  <c r="Y99" i="1"/>
  <c r="X43" i="1"/>
  <c r="W22" i="1"/>
  <c r="AB22" i="1" s="1"/>
  <c r="X280" i="1"/>
  <c r="W253" i="1"/>
  <c r="X240" i="1"/>
  <c r="X172" i="1"/>
  <c r="AC172" i="1" s="1"/>
  <c r="W157" i="1"/>
  <c r="W75" i="1"/>
  <c r="AB75" i="1" s="1"/>
  <c r="Y211" i="1"/>
  <c r="Y162" i="1"/>
  <c r="Y75" i="1"/>
  <c r="X562" i="1"/>
  <c r="AB562" i="1" s="1"/>
  <c r="X554" i="1"/>
  <c r="W521" i="1"/>
  <c r="Y516" i="1"/>
  <c r="X501" i="1"/>
  <c r="AC501" i="1" s="1"/>
  <c r="Y499" i="1"/>
  <c r="Y238" i="1"/>
  <c r="Y47" i="1"/>
  <c r="Y270" i="1"/>
  <c r="Y114" i="1"/>
  <c r="Y570" i="1"/>
  <c r="Y126" i="1"/>
  <c r="W50" i="1"/>
  <c r="X14" i="1"/>
  <c r="X291" i="1"/>
  <c r="W265" i="1"/>
  <c r="AA265" i="1" s="1"/>
  <c r="X258" i="1"/>
  <c r="X246" i="1"/>
  <c r="X226" i="1"/>
  <c r="X147" i="1"/>
  <c r="W140" i="1"/>
  <c r="X127" i="1"/>
  <c r="AB127" i="1" s="1"/>
  <c r="W121" i="1"/>
  <c r="Z121" i="1" s="1"/>
  <c r="AD121" i="1" s="1"/>
  <c r="X114" i="1"/>
  <c r="AB114" i="1" s="1"/>
  <c r="W94" i="1"/>
  <c r="Y267" i="1"/>
  <c r="Y198" i="1"/>
  <c r="Y113" i="1"/>
  <c r="W610" i="1"/>
  <c r="Y593" i="1"/>
  <c r="Y588" i="1"/>
  <c r="X570" i="1"/>
  <c r="AB570" i="1" s="1"/>
  <c r="Y564" i="1"/>
  <c r="Y526" i="1"/>
  <c r="Y490" i="1"/>
  <c r="X476" i="1"/>
  <c r="Y49" i="1"/>
  <c r="Y24" i="1"/>
  <c r="X26" i="1"/>
  <c r="W20" i="1"/>
  <c r="W14" i="1"/>
  <c r="W291" i="1"/>
  <c r="X279" i="1"/>
  <c r="AC279" i="1" s="1"/>
  <c r="W258" i="1"/>
  <c r="AA258" i="1" s="1"/>
  <c r="W226" i="1"/>
  <c r="AB226" i="1" s="1"/>
  <c r="W147" i="1"/>
  <c r="W107" i="1"/>
  <c r="Y197" i="1"/>
  <c r="Y143" i="1"/>
  <c r="Y66" i="1"/>
  <c r="W607" i="1"/>
  <c r="AA607" i="1" s="1"/>
  <c r="W593" i="1"/>
  <c r="AB593" i="1" s="1"/>
  <c r="W564" i="1"/>
  <c r="Y531" i="1"/>
  <c r="W490" i="1"/>
  <c r="W476" i="1"/>
  <c r="Y473" i="1"/>
  <c r="Y464" i="1"/>
  <c r="Y59" i="1"/>
  <c r="X59" i="1"/>
  <c r="W39" i="1"/>
  <c r="Y39" i="1"/>
  <c r="X7" i="1"/>
  <c r="Y7" i="1"/>
  <c r="W6" i="1"/>
  <c r="Y6" i="1"/>
  <c r="Y219" i="1"/>
  <c r="W219" i="1"/>
  <c r="AB219" i="1" s="1"/>
  <c r="W5" i="1"/>
  <c r="Y5" i="1"/>
  <c r="Y469" i="1"/>
  <c r="W469" i="1"/>
  <c r="X469" i="1"/>
  <c r="X232" i="1"/>
  <c r="Y232" i="1"/>
  <c r="W232" i="1"/>
  <c r="W141" i="1"/>
  <c r="Y141" i="1"/>
  <c r="X17" i="1"/>
  <c r="W271" i="1"/>
  <c r="X271" i="1"/>
  <c r="W108" i="1"/>
  <c r="Y108" i="1"/>
  <c r="Y472" i="1"/>
  <c r="X472" i="1"/>
  <c r="AB472" i="1" s="1"/>
  <c r="Y23" i="1"/>
  <c r="W23" i="1"/>
  <c r="X23" i="1"/>
  <c r="W17" i="1"/>
  <c r="Y244" i="1"/>
  <c r="W244" i="1"/>
  <c r="X244" i="1"/>
  <c r="X237" i="1"/>
  <c r="X231" i="1"/>
  <c r="Y231" i="1"/>
  <c r="W178" i="1"/>
  <c r="Y178" i="1"/>
  <c r="X134" i="1"/>
  <c r="Y134" i="1"/>
  <c r="Y128" i="1"/>
  <c r="X269" i="1"/>
  <c r="Y269" i="1"/>
  <c r="X146" i="1"/>
  <c r="Y146" i="1"/>
  <c r="W282" i="1"/>
  <c r="X282" i="1"/>
  <c r="Y276" i="1"/>
  <c r="X276" i="1"/>
  <c r="AB276" i="1" s="1"/>
  <c r="Y255" i="1"/>
  <c r="W255" i="1"/>
  <c r="X255" i="1"/>
  <c r="X209" i="1"/>
  <c r="Y209" i="1"/>
  <c r="W209" i="1"/>
  <c r="X200" i="1"/>
  <c r="Y200" i="1"/>
  <c r="Y168" i="1"/>
  <c r="W168" i="1"/>
  <c r="X168" i="1"/>
  <c r="X161" i="1"/>
  <c r="Y161" i="1"/>
  <c r="W27" i="1"/>
  <c r="Y27" i="1"/>
  <c r="X275" i="1"/>
  <c r="Y275" i="1"/>
  <c r="W275" i="1"/>
  <c r="X254" i="1"/>
  <c r="Y254" i="1"/>
  <c r="W254" i="1"/>
  <c r="X248" i="1"/>
  <c r="AB248" i="1" s="1"/>
  <c r="Y248" i="1"/>
  <c r="Y208" i="1"/>
  <c r="W208" i="1"/>
  <c r="X208" i="1"/>
  <c r="Y192" i="1"/>
  <c r="W192" i="1"/>
  <c r="AB192" i="1" s="1"/>
  <c r="X185" i="1"/>
  <c r="Y185" i="1"/>
  <c r="Y282" i="1"/>
  <c r="W186" i="1"/>
  <c r="AB186" i="1" s="1"/>
  <c r="Y186" i="1"/>
  <c r="X155" i="1"/>
  <c r="AB155" i="1" s="1"/>
  <c r="Y155" i="1"/>
  <c r="W28" i="1"/>
  <c r="Y28" i="1"/>
  <c r="Y34" i="1"/>
  <c r="X34" i="1"/>
  <c r="AB34" i="1" s="1"/>
  <c r="X281" i="1"/>
  <c r="Y281" i="1"/>
  <c r="W261" i="1"/>
  <c r="X261" i="1"/>
  <c r="Y261" i="1"/>
  <c r="X221" i="1"/>
  <c r="W221" i="1"/>
  <c r="AB221" i="1" s="1"/>
  <c r="Y221" i="1"/>
  <c r="W199" i="1"/>
  <c r="Y199" i="1"/>
  <c r="Y271" i="1"/>
  <c r="Y12" i="1"/>
  <c r="W53" i="1"/>
  <c r="Y53" i="1"/>
  <c r="X227" i="1"/>
  <c r="Y227" i="1"/>
  <c r="W227" i="1"/>
  <c r="W45" i="1"/>
  <c r="Y45" i="1"/>
  <c r="Y13" i="1"/>
  <c r="W13" i="1"/>
  <c r="X13" i="1"/>
  <c r="X170" i="1"/>
  <c r="Y170" i="1"/>
  <c r="X201" i="1"/>
  <c r="Y201" i="1"/>
  <c r="W201" i="1"/>
  <c r="W59" i="1"/>
  <c r="X53" i="1"/>
  <c r="X46" i="1"/>
  <c r="W40" i="1"/>
  <c r="Y40" i="1"/>
  <c r="W33" i="1"/>
  <c r="Y33" i="1"/>
  <c r="W7" i="1"/>
  <c r="X286" i="1"/>
  <c r="X207" i="1"/>
  <c r="Y207" i="1"/>
  <c r="Y582" i="1"/>
  <c r="W582" i="1"/>
  <c r="X582" i="1"/>
  <c r="W21" i="1"/>
  <c r="Y21" i="1"/>
  <c r="X285" i="1"/>
  <c r="AB285" i="1" s="1"/>
  <c r="Y285" i="1"/>
  <c r="X268" i="1"/>
  <c r="X242" i="1"/>
  <c r="Y242" i="1"/>
  <c r="X230" i="1"/>
  <c r="Y230" i="1"/>
  <c r="X225" i="1"/>
  <c r="X206" i="1"/>
  <c r="Y206" i="1"/>
  <c r="Y154" i="1"/>
  <c r="W154" i="1"/>
  <c r="AB154" i="1" s="1"/>
  <c r="X72" i="1"/>
  <c r="Y90" i="1"/>
  <c r="Y10" i="1"/>
  <c r="Y524" i="1"/>
  <c r="X524" i="1"/>
  <c r="W524" i="1"/>
  <c r="W57" i="1"/>
  <c r="Y57" i="1"/>
  <c r="W44" i="1"/>
  <c r="Y44" i="1"/>
  <c r="X20" i="1"/>
  <c r="X290" i="1"/>
  <c r="AC290" i="1" s="1"/>
  <c r="Y290" i="1"/>
  <c r="W284" i="1"/>
  <c r="X273" i="1"/>
  <c r="W268" i="1"/>
  <c r="AA268" i="1" s="1"/>
  <c r="W252" i="1"/>
  <c r="Y252" i="1"/>
  <c r="X229" i="1"/>
  <c r="W225" i="1"/>
  <c r="X218" i="1"/>
  <c r="AC218" i="1" s="1"/>
  <c r="Y218" i="1"/>
  <c r="W197" i="1"/>
  <c r="AB197" i="1" s="1"/>
  <c r="Y183" i="1"/>
  <c r="W183" i="1"/>
  <c r="X183" i="1"/>
  <c r="X167" i="1"/>
  <c r="AB167" i="1" s="1"/>
  <c r="Y167" i="1"/>
  <c r="W159" i="1"/>
  <c r="Y159" i="1"/>
  <c r="X91" i="1"/>
  <c r="Y91" i="1"/>
  <c r="W91" i="1"/>
  <c r="W72" i="1"/>
  <c r="Y234" i="1"/>
  <c r="Y191" i="1"/>
  <c r="Y89" i="1"/>
  <c r="Y51" i="1"/>
  <c r="Y4" i="1"/>
  <c r="X607" i="1"/>
  <c r="Y604" i="1"/>
  <c r="X604" i="1"/>
  <c r="Y529" i="1"/>
  <c r="W529" i="1"/>
  <c r="X529" i="1"/>
  <c r="W15" i="1"/>
  <c r="Y15" i="1"/>
  <c r="X556" i="1"/>
  <c r="W556" i="1"/>
  <c r="W61" i="1"/>
  <c r="Y61" i="1"/>
  <c r="W42" i="1"/>
  <c r="Y42" i="1"/>
  <c r="W36" i="1"/>
  <c r="Y36" i="1"/>
  <c r="X29" i="1"/>
  <c r="X8" i="1"/>
  <c r="W288" i="1"/>
  <c r="Y288" i="1"/>
  <c r="X278" i="1"/>
  <c r="Y278" i="1"/>
  <c r="X272" i="1"/>
  <c r="AC272" i="1" s="1"/>
  <c r="Y272" i="1"/>
  <c r="W250" i="1"/>
  <c r="AA250" i="1" s="1"/>
  <c r="X189" i="1"/>
  <c r="AC189" i="1" s="1"/>
  <c r="Y189" i="1"/>
  <c r="W180" i="1"/>
  <c r="Y180" i="1"/>
  <c r="W150" i="1"/>
  <c r="X150" i="1"/>
  <c r="X123" i="1"/>
  <c r="Y123" i="1"/>
  <c r="Y215" i="1"/>
  <c r="W515" i="1"/>
  <c r="X515" i="1"/>
  <c r="Y513" i="1"/>
  <c r="X513" i="1"/>
  <c r="AC513" i="1" s="1"/>
  <c r="X263" i="1"/>
  <c r="AB263" i="1" s="1"/>
  <c r="Y263" i="1"/>
  <c r="X182" i="1"/>
  <c r="Y182" i="1"/>
  <c r="X153" i="1"/>
  <c r="Y153" i="1"/>
  <c r="X81" i="1"/>
  <c r="Y81" i="1"/>
  <c r="Y3" i="1"/>
  <c r="X251" i="1"/>
  <c r="AB251" i="1" s="1"/>
  <c r="Y251" i="1"/>
  <c r="X224" i="1"/>
  <c r="Y224" i="1"/>
  <c r="W174" i="1"/>
  <c r="AB174" i="1" s="1"/>
  <c r="Y174" i="1"/>
  <c r="W71" i="1"/>
  <c r="Y71" i="1"/>
  <c r="X173" i="1"/>
  <c r="Y173" i="1"/>
  <c r="W173" i="1"/>
  <c r="W618" i="1"/>
  <c r="Y618" i="1"/>
  <c r="W60" i="1"/>
  <c r="Y60" i="1"/>
  <c r="W35" i="1"/>
  <c r="Y35" i="1"/>
  <c r="W29" i="1"/>
  <c r="W8" i="1"/>
  <c r="AA8" i="1" s="1"/>
  <c r="X266" i="1"/>
  <c r="AB266" i="1" s="1"/>
  <c r="Y266" i="1"/>
  <c r="X245" i="1"/>
  <c r="AB245" i="1" s="1"/>
  <c r="Y245" i="1"/>
  <c r="X239" i="1"/>
  <c r="AB239" i="1" s="1"/>
  <c r="Y239" i="1"/>
  <c r="W215" i="1"/>
  <c r="AB215" i="1" s="1"/>
  <c r="Y210" i="1"/>
  <c r="X210" i="1"/>
  <c r="X194" i="1"/>
  <c r="Y194" i="1"/>
  <c r="W194" i="1"/>
  <c r="X188" i="1"/>
  <c r="Y188" i="1"/>
  <c r="X179" i="1"/>
  <c r="W179" i="1"/>
  <c r="X149" i="1"/>
  <c r="W149" i="1"/>
  <c r="Y149" i="1"/>
  <c r="X117" i="1"/>
  <c r="AB117" i="1" s="1"/>
  <c r="Y117" i="1"/>
  <c r="X110" i="1"/>
  <c r="Y110" i="1"/>
  <c r="X68" i="1"/>
  <c r="Y68" i="1"/>
  <c r="W68" i="1"/>
  <c r="X56" i="1"/>
  <c r="Y56" i="1"/>
  <c r="X31" i="1"/>
  <c r="Y31" i="1"/>
  <c r="X257" i="1"/>
  <c r="Y257" i="1"/>
  <c r="Y204" i="1"/>
  <c r="X204" i="1"/>
  <c r="AB204" i="1" s="1"/>
  <c r="X158" i="1"/>
  <c r="Y158" i="1"/>
  <c r="X98" i="1"/>
  <c r="Y98" i="1"/>
  <c r="W80" i="1"/>
  <c r="Y80" i="1"/>
  <c r="Y493" i="1"/>
  <c r="X493" i="1"/>
  <c r="W30" i="1"/>
  <c r="Y30" i="1"/>
  <c r="W9" i="1"/>
  <c r="Y9" i="1"/>
  <c r="Y181" i="1"/>
  <c r="W181" i="1"/>
  <c r="Y118" i="1"/>
  <c r="X118" i="1"/>
  <c r="AB118" i="1" s="1"/>
  <c r="W54" i="1"/>
  <c r="Y54" i="1"/>
  <c r="X41" i="1"/>
  <c r="AB41" i="1" s="1"/>
  <c r="Y41" i="1"/>
  <c r="W18" i="1"/>
  <c r="Y18" i="1"/>
  <c r="X293" i="1"/>
  <c r="AC293" i="1" s="1"/>
  <c r="Y293" i="1"/>
  <c r="X287" i="1"/>
  <c r="Y287" i="1"/>
  <c r="W163" i="1"/>
  <c r="AA163" i="1" s="1"/>
  <c r="X163" i="1"/>
  <c r="X122" i="1"/>
  <c r="AC122" i="1" s="1"/>
  <c r="Y122" i="1"/>
  <c r="X116" i="1"/>
  <c r="Y116" i="1"/>
  <c r="W67" i="1"/>
  <c r="Y67" i="1"/>
  <c r="Y284" i="1"/>
  <c r="Y212" i="1"/>
  <c r="X571" i="1"/>
  <c r="W571" i="1"/>
  <c r="X546" i="1"/>
  <c r="Y546" i="1"/>
  <c r="W546" i="1"/>
  <c r="AB546" i="1" s="1"/>
  <c r="X260" i="1"/>
  <c r="Y260" i="1"/>
  <c r="W216" i="1"/>
  <c r="Y216" i="1"/>
  <c r="X135" i="1"/>
  <c r="Y135" i="1"/>
  <c r="X109" i="1"/>
  <c r="Y109" i="1"/>
  <c r="Y213" i="1"/>
  <c r="Y105" i="1"/>
  <c r="X203" i="1"/>
  <c r="AB203" i="1" s="1"/>
  <c r="Y203" i="1"/>
  <c r="X152" i="1"/>
  <c r="Y152" i="1"/>
  <c r="Y132" i="1"/>
  <c r="W132" i="1"/>
  <c r="AB132" i="1" s="1"/>
  <c r="Y106" i="1"/>
  <c r="W106" i="1"/>
  <c r="W100" i="1"/>
  <c r="AA100" i="1" s="1"/>
  <c r="Y233" i="1"/>
  <c r="Y177" i="1"/>
  <c r="W566" i="1"/>
  <c r="X566" i="1"/>
  <c r="Y566" i="1"/>
  <c r="W195" i="1"/>
  <c r="Y195" i="1"/>
  <c r="W190" i="1"/>
  <c r="W176" i="1"/>
  <c r="W138" i="1"/>
  <c r="AB138" i="1" s="1"/>
  <c r="Y138" i="1"/>
  <c r="W84" i="1"/>
  <c r="Y84" i="1"/>
  <c r="Y176" i="1"/>
  <c r="Y92" i="1"/>
  <c r="Y577" i="1"/>
  <c r="X577" i="1"/>
  <c r="AB577" i="1" s="1"/>
  <c r="Y542" i="1"/>
  <c r="W542" i="1"/>
  <c r="X542" i="1"/>
  <c r="X522" i="1"/>
  <c r="AB522" i="1" s="1"/>
  <c r="Y522" i="1"/>
  <c r="W508" i="1"/>
  <c r="X508" i="1"/>
  <c r="Y508" i="1"/>
  <c r="X502" i="1"/>
  <c r="AB502" i="1" s="1"/>
  <c r="Y502" i="1"/>
  <c r="X171" i="1"/>
  <c r="AB171" i="1" s="1"/>
  <c r="Y171" i="1"/>
  <c r="W83" i="1"/>
  <c r="Y83" i="1"/>
  <c r="Y65" i="1"/>
  <c r="Y101" i="1"/>
  <c r="W511" i="1"/>
  <c r="X511" i="1"/>
  <c r="Y511" i="1"/>
  <c r="X484" i="1"/>
  <c r="Y484" i="1"/>
  <c r="W484" i="1"/>
  <c r="Y137" i="1"/>
  <c r="Y78" i="1"/>
  <c r="X617" i="1"/>
  <c r="Y617" i="1"/>
  <c r="X573" i="1"/>
  <c r="Y156" i="1"/>
  <c r="W156" i="1"/>
  <c r="AB156" i="1" s="1"/>
  <c r="W119" i="1"/>
  <c r="AB119" i="1" s="1"/>
  <c r="W113" i="1"/>
  <c r="AB113" i="1" s="1"/>
  <c r="W101" i="1"/>
  <c r="AB101" i="1" s="1"/>
  <c r="W69" i="1"/>
  <c r="Y69" i="1"/>
  <c r="Y77" i="1"/>
  <c r="W573" i="1"/>
  <c r="X497" i="1"/>
  <c r="W497" i="1"/>
  <c r="X95" i="1"/>
  <c r="Y95" i="1"/>
  <c r="Y131" i="1"/>
  <c r="W489" i="1"/>
  <c r="X489" i="1"/>
  <c r="Y489" i="1"/>
  <c r="W605" i="1"/>
  <c r="X605" i="1"/>
  <c r="Y605" i="1"/>
  <c r="X613" i="1"/>
  <c r="AB613" i="1" s="1"/>
  <c r="W600" i="1"/>
  <c r="AB600" i="1" s="1"/>
  <c r="W480" i="1"/>
  <c r="X475" i="1"/>
  <c r="AB475" i="1" s="1"/>
  <c r="W473" i="1"/>
  <c r="AB473" i="1" s="1"/>
  <c r="Y144" i="1"/>
  <c r="X549" i="1"/>
  <c r="Y549" i="1"/>
  <c r="Y488" i="1"/>
  <c r="X488" i="1"/>
  <c r="AB488" i="1" s="1"/>
  <c r="W470" i="1"/>
  <c r="Y470" i="1"/>
  <c r="Y610" i="1"/>
  <c r="X601" i="1"/>
  <c r="AB601" i="1" s="1"/>
  <c r="W599" i="1"/>
  <c r="W592" i="1"/>
  <c r="AB592" i="1" s="1"/>
  <c r="Y580" i="1"/>
  <c r="X576" i="1"/>
  <c r="W576" i="1"/>
  <c r="AB576" i="1" s="1"/>
  <c r="W572" i="1"/>
  <c r="W561" i="1"/>
  <c r="AB561" i="1" s="1"/>
  <c r="Y559" i="1"/>
  <c r="W536" i="1"/>
  <c r="AA536" i="1" s="1"/>
  <c r="X527" i="1"/>
  <c r="AB527" i="1" s="1"/>
  <c r="Y505" i="1"/>
  <c r="X505" i="1"/>
  <c r="AC505" i="1" s="1"/>
  <c r="W496" i="1"/>
  <c r="Y512" i="1"/>
  <c r="W512" i="1"/>
  <c r="Y507" i="1"/>
  <c r="X507" i="1"/>
  <c r="X474" i="1"/>
  <c r="W465" i="1"/>
  <c r="AB465" i="1" s="1"/>
  <c r="Y462" i="1"/>
  <c r="W460" i="1"/>
  <c r="X461" i="1"/>
  <c r="W461" i="1"/>
  <c r="AB461" i="1" s="1"/>
  <c r="O604" i="3"/>
  <c r="O270" i="3"/>
  <c r="O567" i="3"/>
  <c r="O675" i="3"/>
  <c r="O867" i="3"/>
  <c r="O699" i="3"/>
  <c r="O257" i="3"/>
  <c r="O283" i="3"/>
  <c r="O556" i="3"/>
  <c r="O872" i="3"/>
  <c r="Y578" i="1"/>
  <c r="W578" i="1"/>
  <c r="X578" i="1"/>
  <c r="X545" i="1"/>
  <c r="Y545" i="1"/>
  <c r="W545" i="1"/>
  <c r="Y510" i="1"/>
  <c r="W510" i="1"/>
  <c r="X510" i="1"/>
  <c r="W557" i="1"/>
  <c r="X557" i="1"/>
  <c r="Y557" i="1"/>
  <c r="W609" i="1"/>
  <c r="X609" i="1"/>
  <c r="Y609" i="1"/>
  <c r="W463" i="1"/>
  <c r="AA463" i="1" s="1"/>
  <c r="X463" i="1"/>
  <c r="Y611" i="1"/>
  <c r="X611" i="1"/>
  <c r="AC611" i="1" s="1"/>
  <c r="W498" i="1"/>
  <c r="X498" i="1"/>
  <c r="Y498" i="1"/>
  <c r="X487" i="1"/>
  <c r="W487" i="1"/>
  <c r="Y487" i="1"/>
  <c r="W589" i="1"/>
  <c r="X589" i="1"/>
  <c r="Y589" i="1"/>
  <c r="W587" i="1"/>
  <c r="X587" i="1"/>
  <c r="Y587" i="1"/>
  <c r="Y583" i="1"/>
  <c r="W583" i="1"/>
  <c r="X583" i="1"/>
  <c r="X533" i="1"/>
  <c r="W533" i="1"/>
  <c r="AB533" i="1" s="1"/>
  <c r="Y533" i="1"/>
  <c r="X567" i="1"/>
  <c r="W567" i="1"/>
  <c r="Y567" i="1"/>
  <c r="X540" i="1"/>
  <c r="AB540" i="1" s="1"/>
  <c r="Y540" i="1"/>
  <c r="X620" i="1"/>
  <c r="W620" i="1"/>
  <c r="Y620" i="1"/>
  <c r="X606" i="1"/>
  <c r="W606" i="1"/>
  <c r="Y606" i="1"/>
  <c r="X548" i="1"/>
  <c r="AB548" i="1" s="1"/>
  <c r="Y548" i="1"/>
  <c r="W616" i="1"/>
  <c r="X616" i="1"/>
  <c r="X602" i="1"/>
  <c r="AB602" i="1" s="1"/>
  <c r="Y602" i="1"/>
  <c r="W520" i="1"/>
  <c r="X520" i="1"/>
  <c r="Y520" i="1"/>
  <c r="W598" i="1"/>
  <c r="X598" i="1"/>
  <c r="Y598" i="1"/>
  <c r="W619" i="1"/>
  <c r="AA619" i="1" s="1"/>
  <c r="X619" i="1"/>
  <c r="W555" i="1"/>
  <c r="AB555" i="1" s="1"/>
  <c r="Y555" i="1"/>
  <c r="W543" i="1"/>
  <c r="AB543" i="1" s="1"/>
  <c r="Y543" i="1"/>
  <c r="W503" i="1"/>
  <c r="AB503" i="1" s="1"/>
  <c r="Y503" i="1"/>
  <c r="Y568" i="1"/>
  <c r="W491" i="1"/>
  <c r="AB491" i="1" s="1"/>
  <c r="Y491" i="1"/>
  <c r="Y596" i="1"/>
  <c r="W596" i="1"/>
  <c r="W575" i="1"/>
  <c r="Y575" i="1"/>
  <c r="X575" i="1"/>
  <c r="Y556" i="1"/>
  <c r="AG530" i="1"/>
  <c r="Y518" i="1"/>
  <c r="X518" i="1"/>
  <c r="W506" i="1"/>
  <c r="Y506" i="1"/>
  <c r="Y483" i="1"/>
  <c r="X477" i="1"/>
  <c r="AC477" i="1" s="1"/>
  <c r="Y603" i="1"/>
  <c r="W603" i="1"/>
  <c r="AB603" i="1" s="1"/>
  <c r="X581" i="1"/>
  <c r="W581" i="1"/>
  <c r="Y571" i="1"/>
  <c r="Y565" i="1"/>
  <c r="W565" i="1"/>
  <c r="AB565" i="1" s="1"/>
  <c r="Y553" i="1"/>
  <c r="X553" i="1"/>
  <c r="AC553" i="1" s="1"/>
  <c r="X547" i="1"/>
  <c r="W532" i="1"/>
  <c r="AB532" i="1" s="1"/>
  <c r="Y532" i="1"/>
  <c r="Y521" i="1"/>
  <c r="Y515" i="1"/>
  <c r="X509" i="1"/>
  <c r="Y509" i="1"/>
  <c r="W509" i="1"/>
  <c r="W483" i="1"/>
  <c r="X614" i="1"/>
  <c r="Y614" i="1"/>
  <c r="W614" i="1"/>
  <c r="W563" i="1"/>
  <c r="X563" i="1"/>
  <c r="W551" i="1"/>
  <c r="AA551" i="1" s="1"/>
  <c r="X551" i="1"/>
  <c r="X504" i="1"/>
  <c r="AB504" i="1" s="1"/>
  <c r="Y504" i="1"/>
  <c r="X495" i="1"/>
  <c r="W495" i="1"/>
  <c r="X585" i="1"/>
  <c r="AB585" i="1" s="1"/>
  <c r="Y585" i="1"/>
  <c r="W569" i="1"/>
  <c r="AB569" i="1" s="1"/>
  <c r="Y569" i="1"/>
  <c r="X492" i="1"/>
  <c r="Y492" i="1"/>
  <c r="X525" i="1"/>
  <c r="W525" i="1"/>
  <c r="X471" i="1"/>
  <c r="W467" i="1"/>
  <c r="AB467" i="1" s="1"/>
  <c r="Y467" i="1"/>
  <c r="W539" i="1"/>
  <c r="AB539" i="1" s="1"/>
  <c r="Y539" i="1"/>
  <c r="Y497" i="1"/>
  <c r="Y475" i="1"/>
  <c r="W471" i="1"/>
  <c r="X528" i="1"/>
  <c r="Y528" i="1"/>
  <c r="W479" i="1"/>
  <c r="X479" i="1"/>
  <c r="Y517" i="1"/>
  <c r="X517" i="1"/>
  <c r="AC517" i="1" s="1"/>
  <c r="Y481" i="1"/>
  <c r="X481" i="1"/>
  <c r="AC481" i="1" s="1"/>
  <c r="Y459" i="1"/>
  <c r="Y460" i="1"/>
  <c r="X459" i="1"/>
  <c r="X73" i="1"/>
  <c r="W89" i="1"/>
  <c r="AB89" i="1" s="1"/>
  <c r="W85" i="1"/>
  <c r="W73" i="1"/>
  <c r="AA73" i="1" s="1"/>
  <c r="X69" i="1"/>
  <c r="X93" i="1"/>
  <c r="W200" i="1"/>
  <c r="X196" i="1"/>
  <c r="AB196" i="1" s="1"/>
  <c r="W182" i="1"/>
  <c r="X178" i="1"/>
  <c r="W164" i="1"/>
  <c r="X160" i="1"/>
  <c r="W146" i="1"/>
  <c r="X142" i="1"/>
  <c r="W128" i="1"/>
  <c r="X124" i="1"/>
  <c r="AC124" i="1" s="1"/>
  <c r="W110" i="1"/>
  <c r="X106" i="1"/>
  <c r="W92" i="1"/>
  <c r="X88" i="1"/>
  <c r="X76" i="1"/>
  <c r="W88" i="1"/>
  <c r="AA88" i="1" s="1"/>
  <c r="W76" i="1"/>
  <c r="W93" i="1"/>
  <c r="X80" i="1"/>
  <c r="W78" i="1"/>
  <c r="X79" i="1"/>
  <c r="W296" i="1"/>
  <c r="X292" i="1"/>
  <c r="W278" i="1"/>
  <c r="X274" i="1"/>
  <c r="AC274" i="1" s="1"/>
  <c r="W260" i="1"/>
  <c r="X256" i="1"/>
  <c r="W242" i="1"/>
  <c r="X238" i="1"/>
  <c r="AB238" i="1" s="1"/>
  <c r="W224" i="1"/>
  <c r="X220" i="1"/>
  <c r="X213" i="1"/>
  <c r="W206" i="1"/>
  <c r="X202" i="1"/>
  <c r="X195" i="1"/>
  <c r="W188" i="1"/>
  <c r="X184" i="1"/>
  <c r="X177" i="1"/>
  <c r="AC177" i="1" s="1"/>
  <c r="W170" i="1"/>
  <c r="X166" i="1"/>
  <c r="X159" i="1"/>
  <c r="W152" i="1"/>
  <c r="X148" i="1"/>
  <c r="X141" i="1"/>
  <c r="W134" i="1"/>
  <c r="X130" i="1"/>
  <c r="AC130" i="1" s="1"/>
  <c r="W116" i="1"/>
  <c r="X112" i="1"/>
  <c r="AC112" i="1" s="1"/>
  <c r="W98" i="1"/>
  <c r="X94" i="1"/>
  <c r="W79" i="1"/>
  <c r="X67" i="1"/>
  <c r="X77" i="1"/>
  <c r="W292" i="1"/>
  <c r="W220" i="1"/>
  <c r="W202" i="1"/>
  <c r="W184" i="1"/>
  <c r="W166" i="1"/>
  <c r="AA166" i="1" s="1"/>
  <c r="W148" i="1"/>
  <c r="AA148" i="1" s="1"/>
  <c r="X83" i="1"/>
  <c r="X71" i="1"/>
  <c r="X74" i="1"/>
  <c r="X295" i="1"/>
  <c r="X288" i="1"/>
  <c r="X277" i="1"/>
  <c r="X270" i="1"/>
  <c r="AC270" i="1" s="1"/>
  <c r="X259" i="1"/>
  <c r="X241" i="1"/>
  <c r="X234" i="1"/>
  <c r="AB234" i="1" s="1"/>
  <c r="X205" i="1"/>
  <c r="X151" i="1"/>
  <c r="X144" i="1"/>
  <c r="AC144" i="1" s="1"/>
  <c r="X126" i="1"/>
  <c r="AC126" i="1" s="1"/>
  <c r="X115" i="1"/>
  <c r="X108" i="1"/>
  <c r="X97" i="1"/>
  <c r="X90" i="1"/>
  <c r="AC90" i="1" s="1"/>
  <c r="X82" i="1"/>
  <c r="X70" i="1"/>
  <c r="X86" i="1"/>
  <c r="X252" i="1"/>
  <c r="X223" i="1"/>
  <c r="X216" i="1"/>
  <c r="X198" i="1"/>
  <c r="AC198" i="1" s="1"/>
  <c r="X187" i="1"/>
  <c r="X180" i="1"/>
  <c r="X169" i="1"/>
  <c r="X162" i="1"/>
  <c r="AC162" i="1" s="1"/>
  <c r="X133" i="1"/>
  <c r="W295" i="1"/>
  <c r="AA295" i="1" s="1"/>
  <c r="W277" i="1"/>
  <c r="W259" i="1"/>
  <c r="W241" i="1"/>
  <c r="AA241" i="1" s="1"/>
  <c r="W223" i="1"/>
  <c r="AA223" i="1" s="1"/>
  <c r="W205" i="1"/>
  <c r="W187" i="1"/>
  <c r="W169" i="1"/>
  <c r="W151" i="1"/>
  <c r="AA151" i="1" s="1"/>
  <c r="W133" i="1"/>
  <c r="W115" i="1"/>
  <c r="W97" i="1"/>
  <c r="W86" i="1"/>
  <c r="AA86" i="1" s="1"/>
  <c r="W82" i="1"/>
  <c r="W74" i="1"/>
  <c r="W70" i="1"/>
  <c r="AA70" i="1" s="1"/>
  <c r="X66" i="1"/>
  <c r="AC66" i="1" s="1"/>
  <c r="X65" i="1"/>
  <c r="AC65" i="1" s="1"/>
  <c r="X64" i="1"/>
  <c r="AC64" i="1" s="1"/>
  <c r="X61" i="1"/>
  <c r="X49" i="1"/>
  <c r="AB49" i="1" s="1"/>
  <c r="X24" i="1"/>
  <c r="AB24" i="1" s="1"/>
  <c r="X21" i="1"/>
  <c r="X18" i="1"/>
  <c r="X15" i="1"/>
  <c r="X12" i="1"/>
  <c r="X9" i="1"/>
  <c r="X5" i="1"/>
  <c r="X35" i="1"/>
  <c r="X39" i="1"/>
  <c r="X36" i="1"/>
  <c r="X33" i="1"/>
  <c r="X30" i="1"/>
  <c r="X27" i="1"/>
  <c r="X63" i="1"/>
  <c r="X60" i="1"/>
  <c r="X57" i="1"/>
  <c r="X54" i="1"/>
  <c r="X51" i="1"/>
  <c r="X48" i="1"/>
  <c r="AB48" i="1" s="1"/>
  <c r="X45" i="1"/>
  <c r="X42" i="1"/>
  <c r="X47" i="1"/>
  <c r="X6" i="1"/>
  <c r="X4" i="1"/>
  <c r="AB4" i="1" s="1"/>
  <c r="W3" i="1"/>
  <c r="AB581" i="1" l="1"/>
  <c r="AB497" i="1"/>
  <c r="AB33" i="1"/>
  <c r="AB591" i="1"/>
  <c r="Z163" i="1"/>
  <c r="AD163" i="1" s="1"/>
  <c r="Z43" i="1"/>
  <c r="AD43" i="1" s="1"/>
  <c r="Z273" i="1"/>
  <c r="AD273" i="1" s="1"/>
  <c r="Z525" i="1"/>
  <c r="AD525" i="1" s="1"/>
  <c r="Z22" i="1"/>
  <c r="AD22" i="1" s="1"/>
  <c r="Z217" i="1"/>
  <c r="AD217" i="1" s="1"/>
  <c r="Z85" i="1"/>
  <c r="AD85" i="1" s="1"/>
  <c r="AB201" i="1"/>
  <c r="AF201" i="1" s="1"/>
  <c r="AB275" i="1"/>
  <c r="AF275" i="1" s="1"/>
  <c r="AB209" i="1"/>
  <c r="AF209" i="1" s="1"/>
  <c r="AB198" i="1"/>
  <c r="AF198" i="1" s="1"/>
  <c r="AB18" i="1"/>
  <c r="AF18" i="1" s="1"/>
  <c r="Z607" i="1"/>
  <c r="AD607" i="1" s="1"/>
  <c r="AB255" i="1"/>
  <c r="AF255" i="1" s="1"/>
  <c r="Z133" i="1"/>
  <c r="AD133" i="1" s="1"/>
  <c r="AB82" i="1"/>
  <c r="AB57" i="1"/>
  <c r="Z111" i="1"/>
  <c r="AD111" i="1" s="1"/>
  <c r="Z8" i="1"/>
  <c r="AD8" i="1" s="1"/>
  <c r="Z19" i="1"/>
  <c r="AD19" i="1" s="1"/>
  <c r="Z229" i="1"/>
  <c r="AD229" i="1" s="1"/>
  <c r="AB237" i="1"/>
  <c r="AF237" i="1" s="1"/>
  <c r="AB272" i="1"/>
  <c r="AF272" i="1" s="1"/>
  <c r="AB144" i="1"/>
  <c r="AF144" i="1" s="1"/>
  <c r="AB517" i="1"/>
  <c r="AF517" i="1" s="1"/>
  <c r="AA525" i="1"/>
  <c r="AE525" i="1" s="1"/>
  <c r="Z476" i="1"/>
  <c r="AD476" i="1" s="1"/>
  <c r="AB579" i="1"/>
  <c r="AF579" i="1" s="1"/>
  <c r="AB557" i="1"/>
  <c r="AB180" i="1"/>
  <c r="AF180" i="1" s="1"/>
  <c r="AB17" i="1"/>
  <c r="AF17" i="1" s="1"/>
  <c r="AB6" i="1"/>
  <c r="AF6" i="1" s="1"/>
  <c r="AB274" i="1"/>
  <c r="AB93" i="1"/>
  <c r="AF93" i="1" s="1"/>
  <c r="AB35" i="1"/>
  <c r="AF35" i="1" s="1"/>
  <c r="AB53" i="1"/>
  <c r="AF53" i="1" s="1"/>
  <c r="Z20" i="1"/>
  <c r="AD20" i="1" s="1"/>
  <c r="Z581" i="1"/>
  <c r="AD581" i="1" s="1"/>
  <c r="AB471" i="1"/>
  <c r="Z115" i="1"/>
  <c r="AD115" i="1" s="1"/>
  <c r="AB545" i="1"/>
  <c r="AB30" i="1"/>
  <c r="AF30" i="1" s="1"/>
  <c r="AB27" i="1"/>
  <c r="AF27" i="1" s="1"/>
  <c r="Z136" i="1"/>
  <c r="AD136" i="1" s="1"/>
  <c r="Z619" i="1"/>
  <c r="AD619" i="1" s="1"/>
  <c r="AB270" i="1"/>
  <c r="AF270" i="1" s="1"/>
  <c r="AB477" i="1"/>
  <c r="AF477" i="1" s="1"/>
  <c r="Z268" i="1"/>
  <c r="AD268" i="1" s="1"/>
  <c r="Z62" i="1"/>
  <c r="AD62" i="1" s="1"/>
  <c r="AB551" i="1"/>
  <c r="AF551" i="1" s="1"/>
  <c r="Z72" i="1"/>
  <c r="AD72" i="1" s="1"/>
  <c r="Z157" i="1"/>
  <c r="AD157" i="1" s="1"/>
  <c r="AB243" i="1"/>
  <c r="AF243" i="1" s="1"/>
  <c r="Z184" i="1"/>
  <c r="AD184" i="1" s="1"/>
  <c r="AA85" i="1"/>
  <c r="AE85" i="1" s="1"/>
  <c r="AB261" i="1"/>
  <c r="AF261" i="1" s="1"/>
  <c r="Z258" i="1"/>
  <c r="AD258" i="1" s="1"/>
  <c r="AA121" i="1"/>
  <c r="AE121" i="1" s="1"/>
  <c r="AB495" i="1"/>
  <c r="AF495" i="1" s="1"/>
  <c r="AB509" i="1"/>
  <c r="AF509" i="1" s="1"/>
  <c r="AB216" i="1"/>
  <c r="AF216" i="1" s="1"/>
  <c r="AB149" i="1"/>
  <c r="AF149" i="1" s="1"/>
  <c r="AB39" i="1"/>
  <c r="AB94" i="1"/>
  <c r="AB120" i="1"/>
  <c r="AF120" i="1" s="1"/>
  <c r="AB106" i="1"/>
  <c r="AF106" i="1" s="1"/>
  <c r="Z37" i="1"/>
  <c r="AD37" i="1" s="1"/>
  <c r="AB252" i="1"/>
  <c r="AF252" i="1" s="1"/>
  <c r="Z250" i="1"/>
  <c r="AD250" i="1" s="1"/>
  <c r="AB228" i="1"/>
  <c r="AF228" i="1" s="1"/>
  <c r="Z560" i="1"/>
  <c r="AD560" i="1" s="1"/>
  <c r="Z579" i="1"/>
  <c r="AD579" i="1" s="1"/>
  <c r="Z38" i="1"/>
  <c r="AD38" i="1" s="1"/>
  <c r="AB481" i="1"/>
  <c r="AF481" i="1" s="1"/>
  <c r="Z169" i="1"/>
  <c r="AD169" i="1" s="1"/>
  <c r="Z616" i="1"/>
  <c r="AD616" i="1" s="1"/>
  <c r="AB567" i="1"/>
  <c r="AF567" i="1" s="1"/>
  <c r="AB83" i="1"/>
  <c r="AF83" i="1" s="1"/>
  <c r="AB195" i="1"/>
  <c r="AF195" i="1" s="1"/>
  <c r="AB179" i="1"/>
  <c r="AF179" i="1" s="1"/>
  <c r="AB173" i="1"/>
  <c r="AF173" i="1" s="1"/>
  <c r="AB556" i="1"/>
  <c r="AF556" i="1" s="1"/>
  <c r="AB294" i="1"/>
  <c r="AF294" i="1" s="1"/>
  <c r="AB286" i="1"/>
  <c r="AF286" i="1" s="1"/>
  <c r="AA591" i="1"/>
  <c r="AA133" i="1"/>
  <c r="AE133" i="1" s="1"/>
  <c r="AB513" i="1"/>
  <c r="AF513" i="1" s="1"/>
  <c r="Z501" i="1"/>
  <c r="AD501" i="1" s="1"/>
  <c r="AA43" i="1"/>
  <c r="AB609" i="1"/>
  <c r="AF609" i="1" s="1"/>
  <c r="AB282" i="1"/>
  <c r="AF282" i="1" s="1"/>
  <c r="Z262" i="1"/>
  <c r="AD262" i="1" s="1"/>
  <c r="Z471" i="1"/>
  <c r="AD471" i="1" s="1"/>
  <c r="AA115" i="1"/>
  <c r="AE115" i="1" s="1"/>
  <c r="AB177" i="1"/>
  <c r="AF177" i="1" s="1"/>
  <c r="AB218" i="1"/>
  <c r="AF218" i="1" s="1"/>
  <c r="AA157" i="1"/>
  <c r="AE157" i="1" s="1"/>
  <c r="Z243" i="1"/>
  <c r="AD243" i="1" s="1"/>
  <c r="Z193" i="1"/>
  <c r="AD193" i="1" s="1"/>
  <c r="AA461" i="1"/>
  <c r="AB479" i="1"/>
  <c r="AA479" i="1"/>
  <c r="AB290" i="1"/>
  <c r="AF290" i="1" s="1"/>
  <c r="Z461" i="1"/>
  <c r="AD461" i="1" s="1"/>
  <c r="Z166" i="1"/>
  <c r="AD166" i="1" s="1"/>
  <c r="Z70" i="1"/>
  <c r="AD70" i="1" s="1"/>
  <c r="AB605" i="1"/>
  <c r="AF605" i="1" s="1"/>
  <c r="Z150" i="1"/>
  <c r="AD150" i="1" s="1"/>
  <c r="AB582" i="1"/>
  <c r="AF582" i="1" s="1"/>
  <c r="Z482" i="1"/>
  <c r="AD482" i="1" s="1"/>
  <c r="Z479" i="1"/>
  <c r="AA150" i="1"/>
  <c r="AA22" i="1"/>
  <c r="AA581" i="1"/>
  <c r="AB66" i="1"/>
  <c r="AF66" i="1" s="1"/>
  <c r="AB64" i="1"/>
  <c r="AF64" i="1" s="1"/>
  <c r="AC9" i="1"/>
  <c r="AG9" i="1" s="1"/>
  <c r="AB74" i="1"/>
  <c r="AF74" i="1" s="1"/>
  <c r="AA74" i="1"/>
  <c r="AE74" i="1" s="1"/>
  <c r="Z74" i="1"/>
  <c r="AD74" i="1" s="1"/>
  <c r="AC86" i="1"/>
  <c r="AG86" i="1" s="1"/>
  <c r="Z86" i="1"/>
  <c r="AD86" i="1" s="1"/>
  <c r="AC241" i="1"/>
  <c r="AG241" i="1" s="1"/>
  <c r="Z241" i="1"/>
  <c r="AD241" i="1" s="1"/>
  <c r="AC141" i="1"/>
  <c r="AG141" i="1" s="1"/>
  <c r="AC142" i="1"/>
  <c r="AB142" i="1"/>
  <c r="AF142" i="1" s="1"/>
  <c r="AC528" i="1"/>
  <c r="AG528" i="1" s="1"/>
  <c r="AB528" i="1"/>
  <c r="AF528" i="1" s="1"/>
  <c r="AC547" i="1"/>
  <c r="AG547" i="1" s="1"/>
  <c r="Z547" i="1"/>
  <c r="AD547" i="1" s="1"/>
  <c r="Z488" i="1"/>
  <c r="AD488" i="1" s="1"/>
  <c r="AA488" i="1"/>
  <c r="AE488" i="1" s="1"/>
  <c r="Z489" i="1"/>
  <c r="AD489" i="1" s="1"/>
  <c r="AA489" i="1"/>
  <c r="AE489" i="1" s="1"/>
  <c r="AA508" i="1"/>
  <c r="Z508" i="1"/>
  <c r="AD508" i="1" s="1"/>
  <c r="AA84" i="1"/>
  <c r="Z84" i="1"/>
  <c r="AD84" i="1" s="1"/>
  <c r="Z233" i="1"/>
  <c r="AA233" i="1"/>
  <c r="AA109" i="1"/>
  <c r="AE109" i="1" s="1"/>
  <c r="Z109" i="1"/>
  <c r="AD109" i="1" s="1"/>
  <c r="AC287" i="1"/>
  <c r="AG287" i="1" s="1"/>
  <c r="AB287" i="1"/>
  <c r="AF287" i="1" s="1"/>
  <c r="Z181" i="1"/>
  <c r="AD181" i="1" s="1"/>
  <c r="AA181" i="1"/>
  <c r="Z110" i="1"/>
  <c r="AD110" i="1" s="1"/>
  <c r="AA110" i="1"/>
  <c r="AB29" i="1"/>
  <c r="AF29" i="1" s="1"/>
  <c r="Z29" i="1"/>
  <c r="AA29" i="1"/>
  <c r="AE29" i="1" s="1"/>
  <c r="Z180" i="1"/>
  <c r="AD180" i="1" s="1"/>
  <c r="AA180" i="1"/>
  <c r="AE180" i="1" s="1"/>
  <c r="AB529" i="1"/>
  <c r="AF529" i="1" s="1"/>
  <c r="Z57" i="1"/>
  <c r="AD57" i="1" s="1"/>
  <c r="AA57" i="1"/>
  <c r="AE57" i="1" s="1"/>
  <c r="AC227" i="1"/>
  <c r="AG227" i="1" s="1"/>
  <c r="AA185" i="1"/>
  <c r="Z185" i="1"/>
  <c r="Z269" i="1"/>
  <c r="AA269" i="1"/>
  <c r="AE269" i="1" s="1"/>
  <c r="AA244" i="1"/>
  <c r="Z244" i="1"/>
  <c r="AD244" i="1" s="1"/>
  <c r="Z141" i="1"/>
  <c r="AD141" i="1" s="1"/>
  <c r="AA141" i="1"/>
  <c r="AE141" i="1" s="1"/>
  <c r="Z6" i="1"/>
  <c r="AD6" i="1" s="1"/>
  <c r="AA6" i="1"/>
  <c r="AE6" i="1" s="1"/>
  <c r="AB291" i="1"/>
  <c r="AF291" i="1" s="1"/>
  <c r="AA291" i="1"/>
  <c r="AE291" i="1" s="1"/>
  <c r="Z291" i="1"/>
  <c r="AD291" i="1" s="1"/>
  <c r="Z593" i="1"/>
  <c r="AA593" i="1"/>
  <c r="AE593" i="1" s="1"/>
  <c r="AC246" i="1"/>
  <c r="AG246" i="1" s="1"/>
  <c r="AB246" i="1"/>
  <c r="AF246" i="1" s="1"/>
  <c r="AA499" i="1"/>
  <c r="AE499" i="1" s="1"/>
  <c r="Z499" i="1"/>
  <c r="AC240" i="1"/>
  <c r="AG240" i="1" s="1"/>
  <c r="Z240" i="1"/>
  <c r="AD240" i="1" s="1"/>
  <c r="AC253" i="1"/>
  <c r="AG253" i="1" s="1"/>
  <c r="AB523" i="1"/>
  <c r="AF523" i="1" s="1"/>
  <c r="AC283" i="1"/>
  <c r="Z283" i="1"/>
  <c r="AD283" i="1" s="1"/>
  <c r="Z104" i="1"/>
  <c r="AD104" i="1" s="1"/>
  <c r="AA104" i="1"/>
  <c r="Z130" i="1"/>
  <c r="AD130" i="1" s="1"/>
  <c r="AA130" i="1"/>
  <c r="AE130" i="1" s="1"/>
  <c r="AC145" i="1"/>
  <c r="AG145" i="1" s="1"/>
  <c r="Z145" i="1"/>
  <c r="AD145" i="1" s="1"/>
  <c r="AB233" i="1"/>
  <c r="AF233" i="1" s="1"/>
  <c r="Z550" i="1"/>
  <c r="AD550" i="1" s="1"/>
  <c r="AA550" i="1"/>
  <c r="AE550" i="1" s="1"/>
  <c r="AB11" i="1"/>
  <c r="AF11" i="1" s="1"/>
  <c r="Z11" i="1"/>
  <c r="AD11" i="1" s="1"/>
  <c r="AA11" i="1"/>
  <c r="AB96" i="1"/>
  <c r="AA96" i="1"/>
  <c r="Z96" i="1"/>
  <c r="AD96" i="1" s="1"/>
  <c r="AB87" i="1"/>
  <c r="AF87" i="1" s="1"/>
  <c r="AC100" i="1"/>
  <c r="AG100" i="1" s="1"/>
  <c r="Z608" i="1"/>
  <c r="AD608" i="1" s="1"/>
  <c r="AA608" i="1"/>
  <c r="AE608" i="1" s="1"/>
  <c r="AB590" i="1"/>
  <c r="AF590" i="1" s="1"/>
  <c r="AC190" i="1"/>
  <c r="Z190" i="1"/>
  <c r="AD190" i="1" s="1"/>
  <c r="AC541" i="1"/>
  <c r="AG541" i="1" s="1"/>
  <c r="Z541" i="1"/>
  <c r="AD541" i="1" s="1"/>
  <c r="Z494" i="1"/>
  <c r="AD494" i="1" s="1"/>
  <c r="AA494" i="1"/>
  <c r="AC165" i="1"/>
  <c r="AG165" i="1" s="1"/>
  <c r="AB165" i="1"/>
  <c r="AF165" i="1" s="1"/>
  <c r="AB139" i="1"/>
  <c r="AF139" i="1" s="1"/>
  <c r="Z139" i="1"/>
  <c r="AD139" i="1" s="1"/>
  <c r="AA139" i="1"/>
  <c r="AE139" i="1" s="1"/>
  <c r="AC51" i="1"/>
  <c r="AG51" i="1" s="1"/>
  <c r="AB51" i="1"/>
  <c r="AF51" i="1" s="1"/>
  <c r="AB259" i="1"/>
  <c r="AF259" i="1" s="1"/>
  <c r="AA259" i="1"/>
  <c r="AE259" i="1" s="1"/>
  <c r="Z259" i="1"/>
  <c r="AD259" i="1" s="1"/>
  <c r="AB202" i="1"/>
  <c r="Z202" i="1"/>
  <c r="AD202" i="1" s="1"/>
  <c r="AA202" i="1"/>
  <c r="AE202" i="1" s="1"/>
  <c r="AC213" i="1"/>
  <c r="AG213" i="1" s="1"/>
  <c r="AB213" i="1"/>
  <c r="AF213" i="1" s="1"/>
  <c r="AB78" i="1"/>
  <c r="AF78" i="1" s="1"/>
  <c r="AC492" i="1"/>
  <c r="AG492" i="1" s="1"/>
  <c r="AB492" i="1"/>
  <c r="AF492" i="1" s="1"/>
  <c r="AB563" i="1"/>
  <c r="AA563" i="1"/>
  <c r="Z563" i="1"/>
  <c r="Z506" i="1"/>
  <c r="AD506" i="1" s="1"/>
  <c r="AA506" i="1"/>
  <c r="AB598" i="1"/>
  <c r="AF598" i="1" s="1"/>
  <c r="AC606" i="1"/>
  <c r="AG606" i="1" s="1"/>
  <c r="AC583" i="1"/>
  <c r="AG583" i="1" s="1"/>
  <c r="Z498" i="1"/>
  <c r="AD498" i="1" s="1"/>
  <c r="AA498" i="1"/>
  <c r="AE498" i="1" s="1"/>
  <c r="AC484" i="1"/>
  <c r="AG484" i="1" s="1"/>
  <c r="AC571" i="1"/>
  <c r="AG571" i="1" s="1"/>
  <c r="AC158" i="1"/>
  <c r="AG158" i="1" s="1"/>
  <c r="AB158" i="1"/>
  <c r="AF158" i="1" s="1"/>
  <c r="Z194" i="1"/>
  <c r="AD194" i="1" s="1"/>
  <c r="AA194" i="1"/>
  <c r="AE194" i="1" s="1"/>
  <c r="Z174" i="1"/>
  <c r="AD174" i="1" s="1"/>
  <c r="AA174" i="1"/>
  <c r="AC182" i="1"/>
  <c r="AG182" i="1" s="1"/>
  <c r="AC29" i="1"/>
  <c r="AG29" i="1" s="1"/>
  <c r="AA91" i="1"/>
  <c r="AE91" i="1" s="1"/>
  <c r="Z91" i="1"/>
  <c r="AD91" i="1" s="1"/>
  <c r="AB225" i="1"/>
  <c r="AF225" i="1" s="1"/>
  <c r="Z225" i="1"/>
  <c r="AD225" i="1" s="1"/>
  <c r="AA225" i="1"/>
  <c r="AE225" i="1" s="1"/>
  <c r="AC225" i="1"/>
  <c r="AG225" i="1" s="1"/>
  <c r="Z582" i="1"/>
  <c r="AD582" i="1" s="1"/>
  <c r="AA582" i="1"/>
  <c r="AE582" i="1" s="1"/>
  <c r="AA531" i="1"/>
  <c r="Z531" i="1"/>
  <c r="AD531" i="1" s="1"/>
  <c r="AB277" i="1"/>
  <c r="AC220" i="1"/>
  <c r="AG220" i="1" s="1"/>
  <c r="AB146" i="1"/>
  <c r="AF146" i="1" s="1"/>
  <c r="Z569" i="1"/>
  <c r="AA569" i="1"/>
  <c r="AE569" i="1" s="1"/>
  <c r="AA568" i="1"/>
  <c r="AE568" i="1" s="1"/>
  <c r="Z568" i="1"/>
  <c r="AD568" i="1" s="1"/>
  <c r="Z620" i="1"/>
  <c r="AD620" i="1" s="1"/>
  <c r="AA620" i="1"/>
  <c r="AE620" i="1" s="1"/>
  <c r="AC498" i="1"/>
  <c r="AG498" i="1" s="1"/>
  <c r="AC474" i="1"/>
  <c r="AG474" i="1" s="1"/>
  <c r="AB572" i="1"/>
  <c r="AC489" i="1"/>
  <c r="AG489" i="1" s="1"/>
  <c r="AA511" i="1"/>
  <c r="AE511" i="1" s="1"/>
  <c r="Z511" i="1"/>
  <c r="AD511" i="1" s="1"/>
  <c r="AB84" i="1"/>
  <c r="AF84" i="1" s="1"/>
  <c r="Z212" i="1"/>
  <c r="AD212" i="1" s="1"/>
  <c r="AA212" i="1"/>
  <c r="Z35" i="1"/>
  <c r="AA35" i="1"/>
  <c r="AE35" i="1" s="1"/>
  <c r="AC185" i="1"/>
  <c r="AG185" i="1" s="1"/>
  <c r="Z209" i="1"/>
  <c r="AA209" i="1"/>
  <c r="AE209" i="1" s="1"/>
  <c r="AB253" i="1"/>
  <c r="Z165" i="1"/>
  <c r="AD165" i="1" s="1"/>
  <c r="AA165" i="1"/>
  <c r="AH165" i="1" s="1"/>
  <c r="AC82" i="1"/>
  <c r="AG82" i="1" s="1"/>
  <c r="AB152" i="1"/>
  <c r="AF152" i="1" s="1"/>
  <c r="AC459" i="1"/>
  <c r="AG459" i="1" s="1"/>
  <c r="AC520" i="1"/>
  <c r="AG520" i="1" s="1"/>
  <c r="AA7" i="1"/>
  <c r="AE7" i="1" s="1"/>
  <c r="Z7" i="1"/>
  <c r="AD7" i="1" s="1"/>
  <c r="Z576" i="1"/>
  <c r="AD576" i="1" s="1"/>
  <c r="AA19" i="1"/>
  <c r="AE19" i="1" s="1"/>
  <c r="AC60" i="1"/>
  <c r="AG60" i="1" s="1"/>
  <c r="AC18" i="1"/>
  <c r="AG18" i="1" s="1"/>
  <c r="AB97" i="1"/>
  <c r="AF97" i="1" s="1"/>
  <c r="AC133" i="1"/>
  <c r="AG133" i="1" s="1"/>
  <c r="AC277" i="1"/>
  <c r="AG277" i="1" s="1"/>
  <c r="AC77" i="1"/>
  <c r="AG77" i="1" s="1"/>
  <c r="AC159" i="1"/>
  <c r="AG159" i="1" s="1"/>
  <c r="AC238" i="1"/>
  <c r="AB76" i="1"/>
  <c r="AF76" i="1" s="1"/>
  <c r="AB164" i="1"/>
  <c r="AF164" i="1" s="1"/>
  <c r="AA460" i="1"/>
  <c r="Z460" i="1"/>
  <c r="AD460" i="1" s="1"/>
  <c r="Z497" i="1"/>
  <c r="AA497" i="1"/>
  <c r="AE497" i="1" s="1"/>
  <c r="Z585" i="1"/>
  <c r="AD585" i="1" s="1"/>
  <c r="AA585" i="1"/>
  <c r="AC614" i="1"/>
  <c r="AG614" i="1" s="1"/>
  <c r="AA518" i="1"/>
  <c r="AE518" i="1" s="1"/>
  <c r="Z518" i="1"/>
  <c r="AD518" i="1" s="1"/>
  <c r="AB520" i="1"/>
  <c r="AF520" i="1" s="1"/>
  <c r="AC620" i="1"/>
  <c r="AG620" i="1" s="1"/>
  <c r="Z587" i="1"/>
  <c r="AA587" i="1"/>
  <c r="AE587" i="1" s="1"/>
  <c r="AA510" i="1"/>
  <c r="AE510" i="1" s="1"/>
  <c r="Z510" i="1"/>
  <c r="AD510" i="1" s="1"/>
  <c r="Z507" i="1"/>
  <c r="AD507" i="1" s="1"/>
  <c r="AA507" i="1"/>
  <c r="AC576" i="1"/>
  <c r="AG576" i="1" s="1"/>
  <c r="Z144" i="1"/>
  <c r="AD144" i="1" s="1"/>
  <c r="AA144" i="1"/>
  <c r="AE144" i="1" s="1"/>
  <c r="Z131" i="1"/>
  <c r="AA131" i="1"/>
  <c r="AB511" i="1"/>
  <c r="AF511" i="1" s="1"/>
  <c r="AA522" i="1"/>
  <c r="AE522" i="1" s="1"/>
  <c r="Z522" i="1"/>
  <c r="AD522" i="1" s="1"/>
  <c r="Z106" i="1"/>
  <c r="AD106" i="1" s="1"/>
  <c r="AA106" i="1"/>
  <c r="AE106" i="1" s="1"/>
  <c r="AC135" i="1"/>
  <c r="AG135" i="1" s="1"/>
  <c r="AA67" i="1"/>
  <c r="Z67" i="1"/>
  <c r="AD67" i="1" s="1"/>
  <c r="Z18" i="1"/>
  <c r="AD18" i="1" s="1"/>
  <c r="AA18" i="1"/>
  <c r="AE18" i="1" s="1"/>
  <c r="Z30" i="1"/>
  <c r="AD30" i="1" s="1"/>
  <c r="AA30" i="1"/>
  <c r="Z257" i="1"/>
  <c r="AA257" i="1"/>
  <c r="AE257" i="1" s="1"/>
  <c r="AC117" i="1"/>
  <c r="AG117" i="1" s="1"/>
  <c r="AA210" i="1"/>
  <c r="AE210" i="1" s="1"/>
  <c r="Z210" i="1"/>
  <c r="Z60" i="1"/>
  <c r="AD60" i="1" s="1"/>
  <c r="AA60" i="1"/>
  <c r="AE60" i="1" s="1"/>
  <c r="AC224" i="1"/>
  <c r="AG224" i="1" s="1"/>
  <c r="Z42" i="1"/>
  <c r="AD42" i="1" s="1"/>
  <c r="AA42" i="1"/>
  <c r="AE42" i="1" s="1"/>
  <c r="AA604" i="1"/>
  <c r="AE604" i="1" s="1"/>
  <c r="Z604" i="1"/>
  <c r="AB159" i="1"/>
  <c r="AC524" i="1"/>
  <c r="AG524" i="1" s="1"/>
  <c r="Z242" i="1"/>
  <c r="AD242" i="1" s="1"/>
  <c r="AA242" i="1"/>
  <c r="AE242" i="1" s="1"/>
  <c r="AC286" i="1"/>
  <c r="Z170" i="1"/>
  <c r="AD170" i="1" s="1"/>
  <c r="AA170" i="1"/>
  <c r="AE170" i="1" s="1"/>
  <c r="Z12" i="1"/>
  <c r="AA12" i="1"/>
  <c r="AE12" i="1" s="1"/>
  <c r="AC34" i="1"/>
  <c r="AG34" i="1" s="1"/>
  <c r="Z192" i="1"/>
  <c r="AD192" i="1" s="1"/>
  <c r="AA192" i="1"/>
  <c r="AE192" i="1" s="1"/>
  <c r="AA27" i="1"/>
  <c r="AE27" i="1" s="1"/>
  <c r="Z27" i="1"/>
  <c r="AD27" i="1" s="1"/>
  <c r="AC255" i="1"/>
  <c r="AG255" i="1" s="1"/>
  <c r="Z134" i="1"/>
  <c r="AD134" i="1" s="1"/>
  <c r="AA134" i="1"/>
  <c r="AE134" i="1" s="1"/>
  <c r="AB23" i="1"/>
  <c r="AF23" i="1" s="1"/>
  <c r="AA232" i="1"/>
  <c r="AE232" i="1" s="1"/>
  <c r="Z232" i="1"/>
  <c r="AD232" i="1" s="1"/>
  <c r="AC7" i="1"/>
  <c r="AG7" i="1" s="1"/>
  <c r="AB607" i="1"/>
  <c r="AC26" i="1"/>
  <c r="AG26" i="1" s="1"/>
  <c r="Z198" i="1"/>
  <c r="AD198" i="1" s="1"/>
  <c r="AA198" i="1"/>
  <c r="AE198" i="1" s="1"/>
  <c r="AC291" i="1"/>
  <c r="AG291" i="1" s="1"/>
  <c r="AB521" i="1"/>
  <c r="AF521" i="1" s="1"/>
  <c r="AC22" i="1"/>
  <c r="AH22" i="1" s="1"/>
  <c r="AA87" i="1"/>
  <c r="Z87" i="1"/>
  <c r="AD87" i="1" s="1"/>
  <c r="AC32" i="1"/>
  <c r="AG32" i="1" s="1"/>
  <c r="AA235" i="1"/>
  <c r="Z235" i="1"/>
  <c r="AD235" i="1" s="1"/>
  <c r="AA478" i="1"/>
  <c r="Z478" i="1"/>
  <c r="AC494" i="1"/>
  <c r="AG494" i="1" s="1"/>
  <c r="AC62" i="1"/>
  <c r="AG62" i="1" s="1"/>
  <c r="AC85" i="1"/>
  <c r="AG85" i="1" s="1"/>
  <c r="AA466" i="1"/>
  <c r="AE466" i="1" s="1"/>
  <c r="Z466" i="1"/>
  <c r="AD466" i="1" s="1"/>
  <c r="AB191" i="1"/>
  <c r="AF191" i="1" s="1"/>
  <c r="AB289" i="1"/>
  <c r="AF289" i="1" s="1"/>
  <c r="AB240" i="1"/>
  <c r="AB143" i="1"/>
  <c r="AF143" i="1" s="1"/>
  <c r="AC265" i="1"/>
  <c r="AB534" i="1"/>
  <c r="AF534" i="1" s="1"/>
  <c r="AB264" i="1"/>
  <c r="AF264" i="1" s="1"/>
  <c r="AA514" i="1"/>
  <c r="AE514" i="1" s="1"/>
  <c r="Z514" i="1"/>
  <c r="AD514" i="1" s="1"/>
  <c r="AA523" i="1"/>
  <c r="AE523" i="1" s="1"/>
  <c r="Z523" i="1"/>
  <c r="AD523" i="1" s="1"/>
  <c r="AB273" i="1"/>
  <c r="AF273" i="1" s="1"/>
  <c r="AA579" i="1"/>
  <c r="AB611" i="1"/>
  <c r="AF611" i="1" s="1"/>
  <c r="AB189" i="1"/>
  <c r="AF189" i="1" s="1"/>
  <c r="AA253" i="1"/>
  <c r="AE253" i="1" s="1"/>
  <c r="AA243" i="1"/>
  <c r="AE243" i="1" s="1"/>
  <c r="AB124" i="1"/>
  <c r="AF124" i="1" s="1"/>
  <c r="AA576" i="1"/>
  <c r="AE576" i="1" s="1"/>
  <c r="Z278" i="1"/>
  <c r="AD278" i="1" s="1"/>
  <c r="AA278" i="1"/>
  <c r="AC285" i="1"/>
  <c r="AG285" i="1" s="1"/>
  <c r="Z40" i="1"/>
  <c r="AD40" i="1" s="1"/>
  <c r="AA40" i="1"/>
  <c r="AE40" i="1" s="1"/>
  <c r="AA221" i="1"/>
  <c r="Z221" i="1"/>
  <c r="AA469" i="1"/>
  <c r="AE469" i="1" s="1"/>
  <c r="Z469" i="1"/>
  <c r="AD469" i="1" s="1"/>
  <c r="AA490" i="1"/>
  <c r="Z490" i="1"/>
  <c r="AD490" i="1" s="1"/>
  <c r="Z162" i="1"/>
  <c r="AD162" i="1" s="1"/>
  <c r="AA162" i="1"/>
  <c r="AE162" i="1" s="1"/>
  <c r="AB468" i="1"/>
  <c r="AF468" i="1" s="1"/>
  <c r="AC534" i="1"/>
  <c r="AG534" i="1" s="1"/>
  <c r="AC47" i="1"/>
  <c r="AG47" i="1" s="1"/>
  <c r="AC36" i="1"/>
  <c r="AG36" i="1" s="1"/>
  <c r="AB187" i="1"/>
  <c r="AF187" i="1" s="1"/>
  <c r="AC83" i="1"/>
  <c r="AG83" i="1" s="1"/>
  <c r="AB188" i="1"/>
  <c r="AF188" i="1" s="1"/>
  <c r="AB278" i="1"/>
  <c r="AF278" i="1" s="1"/>
  <c r="AC106" i="1"/>
  <c r="AG106" i="1" s="1"/>
  <c r="AC93" i="1"/>
  <c r="AG93" i="1" s="1"/>
  <c r="AA517" i="1"/>
  <c r="AE517" i="1" s="1"/>
  <c r="Z517" i="1"/>
  <c r="AC471" i="1"/>
  <c r="AG471" i="1" s="1"/>
  <c r="AF504" i="1"/>
  <c r="AC504" i="1"/>
  <c r="AG504" i="1" s="1"/>
  <c r="Z515" i="1"/>
  <c r="AA515" i="1"/>
  <c r="AE515" i="1" s="1"/>
  <c r="AB575" i="1"/>
  <c r="AC619" i="1"/>
  <c r="AG619" i="1" s="1"/>
  <c r="Z548" i="1"/>
  <c r="AA548" i="1"/>
  <c r="AE548" i="1" s="1"/>
  <c r="AC567" i="1"/>
  <c r="AG567" i="1" s="1"/>
  <c r="AB589" i="1"/>
  <c r="AF589" i="1" s="1"/>
  <c r="AC609" i="1"/>
  <c r="AG609" i="1" s="1"/>
  <c r="AB578" i="1"/>
  <c r="AA505" i="1"/>
  <c r="Z505" i="1"/>
  <c r="AD505" i="1" s="1"/>
  <c r="Z610" i="1"/>
  <c r="AD610" i="1" s="1"/>
  <c r="AA610" i="1"/>
  <c r="AC613" i="1"/>
  <c r="AG613" i="1" s="1"/>
  <c r="AB573" i="1"/>
  <c r="AF573" i="1" s="1"/>
  <c r="Z78" i="1"/>
  <c r="AD78" i="1" s="1"/>
  <c r="AA78" i="1"/>
  <c r="AE78" i="1" s="1"/>
  <c r="Z171" i="1"/>
  <c r="AD171" i="1" s="1"/>
  <c r="AA171" i="1"/>
  <c r="AC577" i="1"/>
  <c r="AG577" i="1" s="1"/>
  <c r="AA566" i="1"/>
  <c r="Z566" i="1"/>
  <c r="AD566" i="1" s="1"/>
  <c r="Z203" i="1"/>
  <c r="AA203" i="1"/>
  <c r="AE203" i="1" s="1"/>
  <c r="AB54" i="1"/>
  <c r="AB80" i="1"/>
  <c r="AF80" i="1" s="1"/>
  <c r="AC56" i="1"/>
  <c r="AG56" i="1" s="1"/>
  <c r="AC179" i="1"/>
  <c r="AG179" i="1" s="1"/>
  <c r="AC245" i="1"/>
  <c r="AG245" i="1" s="1"/>
  <c r="Z173" i="1"/>
  <c r="AA173" i="1"/>
  <c r="AE173" i="1" s="1"/>
  <c r="AC81" i="1"/>
  <c r="AG81" i="1" s="1"/>
  <c r="Z123" i="1"/>
  <c r="AD123" i="1" s="1"/>
  <c r="AA123" i="1"/>
  <c r="AE123" i="1" s="1"/>
  <c r="AC278" i="1"/>
  <c r="AG278" i="1" s="1"/>
  <c r="AC556" i="1"/>
  <c r="AG556" i="1" s="1"/>
  <c r="Z191" i="1"/>
  <c r="AA191" i="1"/>
  <c r="Z183" i="1"/>
  <c r="AD183" i="1" s="1"/>
  <c r="AA183" i="1"/>
  <c r="AE183" i="1" s="1"/>
  <c r="Z21" i="1"/>
  <c r="AD21" i="1" s="1"/>
  <c r="AA21" i="1"/>
  <c r="AE21" i="1" s="1"/>
  <c r="AB40" i="1"/>
  <c r="AF40" i="1" s="1"/>
  <c r="AA45" i="1"/>
  <c r="Z45" i="1"/>
  <c r="AD45" i="1" s="1"/>
  <c r="AC155" i="1"/>
  <c r="AG155" i="1" s="1"/>
  <c r="AC248" i="1"/>
  <c r="AG248" i="1" s="1"/>
  <c r="AB168" i="1"/>
  <c r="AC282" i="1"/>
  <c r="AG282" i="1" s="1"/>
  <c r="AC231" i="1"/>
  <c r="AG231" i="1" s="1"/>
  <c r="AB108" i="1"/>
  <c r="AF108" i="1" s="1"/>
  <c r="AA5" i="1"/>
  <c r="AE5" i="1" s="1"/>
  <c r="Z5" i="1"/>
  <c r="AA464" i="1"/>
  <c r="Z464" i="1"/>
  <c r="AD464" i="1" s="1"/>
  <c r="AB147" i="1"/>
  <c r="AF147" i="1" s="1"/>
  <c r="AA526" i="1"/>
  <c r="Z526" i="1"/>
  <c r="AD526" i="1" s="1"/>
  <c r="AC127" i="1"/>
  <c r="AG127" i="1" s="1"/>
  <c r="AA114" i="1"/>
  <c r="AE114" i="1" s="1"/>
  <c r="Z114" i="1"/>
  <c r="AD114" i="1" s="1"/>
  <c r="AA211" i="1"/>
  <c r="Z211" i="1"/>
  <c r="AD211" i="1" s="1"/>
  <c r="Z119" i="1"/>
  <c r="AA119" i="1"/>
  <c r="AE119" i="1" s="1"/>
  <c r="Z125" i="1"/>
  <c r="AA125" i="1"/>
  <c r="AC228" i="1"/>
  <c r="AG228" i="1" s="1"/>
  <c r="AC193" i="1"/>
  <c r="AG193" i="1" s="1"/>
  <c r="AA486" i="1"/>
  <c r="Z486" i="1"/>
  <c r="AD486" i="1" s="1"/>
  <c r="AB615" i="1"/>
  <c r="AF615" i="1" s="1"/>
  <c r="AB584" i="1"/>
  <c r="AF584" i="1" s="1"/>
  <c r="AB46" i="1"/>
  <c r="AC560" i="1"/>
  <c r="AG560" i="1" s="1"/>
  <c r="AB474" i="1"/>
  <c r="AF474" i="1" s="1"/>
  <c r="AC537" i="1"/>
  <c r="AG537" i="1" s="1"/>
  <c r="Z561" i="1"/>
  <c r="AD561" i="1" s="1"/>
  <c r="AA561" i="1"/>
  <c r="AB43" i="1"/>
  <c r="AF43" i="1" s="1"/>
  <c r="Z164" i="1"/>
  <c r="AD164" i="1" s="1"/>
  <c r="AA164" i="1"/>
  <c r="AC139" i="1"/>
  <c r="AG139" i="1" s="1"/>
  <c r="AA538" i="1"/>
  <c r="AE538" i="1" s="1"/>
  <c r="Z538" i="1"/>
  <c r="AD538" i="1" s="1"/>
  <c r="AB249" i="1"/>
  <c r="AF249" i="1" s="1"/>
  <c r="AC514" i="1"/>
  <c r="AG514" i="1" s="1"/>
  <c r="Z463" i="1"/>
  <c r="AD463" i="1" s="1"/>
  <c r="Z551" i="1"/>
  <c r="AB81" i="1"/>
  <c r="AF81" i="1" s="1"/>
  <c r="AA294" i="1"/>
  <c r="AE294" i="1" s="1"/>
  <c r="Z223" i="1"/>
  <c r="AD223" i="1" s="1"/>
  <c r="AA237" i="1"/>
  <c r="AA179" i="1"/>
  <c r="AB135" i="1"/>
  <c r="AF135" i="1" s="1"/>
  <c r="Z256" i="1"/>
  <c r="AD256" i="1" s="1"/>
  <c r="Z534" i="1"/>
  <c r="AD534" i="1" s="1"/>
  <c r="Z214" i="1"/>
  <c r="AD214" i="1" s="1"/>
  <c r="AA286" i="1"/>
  <c r="AE286" i="1" s="1"/>
  <c r="Z572" i="1"/>
  <c r="AD572" i="1" s="1"/>
  <c r="AA169" i="1"/>
  <c r="AE169" i="1" s="1"/>
  <c r="AA501" i="1"/>
  <c r="AE501" i="1" s="1"/>
  <c r="AA184" i="1"/>
  <c r="AE184" i="1" s="1"/>
  <c r="AA482" i="1"/>
  <c r="AB90" i="1"/>
  <c r="AB126" i="1"/>
  <c r="Z289" i="1"/>
  <c r="AD289" i="1" s="1"/>
  <c r="Z100" i="1"/>
  <c r="AD100" i="1" s="1"/>
  <c r="Z280" i="1"/>
  <c r="AD280" i="1" s="1"/>
  <c r="AB65" i="1"/>
  <c r="AF65" i="1" s="1"/>
  <c r="AC259" i="1"/>
  <c r="AG259" i="1" s="1"/>
  <c r="AC148" i="1"/>
  <c r="AG148" i="1" s="1"/>
  <c r="AC73" i="1"/>
  <c r="AG73" i="1" s="1"/>
  <c r="AB614" i="1"/>
  <c r="AF614" i="1" s="1"/>
  <c r="AC510" i="1"/>
  <c r="AG510" i="1" s="1"/>
  <c r="AC109" i="1"/>
  <c r="AG109" i="1" s="1"/>
  <c r="AC204" i="1"/>
  <c r="AG204" i="1" s="1"/>
  <c r="Z263" i="1"/>
  <c r="AA263" i="1"/>
  <c r="AE263" i="1" s="1"/>
  <c r="AA230" i="1"/>
  <c r="AE230" i="1" s="1"/>
  <c r="Z230" i="1"/>
  <c r="AD230" i="1" s="1"/>
  <c r="Z53" i="1"/>
  <c r="AA53" i="1"/>
  <c r="AE53" i="1" s="1"/>
  <c r="Z281" i="1"/>
  <c r="AA281" i="1"/>
  <c r="AE281" i="1" s="1"/>
  <c r="Z275" i="1"/>
  <c r="AA275" i="1"/>
  <c r="AE275" i="1" s="1"/>
  <c r="AB14" i="1"/>
  <c r="AB610" i="1"/>
  <c r="AF610" i="1" s="1"/>
  <c r="AC258" i="1"/>
  <c r="AG258" i="1" s="1"/>
  <c r="AB526" i="1"/>
  <c r="AF526" i="1" s="1"/>
  <c r="Z64" i="1"/>
  <c r="AD64" i="1" s="1"/>
  <c r="AA64" i="1"/>
  <c r="AE64" i="1" s="1"/>
  <c r="AB10" i="1"/>
  <c r="AF10" i="1" s="1"/>
  <c r="AC111" i="1"/>
  <c r="AG111" i="1" s="1"/>
  <c r="AB26" i="1"/>
  <c r="AF26" i="1" s="1"/>
  <c r="AA471" i="1"/>
  <c r="AE471" i="1" s="1"/>
  <c r="AG154" i="1"/>
  <c r="AB86" i="1"/>
  <c r="AF86" i="1" s="1"/>
  <c r="AB292" i="1"/>
  <c r="AF292" i="1" s="1"/>
  <c r="AB224" i="1"/>
  <c r="AB498" i="1"/>
  <c r="AF498" i="1" s="1"/>
  <c r="AB489" i="1"/>
  <c r="AF489" i="1" s="1"/>
  <c r="AB508" i="1"/>
  <c r="Z135" i="1"/>
  <c r="AD135" i="1" s="1"/>
  <c r="AA135" i="1"/>
  <c r="AE135" i="1" s="1"/>
  <c r="AC210" i="1"/>
  <c r="AG210" i="1" s="1"/>
  <c r="Z252" i="1"/>
  <c r="AD252" i="1" s="1"/>
  <c r="AA252" i="1"/>
  <c r="AE252" i="1" s="1"/>
  <c r="AC207" i="1"/>
  <c r="AG207" i="1" s="1"/>
  <c r="AC281" i="1"/>
  <c r="AG281" i="1" s="1"/>
  <c r="Z113" i="1"/>
  <c r="AA113" i="1"/>
  <c r="Z468" i="1"/>
  <c r="AD468" i="1" s="1"/>
  <c r="AA468" i="1"/>
  <c r="Z590" i="1"/>
  <c r="AD590" i="1" s="1"/>
  <c r="AA590" i="1"/>
  <c r="AE590" i="1" s="1"/>
  <c r="AB160" i="1"/>
  <c r="AF160" i="1" s="1"/>
  <c r="AB115" i="1"/>
  <c r="AF115" i="1" s="1"/>
  <c r="AC97" i="1"/>
  <c r="AG97" i="1" s="1"/>
  <c r="AC67" i="1"/>
  <c r="AG67" i="1" s="1"/>
  <c r="AB242" i="1"/>
  <c r="AF242" i="1" s="1"/>
  <c r="AC178" i="1"/>
  <c r="AG178" i="1" s="1"/>
  <c r="AA539" i="1"/>
  <c r="AE539" i="1" s="1"/>
  <c r="Z539" i="1"/>
  <c r="AB483" i="1"/>
  <c r="AF483" i="1" s="1"/>
  <c r="Z543" i="1"/>
  <c r="AD543" i="1" s="1"/>
  <c r="AA543" i="1"/>
  <c r="AE543" i="1" s="1"/>
  <c r="AC587" i="1"/>
  <c r="AG587" i="1" s="1"/>
  <c r="AB512" i="1"/>
  <c r="AF512" i="1" s="1"/>
  <c r="AA101" i="1"/>
  <c r="AE101" i="1" s="1"/>
  <c r="Z101" i="1"/>
  <c r="AB176" i="1"/>
  <c r="AF176" i="1" s="1"/>
  <c r="AB67" i="1"/>
  <c r="AF67" i="1" s="1"/>
  <c r="AC257" i="1"/>
  <c r="AG257" i="1" s="1"/>
  <c r="Z251" i="1"/>
  <c r="AA251" i="1"/>
  <c r="AE251" i="1" s="1"/>
  <c r="AC607" i="1"/>
  <c r="AG607" i="1" s="1"/>
  <c r="Z267" i="1"/>
  <c r="AD267" i="1" s="1"/>
  <c r="AA267" i="1"/>
  <c r="Z26" i="1"/>
  <c r="AD26" i="1" s="1"/>
  <c r="AB3" i="1"/>
  <c r="AF3" i="1" s="1"/>
  <c r="AB133" i="1"/>
  <c r="AF133" i="1" s="1"/>
  <c r="AC169" i="1"/>
  <c r="AG169" i="1" s="1"/>
  <c r="AB79" i="1"/>
  <c r="AF79" i="1" s="1"/>
  <c r="AC256" i="1"/>
  <c r="AG256" i="1" s="1"/>
  <c r="AB182" i="1"/>
  <c r="AF182" i="1" s="1"/>
  <c r="AC602" i="1"/>
  <c r="AG602" i="1" s="1"/>
  <c r="AA545" i="1"/>
  <c r="AE545" i="1" s="1"/>
  <c r="Z545" i="1"/>
  <c r="AC95" i="1"/>
  <c r="AG95" i="1" s="1"/>
  <c r="Z65" i="1"/>
  <c r="AA65" i="1"/>
  <c r="AE65" i="1" s="1"/>
  <c r="AC542" i="1"/>
  <c r="AG542" i="1" s="1"/>
  <c r="Z272" i="1"/>
  <c r="AA272" i="1"/>
  <c r="AE272" i="1" s="1"/>
  <c r="AC167" i="1"/>
  <c r="AG167" i="1" s="1"/>
  <c r="AC273" i="1"/>
  <c r="AG273" i="1" s="1"/>
  <c r="Z33" i="1"/>
  <c r="AD33" i="1" s="1"/>
  <c r="AA33" i="1"/>
  <c r="AE33" i="1" s="1"/>
  <c r="AC13" i="1"/>
  <c r="AG13" i="1" s="1"/>
  <c r="AA161" i="1"/>
  <c r="AE161" i="1" s="1"/>
  <c r="Z161" i="1"/>
  <c r="AA49" i="1"/>
  <c r="AE49" i="1" s="1"/>
  <c r="Z49" i="1"/>
  <c r="AD49" i="1" s="1"/>
  <c r="AB50" i="1"/>
  <c r="Z99" i="1"/>
  <c r="AD99" i="1" s="1"/>
  <c r="AA99" i="1"/>
  <c r="AH99" i="1" s="1"/>
  <c r="AB112" i="1"/>
  <c r="AF112" i="1" s="1"/>
  <c r="AC462" i="1"/>
  <c r="AG462" i="1" s="1"/>
  <c r="AC536" i="1"/>
  <c r="AG536" i="1" s="1"/>
  <c r="Z586" i="1"/>
  <c r="AD586" i="1" s="1"/>
  <c r="AA586" i="1"/>
  <c r="AE586" i="1" s="1"/>
  <c r="AB137" i="1"/>
  <c r="AF137" i="1" s="1"/>
  <c r="Z594" i="1"/>
  <c r="AD594" i="1" s="1"/>
  <c r="AA594" i="1"/>
  <c r="AC595" i="1"/>
  <c r="AG595" i="1" s="1"/>
  <c r="AF558" i="1"/>
  <c r="AC558" i="1"/>
  <c r="AG558" i="1" s="1"/>
  <c r="Z82" i="1"/>
  <c r="AD82" i="1" s="1"/>
  <c r="AA277" i="1"/>
  <c r="Z148" i="1"/>
  <c r="AD148" i="1" s="1"/>
  <c r="AF49" i="1"/>
  <c r="AC49" i="1"/>
  <c r="AG49" i="1" s="1"/>
  <c r="AB151" i="1"/>
  <c r="AF151" i="1" s="1"/>
  <c r="AC115" i="1"/>
  <c r="AG115" i="1" s="1"/>
  <c r="AC74" i="1"/>
  <c r="AG74" i="1" s="1"/>
  <c r="Z467" i="1"/>
  <c r="AA467" i="1"/>
  <c r="AE467" i="1" s="1"/>
  <c r="AC616" i="1"/>
  <c r="AG616" i="1" s="1"/>
  <c r="AB496" i="1"/>
  <c r="AF496" i="1" s="1"/>
  <c r="AB480" i="1"/>
  <c r="AF480" i="1" s="1"/>
  <c r="AB542" i="1"/>
  <c r="AF542" i="1" s="1"/>
  <c r="Z195" i="1"/>
  <c r="AD195" i="1" s="1"/>
  <c r="AA195" i="1"/>
  <c r="Z152" i="1"/>
  <c r="AD152" i="1" s="1"/>
  <c r="AA152" i="1"/>
  <c r="AE152" i="1" s="1"/>
  <c r="Z260" i="1"/>
  <c r="AD260" i="1" s="1"/>
  <c r="AA260" i="1"/>
  <c r="AE260" i="1" s="1"/>
  <c r="AC116" i="1"/>
  <c r="AG116" i="1" s="1"/>
  <c r="AC31" i="1"/>
  <c r="AG31" i="1" s="1"/>
  <c r="AC149" i="1"/>
  <c r="AG149" i="1" s="1"/>
  <c r="AB618" i="1"/>
  <c r="AH618" i="1" s="1"/>
  <c r="AB61" i="1"/>
  <c r="AF61" i="1" s="1"/>
  <c r="AC183" i="1"/>
  <c r="AG183" i="1" s="1"/>
  <c r="AB284" i="1"/>
  <c r="AA208" i="1"/>
  <c r="Z208" i="1"/>
  <c r="AD208" i="1" s="1"/>
  <c r="AC161" i="1"/>
  <c r="AG161" i="1" s="1"/>
  <c r="AC276" i="1"/>
  <c r="AG276" i="1" s="1"/>
  <c r="AC59" i="1"/>
  <c r="AG59" i="1" s="1"/>
  <c r="Z75" i="1"/>
  <c r="AD75" i="1" s="1"/>
  <c r="AA75" i="1"/>
  <c r="Z465" i="1"/>
  <c r="AD465" i="1" s="1"/>
  <c r="AA465" i="1"/>
  <c r="AE465" i="1" s="1"/>
  <c r="AC19" i="1"/>
  <c r="AG19" i="1" s="1"/>
  <c r="Z485" i="1"/>
  <c r="AA485" i="1"/>
  <c r="Z621" i="1"/>
  <c r="AD621" i="1" s="1"/>
  <c r="AA621" i="1"/>
  <c r="AE621" i="1" s="1"/>
  <c r="AC52" i="1"/>
  <c r="AG52" i="1" s="1"/>
  <c r="AC214" i="1"/>
  <c r="AG214" i="1" s="1"/>
  <c r="AA94" i="1"/>
  <c r="AE94" i="1" s="1"/>
  <c r="AA274" i="1"/>
  <c r="AA76" i="1"/>
  <c r="AE76" i="1" s="1"/>
  <c r="AA160" i="1"/>
  <c r="AE160" i="1" s="1"/>
  <c r="AA50" i="1"/>
  <c r="AE50" i="1" s="1"/>
  <c r="AC6" i="1"/>
  <c r="AG6" i="1" s="1"/>
  <c r="AB98" i="1"/>
  <c r="AF98" i="1" s="1"/>
  <c r="AB92" i="1"/>
  <c r="AC509" i="1"/>
  <c r="AG509" i="1" s="1"/>
  <c r="AC260" i="1"/>
  <c r="AG260" i="1" s="1"/>
  <c r="Z122" i="1"/>
  <c r="AA122" i="1"/>
  <c r="AE122" i="1" s="1"/>
  <c r="Z80" i="1"/>
  <c r="AD80" i="1" s="1"/>
  <c r="AA80" i="1"/>
  <c r="Z245" i="1"/>
  <c r="AA245" i="1"/>
  <c r="AE245" i="1" s="1"/>
  <c r="AA81" i="1"/>
  <c r="AE81" i="1" s="1"/>
  <c r="Z81" i="1"/>
  <c r="AD81" i="1" s="1"/>
  <c r="AA89" i="1"/>
  <c r="AE89" i="1" s="1"/>
  <c r="Z89" i="1"/>
  <c r="Z290" i="1"/>
  <c r="AA290" i="1"/>
  <c r="AE290" i="1" s="1"/>
  <c r="AA13" i="1"/>
  <c r="AE13" i="1" s="1"/>
  <c r="Z13" i="1"/>
  <c r="AD13" i="1" s="1"/>
  <c r="Z155" i="1"/>
  <c r="AA155" i="1"/>
  <c r="AE155" i="1" s="1"/>
  <c r="AC168" i="1"/>
  <c r="AG168" i="1" s="1"/>
  <c r="Z231" i="1"/>
  <c r="AD231" i="1" s="1"/>
  <c r="AA231" i="1"/>
  <c r="AE231" i="1" s="1"/>
  <c r="Z59" i="1"/>
  <c r="AA59" i="1"/>
  <c r="AE59" i="1" s="1"/>
  <c r="AB121" i="1"/>
  <c r="Z107" i="1"/>
  <c r="AA107" i="1"/>
  <c r="AA558" i="1"/>
  <c r="Z558" i="1"/>
  <c r="AD558" i="1" s="1"/>
  <c r="AA554" i="1"/>
  <c r="AE554" i="1" s="1"/>
  <c r="Z554" i="1"/>
  <c r="AD554" i="1" s="1"/>
  <c r="Z286" i="1"/>
  <c r="AD286" i="1" s="1"/>
  <c r="AA572" i="1"/>
  <c r="AE572" i="1" s="1"/>
  <c r="Z151" i="1"/>
  <c r="AD151" i="1" s="1"/>
  <c r="AC42" i="1"/>
  <c r="AG42" i="1" s="1"/>
  <c r="AC39" i="1"/>
  <c r="AG39" i="1" s="1"/>
  <c r="AB205" i="1"/>
  <c r="AF205" i="1" s="1"/>
  <c r="AC216" i="1"/>
  <c r="AG216" i="1" s="1"/>
  <c r="AC151" i="1"/>
  <c r="AG151" i="1" s="1"/>
  <c r="AB148" i="1"/>
  <c r="AB116" i="1"/>
  <c r="AF116" i="1" s="1"/>
  <c r="AC195" i="1"/>
  <c r="AG195" i="1" s="1"/>
  <c r="AC292" i="1"/>
  <c r="AG292" i="1" s="1"/>
  <c r="AB110" i="1"/>
  <c r="AF110" i="1" s="1"/>
  <c r="AC69" i="1"/>
  <c r="AG69" i="1" s="1"/>
  <c r="AC479" i="1"/>
  <c r="AG479" i="1" s="1"/>
  <c r="AB525" i="1"/>
  <c r="AC551" i="1"/>
  <c r="AG551" i="1" s="1"/>
  <c r="Z521" i="1"/>
  <c r="AA521" i="1"/>
  <c r="Z603" i="1"/>
  <c r="AD603" i="1" s="1"/>
  <c r="AA603" i="1"/>
  <c r="AE603" i="1" s="1"/>
  <c r="AB596" i="1"/>
  <c r="AF596" i="1" s="1"/>
  <c r="AB619" i="1"/>
  <c r="AF619" i="1" s="1"/>
  <c r="AC548" i="1"/>
  <c r="AG548" i="1" s="1"/>
  <c r="Z533" i="1"/>
  <c r="AA533" i="1"/>
  <c r="AE533" i="1" s="1"/>
  <c r="AA487" i="1"/>
  <c r="AE487" i="1" s="1"/>
  <c r="Z487" i="1"/>
  <c r="AD487" i="1" s="1"/>
  <c r="Z578" i="1"/>
  <c r="AD578" i="1" s="1"/>
  <c r="AA578" i="1"/>
  <c r="AE578" i="1" s="1"/>
  <c r="AC461" i="1"/>
  <c r="AG461" i="1" s="1"/>
  <c r="AC527" i="1"/>
  <c r="AG527" i="1" s="1"/>
  <c r="AA470" i="1"/>
  <c r="Z470" i="1"/>
  <c r="AD470" i="1" s="1"/>
  <c r="Z605" i="1"/>
  <c r="AA605" i="1"/>
  <c r="AE605" i="1" s="1"/>
  <c r="Z77" i="1"/>
  <c r="AA77" i="1"/>
  <c r="AE77" i="1" s="1"/>
  <c r="AA137" i="1"/>
  <c r="AE137" i="1" s="1"/>
  <c r="Z137" i="1"/>
  <c r="AC171" i="1"/>
  <c r="AG171" i="1" s="1"/>
  <c r="Z577" i="1"/>
  <c r="AA577" i="1"/>
  <c r="AE577" i="1" s="1"/>
  <c r="AC566" i="1"/>
  <c r="AC203" i="1"/>
  <c r="AG203" i="1" s="1"/>
  <c r="AA546" i="1"/>
  <c r="AE546" i="1" s="1"/>
  <c r="Z546" i="1"/>
  <c r="AD546" i="1" s="1"/>
  <c r="AC163" i="1"/>
  <c r="AG163" i="1" s="1"/>
  <c r="AC118" i="1"/>
  <c r="Z98" i="1"/>
  <c r="AD98" i="1" s="1"/>
  <c r="AA98" i="1"/>
  <c r="AE98" i="1" s="1"/>
  <c r="AB68" i="1"/>
  <c r="AF68" i="1" s="1"/>
  <c r="Z188" i="1"/>
  <c r="AD188" i="1" s="1"/>
  <c r="AA188" i="1"/>
  <c r="AE188" i="1" s="1"/>
  <c r="AA266" i="1"/>
  <c r="AE266" i="1" s="1"/>
  <c r="Z266" i="1"/>
  <c r="AD266" i="1" s="1"/>
  <c r="AC173" i="1"/>
  <c r="AG173" i="1" s="1"/>
  <c r="Z153" i="1"/>
  <c r="AD153" i="1" s="1"/>
  <c r="AA153" i="1"/>
  <c r="AE153" i="1" s="1"/>
  <c r="AC123" i="1"/>
  <c r="AG123" i="1" s="1"/>
  <c r="AA288" i="1"/>
  <c r="AE288" i="1" s="1"/>
  <c r="Z288" i="1"/>
  <c r="AD288" i="1" s="1"/>
  <c r="AA15" i="1"/>
  <c r="AE15" i="1" s="1"/>
  <c r="Z15" i="1"/>
  <c r="AD15" i="1" s="1"/>
  <c r="Z234" i="1"/>
  <c r="AD234" i="1" s="1"/>
  <c r="AA234" i="1"/>
  <c r="AE234" i="1" s="1"/>
  <c r="AC20" i="1"/>
  <c r="AG20" i="1" s="1"/>
  <c r="AA154" i="1"/>
  <c r="Z154" i="1"/>
  <c r="AD154" i="1" s="1"/>
  <c r="AB21" i="1"/>
  <c r="AF21" i="1" s="1"/>
  <c r="AC46" i="1"/>
  <c r="AG46" i="1" s="1"/>
  <c r="AB45" i="1"/>
  <c r="AF45" i="1" s="1"/>
  <c r="AC221" i="1"/>
  <c r="AG221" i="1" s="1"/>
  <c r="Z186" i="1"/>
  <c r="AD186" i="1" s="1"/>
  <c r="AA186" i="1"/>
  <c r="AE186" i="1" s="1"/>
  <c r="AB254" i="1"/>
  <c r="AF254" i="1" s="1"/>
  <c r="Z168" i="1"/>
  <c r="AD168" i="1" s="1"/>
  <c r="AA168" i="1"/>
  <c r="AE168" i="1" s="1"/>
  <c r="AC237" i="1"/>
  <c r="AG237" i="1" s="1"/>
  <c r="AC271" i="1"/>
  <c r="AG271" i="1" s="1"/>
  <c r="AB5" i="1"/>
  <c r="AF5" i="1" s="1"/>
  <c r="Z473" i="1"/>
  <c r="AA473" i="1"/>
  <c r="AE473" i="1" s="1"/>
  <c r="Z564" i="1"/>
  <c r="AD564" i="1" s="1"/>
  <c r="AA564" i="1"/>
  <c r="AB140" i="1"/>
  <c r="AF140" i="1" s="1"/>
  <c r="Z270" i="1"/>
  <c r="AD270" i="1" s="1"/>
  <c r="AA270" i="1"/>
  <c r="AE270" i="1" s="1"/>
  <c r="Z296" i="1"/>
  <c r="AD296" i="1" s="1"/>
  <c r="AA296" i="1"/>
  <c r="Z127" i="1"/>
  <c r="AD127" i="1" s="1"/>
  <c r="AA127" i="1"/>
  <c r="AE127" i="1" s="1"/>
  <c r="AB235" i="1"/>
  <c r="AC243" i="1"/>
  <c r="AG243" i="1" s="1"/>
  <c r="AC499" i="1"/>
  <c r="AG499" i="1" s="1"/>
  <c r="Z142" i="1"/>
  <c r="AD142" i="1" s="1"/>
  <c r="AA142" i="1"/>
  <c r="AE142" i="1" s="1"/>
  <c r="AB464" i="1"/>
  <c r="AF464" i="1" s="1"/>
  <c r="AB55" i="1"/>
  <c r="AF55" i="1" s="1"/>
  <c r="AB262" i="1"/>
  <c r="AF262" i="1" s="1"/>
  <c r="AC574" i="1"/>
  <c r="AG574" i="1" s="1"/>
  <c r="AF478" i="1"/>
  <c r="AC478" i="1"/>
  <c r="AG478" i="1" s="1"/>
  <c r="Z552" i="1"/>
  <c r="AD552" i="1" s="1"/>
  <c r="AA552" i="1"/>
  <c r="AC568" i="1"/>
  <c r="AC579" i="1"/>
  <c r="AG579" i="1" s="1"/>
  <c r="AB552" i="1"/>
  <c r="AF552" i="1" s="1"/>
  <c r="AC222" i="1"/>
  <c r="AG222" i="1" s="1"/>
  <c r="AC591" i="1"/>
  <c r="AG591" i="1" s="1"/>
  <c r="AC129" i="1"/>
  <c r="AG129" i="1" s="1"/>
  <c r="Z574" i="1"/>
  <c r="AA574" i="1"/>
  <c r="AE574" i="1" s="1"/>
  <c r="Z93" i="1"/>
  <c r="AD93" i="1" s="1"/>
  <c r="Z294" i="1"/>
  <c r="AD294" i="1" s="1"/>
  <c r="Z179" i="1"/>
  <c r="AB231" i="1"/>
  <c r="AF231" i="1" s="1"/>
  <c r="AA534" i="1"/>
  <c r="AA17" i="1"/>
  <c r="AE17" i="1" s="1"/>
  <c r="Z97" i="1"/>
  <c r="AD97" i="1" s="1"/>
  <c r="AB31" i="1"/>
  <c r="AF31" i="1" s="1"/>
  <c r="AB123" i="1"/>
  <c r="AF123" i="1" s="1"/>
  <c r="AA46" i="1"/>
  <c r="AE46" i="1" s="1"/>
  <c r="AA187" i="1"/>
  <c r="AE187" i="1" s="1"/>
  <c r="AA289" i="1"/>
  <c r="AE289" i="1" s="1"/>
  <c r="AB462" i="1"/>
  <c r="AF462" i="1" s="1"/>
  <c r="AC54" i="1"/>
  <c r="AG54" i="1" s="1"/>
  <c r="AC12" i="1"/>
  <c r="AG12" i="1" s="1"/>
  <c r="AC70" i="1"/>
  <c r="AG70" i="1" s="1"/>
  <c r="AB220" i="1"/>
  <c r="AF220" i="1" s="1"/>
  <c r="AC80" i="1"/>
  <c r="AG80" i="1" s="1"/>
  <c r="AB506" i="1"/>
  <c r="AF506" i="1" s="1"/>
  <c r="AA520" i="1"/>
  <c r="AE520" i="1" s="1"/>
  <c r="Z520" i="1"/>
  <c r="AD520" i="1" s="1"/>
  <c r="AB583" i="1"/>
  <c r="AF583" i="1" s="1"/>
  <c r="Z549" i="1"/>
  <c r="AD549" i="1" s="1"/>
  <c r="AA549" i="1"/>
  <c r="AC508" i="1"/>
  <c r="AG508" i="1" s="1"/>
  <c r="AB100" i="1"/>
  <c r="Z293" i="1"/>
  <c r="AA293" i="1"/>
  <c r="AE293" i="1" s="1"/>
  <c r="AA9" i="1"/>
  <c r="AE9" i="1" s="1"/>
  <c r="Z9" i="1"/>
  <c r="AD9" i="1" s="1"/>
  <c r="AC110" i="1"/>
  <c r="AG110" i="1" s="1"/>
  <c r="AC194" i="1"/>
  <c r="AG194" i="1" s="1"/>
  <c r="Z36" i="1"/>
  <c r="AD36" i="1" s="1"/>
  <c r="AA36" i="1"/>
  <c r="AE36" i="1" s="1"/>
  <c r="AA529" i="1"/>
  <c r="AE529" i="1" s="1"/>
  <c r="Z529" i="1"/>
  <c r="AD529" i="1" s="1"/>
  <c r="AC91" i="1"/>
  <c r="AG91" i="1" s="1"/>
  <c r="AC229" i="1"/>
  <c r="AG229" i="1" s="1"/>
  <c r="Z201" i="1"/>
  <c r="AD201" i="1" s="1"/>
  <c r="AA201" i="1"/>
  <c r="AE201" i="1" s="1"/>
  <c r="AB141" i="1"/>
  <c r="AF141" i="1" s="1"/>
  <c r="Z246" i="1"/>
  <c r="AD246" i="1" s="1"/>
  <c r="AA246" i="1"/>
  <c r="AE246" i="1" s="1"/>
  <c r="AC466" i="1"/>
  <c r="AG466" i="1" s="1"/>
  <c r="AC584" i="1"/>
  <c r="AG584" i="1" s="1"/>
  <c r="AC38" i="1"/>
  <c r="AG38" i="1" s="1"/>
  <c r="AB125" i="1"/>
  <c r="AF125" i="1" s="1"/>
  <c r="Z599" i="1"/>
  <c r="AA599" i="1"/>
  <c r="AI597" i="1"/>
  <c r="AA597" i="1"/>
  <c r="Z597" i="1"/>
  <c r="AD597" i="1" s="1"/>
  <c r="AB256" i="1"/>
  <c r="AF256" i="1" s="1"/>
  <c r="AC58" i="1"/>
  <c r="AG58" i="1" s="1"/>
  <c r="AB12" i="1"/>
  <c r="AF12" i="1" s="1"/>
  <c r="AC57" i="1"/>
  <c r="Z553" i="1"/>
  <c r="AD553" i="1" s="1"/>
  <c r="AA553" i="1"/>
  <c r="AE553" i="1" s="1"/>
  <c r="AA503" i="1"/>
  <c r="AE503" i="1" s="1"/>
  <c r="Z503" i="1"/>
  <c r="AA583" i="1"/>
  <c r="AE583" i="1" s="1"/>
  <c r="Z583" i="1"/>
  <c r="AD583" i="1" s="1"/>
  <c r="AC507" i="1"/>
  <c r="AG507" i="1" s="1"/>
  <c r="AC511" i="1"/>
  <c r="AG511" i="1" s="1"/>
  <c r="AA138" i="1"/>
  <c r="AE138" i="1" s="1"/>
  <c r="Z138" i="1"/>
  <c r="AD138" i="1" s="1"/>
  <c r="Z204" i="1"/>
  <c r="AD204" i="1" s="1"/>
  <c r="AA204" i="1"/>
  <c r="AE204" i="1" s="1"/>
  <c r="Z224" i="1"/>
  <c r="AD224" i="1" s="1"/>
  <c r="AA224" i="1"/>
  <c r="AE224" i="1" s="1"/>
  <c r="AC604" i="1"/>
  <c r="AG604" i="1" s="1"/>
  <c r="AC201" i="1"/>
  <c r="AG201" i="1" s="1"/>
  <c r="AC275" i="1"/>
  <c r="AG275" i="1" s="1"/>
  <c r="AB232" i="1"/>
  <c r="AF232" i="1" s="1"/>
  <c r="AB16" i="1"/>
  <c r="AF16" i="1" s="1"/>
  <c r="AB19" i="1"/>
  <c r="AC55" i="1"/>
  <c r="AG55" i="1" s="1"/>
  <c r="AB129" i="1"/>
  <c r="AF129" i="1" s="1"/>
  <c r="Z253" i="1"/>
  <c r="AD253" i="1" s="1"/>
  <c r="AA540" i="1"/>
  <c r="AE540" i="1" s="1"/>
  <c r="Z540" i="1"/>
  <c r="AD540" i="1" s="1"/>
  <c r="Z611" i="1"/>
  <c r="AA611" i="1"/>
  <c r="AE611" i="1" s="1"/>
  <c r="Z95" i="1"/>
  <c r="AA95" i="1"/>
  <c r="AE95" i="1" s="1"/>
  <c r="AC522" i="1"/>
  <c r="AG522" i="1" s="1"/>
  <c r="Z216" i="1"/>
  <c r="AD216" i="1" s="1"/>
  <c r="AA216" i="1"/>
  <c r="Z149" i="1"/>
  <c r="AA149" i="1"/>
  <c r="AE149" i="1" s="1"/>
  <c r="AB60" i="1"/>
  <c r="AF60" i="1" s="1"/>
  <c r="AB250" i="1"/>
  <c r="AF250" i="1" s="1"/>
  <c r="AB268" i="1"/>
  <c r="AF268" i="1" s="1"/>
  <c r="AB7" i="1"/>
  <c r="AF7" i="1" s="1"/>
  <c r="AC170" i="1"/>
  <c r="AG170" i="1" s="1"/>
  <c r="Z34" i="1"/>
  <c r="AD34" i="1" s="1"/>
  <c r="AA34" i="1"/>
  <c r="AE34" i="1" s="1"/>
  <c r="AC208" i="1"/>
  <c r="AG208" i="1" s="1"/>
  <c r="AC134" i="1"/>
  <c r="AG134" i="1" s="1"/>
  <c r="AC232" i="1"/>
  <c r="AG232" i="1" s="1"/>
  <c r="Z39" i="1"/>
  <c r="AD39" i="1" s="1"/>
  <c r="AA39" i="1"/>
  <c r="AE39" i="1" s="1"/>
  <c r="Z24" i="1"/>
  <c r="AA24" i="1"/>
  <c r="AE24" i="1" s="1"/>
  <c r="AC554" i="1"/>
  <c r="AG554" i="1" s="1"/>
  <c r="AB37" i="1"/>
  <c r="AF37" i="1" s="1"/>
  <c r="AA140" i="1"/>
  <c r="Z140" i="1"/>
  <c r="AD140" i="1" s="1"/>
  <c r="AC496" i="1"/>
  <c r="AG496" i="1" s="1"/>
  <c r="Z480" i="1"/>
  <c r="AD480" i="1" s="1"/>
  <c r="AA480" i="1"/>
  <c r="AB111" i="1"/>
  <c r="AF111" i="1" s="1"/>
  <c r="AB211" i="1"/>
  <c r="AF211" i="1" s="1"/>
  <c r="AB32" i="1"/>
  <c r="AF32" i="1" s="1"/>
  <c r="Z537" i="1"/>
  <c r="AD537" i="1" s="1"/>
  <c r="AA537" i="1"/>
  <c r="AB175" i="1"/>
  <c r="AF175" i="1" s="1"/>
  <c r="AB588" i="1"/>
  <c r="AF588" i="1" s="1"/>
  <c r="AB597" i="1"/>
  <c r="AF597" i="1" s="1"/>
  <c r="AA82" i="1"/>
  <c r="AE82" i="1" s="1"/>
  <c r="AA16" i="1"/>
  <c r="AB109" i="1"/>
  <c r="AF109" i="1" s="1"/>
  <c r="Z277" i="1"/>
  <c r="AD277" i="1" s="1"/>
  <c r="AC24" i="1"/>
  <c r="AG24" i="1" s="1"/>
  <c r="AC295" i="1"/>
  <c r="AG295" i="1" s="1"/>
  <c r="AA512" i="1"/>
  <c r="Z512" i="1"/>
  <c r="AD512" i="1" s="1"/>
  <c r="AC573" i="1"/>
  <c r="AG573" i="1" s="1"/>
  <c r="AB190" i="1"/>
  <c r="AF190" i="1" s="1"/>
  <c r="AA41" i="1"/>
  <c r="AE41" i="1" s="1"/>
  <c r="Z41" i="1"/>
  <c r="AC493" i="1"/>
  <c r="AG493" i="1" s="1"/>
  <c r="Z618" i="1"/>
  <c r="AD618" i="1" s="1"/>
  <c r="AA618" i="1"/>
  <c r="Z4" i="1"/>
  <c r="AA4" i="1"/>
  <c r="AE4" i="1" s="1"/>
  <c r="AC268" i="1"/>
  <c r="AG268" i="1" s="1"/>
  <c r="Z255" i="1"/>
  <c r="AD255" i="1" s="1"/>
  <c r="AA255" i="1"/>
  <c r="AE255" i="1" s="1"/>
  <c r="Z143" i="1"/>
  <c r="AA143" i="1"/>
  <c r="AB58" i="1"/>
  <c r="AF58" i="1" s="1"/>
  <c r="AA247" i="1"/>
  <c r="AE247" i="1" s="1"/>
  <c r="Z247" i="1"/>
  <c r="AD247" i="1" s="1"/>
  <c r="AC519" i="1"/>
  <c r="AG519" i="1" s="1"/>
  <c r="AC538" i="1"/>
  <c r="AG538" i="1" s="1"/>
  <c r="AB236" i="1"/>
  <c r="AF236" i="1" s="1"/>
  <c r="Z592" i="1"/>
  <c r="AA592" i="1"/>
  <c r="AE592" i="1" s="1"/>
  <c r="AB281" i="1"/>
  <c r="AF281" i="1" s="1"/>
  <c r="Z496" i="1"/>
  <c r="AD496" i="1" s="1"/>
  <c r="AC180" i="1"/>
  <c r="AG180" i="1" s="1"/>
  <c r="AA481" i="1"/>
  <c r="AE481" i="1" s="1"/>
  <c r="Z481" i="1"/>
  <c r="AD481" i="1" s="1"/>
  <c r="AA509" i="1"/>
  <c r="Z509" i="1"/>
  <c r="Z555" i="1"/>
  <c r="AD555" i="1" s="1"/>
  <c r="AA555" i="1"/>
  <c r="AE555" i="1" s="1"/>
  <c r="Z567" i="1"/>
  <c r="AD567" i="1" s="1"/>
  <c r="AA567" i="1"/>
  <c r="AE567" i="1" s="1"/>
  <c r="AC545" i="1"/>
  <c r="AG545" i="1" s="1"/>
  <c r="AB599" i="1"/>
  <c r="AF599" i="1" s="1"/>
  <c r="Z83" i="1"/>
  <c r="AA83" i="1"/>
  <c r="AE83" i="1" s="1"/>
  <c r="Z3" i="1"/>
  <c r="AD3" i="1" s="1"/>
  <c r="AA3" i="1"/>
  <c r="AE3" i="1" s="1"/>
  <c r="AB515" i="1"/>
  <c r="Z51" i="1"/>
  <c r="AD51" i="1" s="1"/>
  <c r="AA51" i="1"/>
  <c r="AE51" i="1" s="1"/>
  <c r="Z90" i="1"/>
  <c r="AD90" i="1" s="1"/>
  <c r="AA90" i="1"/>
  <c r="AB13" i="1"/>
  <c r="AB28" i="1"/>
  <c r="AF28" i="1" s="1"/>
  <c r="AB178" i="1"/>
  <c r="AF178" i="1" s="1"/>
  <c r="AB469" i="1"/>
  <c r="AF469" i="1" s="1"/>
  <c r="AC476" i="1"/>
  <c r="AG476" i="1" s="1"/>
  <c r="Z126" i="1"/>
  <c r="AD126" i="1" s="1"/>
  <c r="AA126" i="1"/>
  <c r="AE126" i="1" s="1"/>
  <c r="AA124" i="1"/>
  <c r="AE124" i="1" s="1"/>
  <c r="Z124" i="1"/>
  <c r="AA63" i="1"/>
  <c r="AE63" i="1" s="1"/>
  <c r="Z63" i="1"/>
  <c r="AD63" i="1" s="1"/>
  <c r="AB531" i="1"/>
  <c r="AH531" i="1" s="1"/>
  <c r="AC262" i="1"/>
  <c r="AC500" i="1"/>
  <c r="AC264" i="1"/>
  <c r="AG264" i="1" s="1"/>
  <c r="Z600" i="1"/>
  <c r="AD600" i="1" s="1"/>
  <c r="AA600" i="1"/>
  <c r="AE600" i="1" s="1"/>
  <c r="Z591" i="1"/>
  <c r="AD591" i="1" s="1"/>
  <c r="AB553" i="1"/>
  <c r="AF553" i="1" s="1"/>
  <c r="Z88" i="1"/>
  <c r="AD88" i="1" s="1"/>
  <c r="AB161" i="1"/>
  <c r="AF161" i="1" s="1"/>
  <c r="AB500" i="1"/>
  <c r="AF500" i="1" s="1"/>
  <c r="AA496" i="1"/>
  <c r="AE496" i="1" s="1"/>
  <c r="AC61" i="1"/>
  <c r="AG61" i="1" s="1"/>
  <c r="AB169" i="1"/>
  <c r="AF169" i="1" s="1"/>
  <c r="AC71" i="1"/>
  <c r="AG71" i="1" s="1"/>
  <c r="AB200" i="1"/>
  <c r="AF200" i="1" s="1"/>
  <c r="AA504" i="1"/>
  <c r="Z504" i="1"/>
  <c r="AD504" i="1" s="1"/>
  <c r="AB616" i="1"/>
  <c r="AF616" i="1" s="1"/>
  <c r="Z609" i="1"/>
  <c r="AD609" i="1" s="1"/>
  <c r="AA609" i="1"/>
  <c r="AE609" i="1" s="1"/>
  <c r="AC497" i="1"/>
  <c r="AG497" i="1" s="1"/>
  <c r="AC152" i="1"/>
  <c r="AG152" i="1" s="1"/>
  <c r="AA56" i="1"/>
  <c r="AE56" i="1" s="1"/>
  <c r="Z56" i="1"/>
  <c r="AD56" i="1" s="1"/>
  <c r="Z215" i="1"/>
  <c r="AA215" i="1"/>
  <c r="AE215" i="1" s="1"/>
  <c r="AB183" i="1"/>
  <c r="AF183" i="1" s="1"/>
  <c r="AC72" i="1"/>
  <c r="AG72" i="1" s="1"/>
  <c r="Z248" i="1"/>
  <c r="AD248" i="1" s="1"/>
  <c r="AA248" i="1"/>
  <c r="AE248" i="1" s="1"/>
  <c r="Z108" i="1"/>
  <c r="AD108" i="1" s="1"/>
  <c r="AA108" i="1"/>
  <c r="AE108" i="1" s="1"/>
  <c r="AB107" i="1"/>
  <c r="AF107" i="1" s="1"/>
  <c r="Z222" i="1"/>
  <c r="AD222" i="1" s="1"/>
  <c r="AA222" i="1"/>
  <c r="AA196" i="1"/>
  <c r="AE196" i="1" s="1"/>
  <c r="Z196" i="1"/>
  <c r="AD196" i="1" s="1"/>
  <c r="AB38" i="1"/>
  <c r="AF38" i="1" s="1"/>
  <c r="AC544" i="1"/>
  <c r="AG544" i="1" s="1"/>
  <c r="AB283" i="1"/>
  <c r="AF283" i="1" s="1"/>
  <c r="AC96" i="1"/>
  <c r="AG96" i="1" s="1"/>
  <c r="AB62" i="1"/>
  <c r="AF62" i="1" s="1"/>
  <c r="AB459" i="1"/>
  <c r="AF459" i="1" s="1"/>
  <c r="Z237" i="1"/>
  <c r="AD237" i="1" s="1"/>
  <c r="AB185" i="1"/>
  <c r="AF185" i="1" s="1"/>
  <c r="AA616" i="1"/>
  <c r="AE616" i="1" s="1"/>
  <c r="Z264" i="1"/>
  <c r="AD264" i="1" s="1"/>
  <c r="Z112" i="1"/>
  <c r="AD112" i="1" s="1"/>
  <c r="Z474" i="1"/>
  <c r="AD474" i="1" s="1"/>
  <c r="AC45" i="1"/>
  <c r="AG45" i="1" s="1"/>
  <c r="AC205" i="1"/>
  <c r="AG205" i="1" s="1"/>
  <c r="AC202" i="1"/>
  <c r="AB296" i="1"/>
  <c r="AF296" i="1" s="1"/>
  <c r="AB73" i="1"/>
  <c r="AF73" i="1" s="1"/>
  <c r="AC525" i="1"/>
  <c r="AG525" i="1" s="1"/>
  <c r="AA532" i="1"/>
  <c r="AE532" i="1" s="1"/>
  <c r="Z532" i="1"/>
  <c r="AD532" i="1" s="1"/>
  <c r="Z596" i="1"/>
  <c r="AD596" i="1" s="1"/>
  <c r="AA596" i="1"/>
  <c r="AE596" i="1" s="1"/>
  <c r="Z598" i="1"/>
  <c r="AD598" i="1" s="1"/>
  <c r="AA598" i="1"/>
  <c r="AE598" i="1" s="1"/>
  <c r="Z606" i="1"/>
  <c r="AD606" i="1" s="1"/>
  <c r="AA606" i="1"/>
  <c r="AE606" i="1" s="1"/>
  <c r="AB487" i="1"/>
  <c r="AF487" i="1" s="1"/>
  <c r="Z557" i="1"/>
  <c r="AA557" i="1"/>
  <c r="AE557" i="1" s="1"/>
  <c r="AB460" i="1"/>
  <c r="AF460" i="1" s="1"/>
  <c r="AB536" i="1"/>
  <c r="AF536" i="1" s="1"/>
  <c r="AB470" i="1"/>
  <c r="AF470" i="1" s="1"/>
  <c r="AC605" i="1"/>
  <c r="AG605" i="1" s="1"/>
  <c r="Z69" i="1"/>
  <c r="AD69" i="1" s="1"/>
  <c r="AA69" i="1"/>
  <c r="AB484" i="1"/>
  <c r="AF484" i="1" s="1"/>
  <c r="AA502" i="1"/>
  <c r="AE502" i="1" s="1"/>
  <c r="Z502" i="1"/>
  <c r="Z92" i="1"/>
  <c r="AD92" i="1" s="1"/>
  <c r="AA92" i="1"/>
  <c r="AE92" i="1" s="1"/>
  <c r="AB566" i="1"/>
  <c r="AA105" i="1"/>
  <c r="AE105" i="1" s="1"/>
  <c r="Z105" i="1"/>
  <c r="AD105" i="1" s="1"/>
  <c r="AC546" i="1"/>
  <c r="AG546" i="1" s="1"/>
  <c r="AB163" i="1"/>
  <c r="Z118" i="1"/>
  <c r="AD118" i="1" s="1"/>
  <c r="AA118" i="1"/>
  <c r="AE118" i="1" s="1"/>
  <c r="AC98" i="1"/>
  <c r="AG98" i="1" s="1"/>
  <c r="Z68" i="1"/>
  <c r="AD68" i="1" s="1"/>
  <c r="AA68" i="1"/>
  <c r="AE68" i="1" s="1"/>
  <c r="AC188" i="1"/>
  <c r="AG188" i="1" s="1"/>
  <c r="AC266" i="1"/>
  <c r="AG266" i="1" s="1"/>
  <c r="Z71" i="1"/>
  <c r="AA71" i="1"/>
  <c r="AC153" i="1"/>
  <c r="AG153" i="1" s="1"/>
  <c r="AC150" i="1"/>
  <c r="AG150" i="1" s="1"/>
  <c r="AB288" i="1"/>
  <c r="AF288" i="1" s="1"/>
  <c r="AB15" i="1"/>
  <c r="AF15" i="1" s="1"/>
  <c r="AB72" i="1"/>
  <c r="AF72" i="1" s="1"/>
  <c r="Z218" i="1"/>
  <c r="AD218" i="1" s="1"/>
  <c r="AA218" i="1"/>
  <c r="AE218" i="1" s="1"/>
  <c r="AA44" i="1"/>
  <c r="AE44" i="1" s="1"/>
  <c r="Z44" i="1"/>
  <c r="AD44" i="1" s="1"/>
  <c r="Z206" i="1"/>
  <c r="AD206" i="1" s="1"/>
  <c r="AA206" i="1"/>
  <c r="AE206" i="1" s="1"/>
  <c r="AC582" i="1"/>
  <c r="AG582" i="1" s="1"/>
  <c r="AC53" i="1"/>
  <c r="AG53" i="1" s="1"/>
  <c r="AB227" i="1"/>
  <c r="AF227" i="1" s="1"/>
  <c r="Z261" i="1"/>
  <c r="AD261" i="1" s="1"/>
  <c r="AA261" i="1"/>
  <c r="AE261" i="1" s="1"/>
  <c r="AA254" i="1"/>
  <c r="AE254" i="1" s="1"/>
  <c r="Z254" i="1"/>
  <c r="AD254" i="1" s="1"/>
  <c r="Z200" i="1"/>
  <c r="AD200" i="1" s="1"/>
  <c r="AA200" i="1"/>
  <c r="AE200" i="1" s="1"/>
  <c r="AA146" i="1"/>
  <c r="AE146" i="1" s="1"/>
  <c r="Z146" i="1"/>
  <c r="AD146" i="1" s="1"/>
  <c r="AC244" i="1"/>
  <c r="AG244" i="1" s="1"/>
  <c r="AB271" i="1"/>
  <c r="AF271" i="1" s="1"/>
  <c r="AB476" i="1"/>
  <c r="AF476" i="1" s="1"/>
  <c r="AB258" i="1"/>
  <c r="AF258" i="1" s="1"/>
  <c r="AC570" i="1"/>
  <c r="AG570" i="1" s="1"/>
  <c r="AC147" i="1"/>
  <c r="AG147" i="1" s="1"/>
  <c r="Z47" i="1"/>
  <c r="AA47" i="1"/>
  <c r="AE47" i="1" s="1"/>
  <c r="AB157" i="1"/>
  <c r="AF157" i="1" s="1"/>
  <c r="AC157" i="1"/>
  <c r="AG157" i="1" s="1"/>
  <c r="AC25" i="1"/>
  <c r="AG25" i="1" s="1"/>
  <c r="Z527" i="1"/>
  <c r="AA527" i="1"/>
  <c r="Z249" i="1"/>
  <c r="AD249" i="1" s="1"/>
  <c r="AA249" i="1"/>
  <c r="AC486" i="1"/>
  <c r="AG486" i="1" s="1"/>
  <c r="AA535" i="1"/>
  <c r="Z535" i="1"/>
  <c r="AD535" i="1" s="1"/>
  <c r="AB279" i="1"/>
  <c r="AF279" i="1" s="1"/>
  <c r="AC608" i="1"/>
  <c r="AG608" i="1" s="1"/>
  <c r="Z519" i="1"/>
  <c r="AD519" i="1" s="1"/>
  <c r="AA519" i="1"/>
  <c r="AE519" i="1" s="1"/>
  <c r="AC586" i="1"/>
  <c r="AA236" i="1"/>
  <c r="Z236" i="1"/>
  <c r="AD236" i="1" s="1"/>
  <c r="AB559" i="1"/>
  <c r="AF559" i="1" s="1"/>
  <c r="AB280" i="1"/>
  <c r="AF280" i="1" s="1"/>
  <c r="AB103" i="1"/>
  <c r="AF103" i="1" s="1"/>
  <c r="AB217" i="1"/>
  <c r="AH217" i="1" s="1"/>
  <c r="AC289" i="1"/>
  <c r="AG289" i="1" s="1"/>
  <c r="AA495" i="1"/>
  <c r="AA93" i="1"/>
  <c r="AE93" i="1" s="1"/>
  <c r="Z129" i="1"/>
  <c r="AD129" i="1" s="1"/>
  <c r="AA228" i="1"/>
  <c r="AE228" i="1" s="1"/>
  <c r="Z32" i="1"/>
  <c r="AD32" i="1" s="1"/>
  <c r="Z279" i="1"/>
  <c r="AD279" i="1" s="1"/>
  <c r="AB47" i="1"/>
  <c r="AF47" i="1" s="1"/>
  <c r="AB538" i="1"/>
  <c r="AB257" i="1"/>
  <c r="AF257" i="1" s="1"/>
  <c r="AB222" i="1"/>
  <c r="AF222" i="1" s="1"/>
  <c r="AB130" i="1"/>
  <c r="Z226" i="1"/>
  <c r="AD226" i="1" s="1"/>
  <c r="Z17" i="1"/>
  <c r="AA72" i="1"/>
  <c r="AE72" i="1" s="1"/>
  <c r="AA97" i="1"/>
  <c r="AE97" i="1" s="1"/>
  <c r="AA55" i="1"/>
  <c r="Z205" i="1"/>
  <c r="AD205" i="1" s="1"/>
  <c r="AA573" i="1"/>
  <c r="AA147" i="1"/>
  <c r="Z46" i="1"/>
  <c r="AD46" i="1" s="1"/>
  <c r="Z220" i="1"/>
  <c r="AD220" i="1" s="1"/>
  <c r="AB554" i="1"/>
  <c r="AF554" i="1" s="1"/>
  <c r="AB162" i="1"/>
  <c r="Z187" i="1"/>
  <c r="AD187" i="1" s="1"/>
  <c r="AA120" i="1"/>
  <c r="AE120" i="1" s="1"/>
  <c r="AB207" i="1"/>
  <c r="AF207" i="1" s="1"/>
  <c r="Z292" i="1"/>
  <c r="AD292" i="1" s="1"/>
  <c r="AA79" i="1"/>
  <c r="AE79" i="1" s="1"/>
  <c r="AA207" i="1"/>
  <c r="Z207" i="1"/>
  <c r="AD207" i="1" s="1"/>
  <c r="AC269" i="1"/>
  <c r="AG269" i="1" s="1"/>
  <c r="AB564" i="1"/>
  <c r="AF564" i="1" s="1"/>
  <c r="AC16" i="1"/>
  <c r="AG16" i="1" s="1"/>
  <c r="AB212" i="1"/>
  <c r="AF212" i="1" s="1"/>
  <c r="Z102" i="1"/>
  <c r="AD102" i="1" s="1"/>
  <c r="AA102" i="1"/>
  <c r="AE102" i="1" s="1"/>
  <c r="AA14" i="1"/>
  <c r="AE14" i="1" s="1"/>
  <c r="Z73" i="1"/>
  <c r="AD73" i="1" s="1"/>
  <c r="AC15" i="1"/>
  <c r="AG15" i="1" s="1"/>
  <c r="AB295" i="1"/>
  <c r="AF295" i="1" s="1"/>
  <c r="AC160" i="1"/>
  <c r="AG160" i="1" s="1"/>
  <c r="AA475" i="1"/>
  <c r="Z475" i="1"/>
  <c r="AD475" i="1" s="1"/>
  <c r="Z614" i="1"/>
  <c r="AD614" i="1" s="1"/>
  <c r="AA614" i="1"/>
  <c r="AE614" i="1" s="1"/>
  <c r="AC518" i="1"/>
  <c r="AG518" i="1" s="1"/>
  <c r="AB620" i="1"/>
  <c r="AB510" i="1"/>
  <c r="AF510" i="1" s="1"/>
  <c r="AC549" i="1"/>
  <c r="AG549" i="1" s="1"/>
  <c r="Z284" i="1"/>
  <c r="AD284" i="1" s="1"/>
  <c r="AA284" i="1"/>
  <c r="AE284" i="1" s="1"/>
  <c r="AB9" i="1"/>
  <c r="AF9" i="1" s="1"/>
  <c r="Z117" i="1"/>
  <c r="AD117" i="1" s="1"/>
  <c r="AA117" i="1"/>
  <c r="AC263" i="1"/>
  <c r="AG263" i="1" s="1"/>
  <c r="Z189" i="1"/>
  <c r="AD189" i="1" s="1"/>
  <c r="AA189" i="1"/>
  <c r="AB36" i="1"/>
  <c r="AF36" i="1" s="1"/>
  <c r="Z159" i="1"/>
  <c r="AD159" i="1" s="1"/>
  <c r="AA159" i="1"/>
  <c r="AE159" i="1" s="1"/>
  <c r="AB524" i="1"/>
  <c r="AF524" i="1" s="1"/>
  <c r="AC230" i="1"/>
  <c r="AG230" i="1" s="1"/>
  <c r="AC209" i="1"/>
  <c r="AG209" i="1" s="1"/>
  <c r="Z128" i="1"/>
  <c r="AD128" i="1" s="1"/>
  <c r="AA128" i="1"/>
  <c r="AE128" i="1" s="1"/>
  <c r="AC23" i="1"/>
  <c r="AG23" i="1" s="1"/>
  <c r="AB20" i="1"/>
  <c r="AF20" i="1" s="1"/>
  <c r="AB265" i="1"/>
  <c r="AF265" i="1" s="1"/>
  <c r="AA516" i="1"/>
  <c r="Z516" i="1"/>
  <c r="AD516" i="1" s="1"/>
  <c r="AC280" i="1"/>
  <c r="AB535" i="1"/>
  <c r="AB25" i="1"/>
  <c r="AF25" i="1" s="1"/>
  <c r="AA103" i="1"/>
  <c r="Z103" i="1"/>
  <c r="AD103" i="1" s="1"/>
  <c r="AC485" i="1"/>
  <c r="AG485" i="1" s="1"/>
  <c r="AB229" i="1"/>
  <c r="AF229" i="1" s="1"/>
  <c r="AC37" i="1"/>
  <c r="AG37" i="1" s="1"/>
  <c r="AC612" i="1"/>
  <c r="AG612" i="1" s="1"/>
  <c r="AB52" i="1"/>
  <c r="AB530" i="1"/>
  <c r="AF530" i="1" s="1"/>
  <c r="AC250" i="1"/>
  <c r="Z58" i="1"/>
  <c r="AD58" i="1" s="1"/>
  <c r="Z14" i="1"/>
  <c r="AD14" i="1" s="1"/>
  <c r="AB230" i="1"/>
  <c r="AF230" i="1" s="1"/>
  <c r="AC63" i="1"/>
  <c r="AG63" i="1" s="1"/>
  <c r="AC21" i="1"/>
  <c r="AG21" i="1" s="1"/>
  <c r="AC288" i="1"/>
  <c r="AG288" i="1" s="1"/>
  <c r="AC166" i="1"/>
  <c r="AG166" i="1" s="1"/>
  <c r="AB88" i="1"/>
  <c r="AF88" i="1" s="1"/>
  <c r="AA459" i="1"/>
  <c r="Z459" i="1"/>
  <c r="AD459" i="1" s="1"/>
  <c r="AC585" i="1"/>
  <c r="AG585" i="1" s="1"/>
  <c r="AA565" i="1"/>
  <c r="AE565" i="1" s="1"/>
  <c r="Z565" i="1"/>
  <c r="AD565" i="1" s="1"/>
  <c r="Z602" i="1"/>
  <c r="AD602" i="1" s="1"/>
  <c r="AA602" i="1"/>
  <c r="AE602" i="1" s="1"/>
  <c r="Z580" i="1"/>
  <c r="AD580" i="1" s="1"/>
  <c r="AA580" i="1"/>
  <c r="Z156" i="1"/>
  <c r="AD156" i="1" s="1"/>
  <c r="AA156" i="1"/>
  <c r="Z513" i="1"/>
  <c r="AD513" i="1" s="1"/>
  <c r="AA513" i="1"/>
  <c r="AE513" i="1" s="1"/>
  <c r="AB42" i="1"/>
  <c r="AF42" i="1" s="1"/>
  <c r="Z167" i="1"/>
  <c r="AA167" i="1"/>
  <c r="AE167" i="1" s="1"/>
  <c r="Z524" i="1"/>
  <c r="AD524" i="1" s="1"/>
  <c r="AA524" i="1"/>
  <c r="AE524" i="1" s="1"/>
  <c r="AC242" i="1"/>
  <c r="AG242" i="1" s="1"/>
  <c r="AA271" i="1"/>
  <c r="AE271" i="1" s="1"/>
  <c r="Z271" i="1"/>
  <c r="AD271" i="1" s="1"/>
  <c r="Z23" i="1"/>
  <c r="AD23" i="1" s="1"/>
  <c r="AA23" i="1"/>
  <c r="Z66" i="1"/>
  <c r="AD66" i="1" s="1"/>
  <c r="AA66" i="1"/>
  <c r="AC14" i="1"/>
  <c r="AG14" i="1" s="1"/>
  <c r="AC43" i="1"/>
  <c r="AG43" i="1" s="1"/>
  <c r="AB104" i="1"/>
  <c r="AF104" i="1" s="1"/>
  <c r="Z175" i="1"/>
  <c r="AD175" i="1" s="1"/>
  <c r="AA175" i="1"/>
  <c r="AE175" i="1" s="1"/>
  <c r="Z500" i="1"/>
  <c r="AD500" i="1" s="1"/>
  <c r="AA500" i="1"/>
  <c r="AB501" i="1"/>
  <c r="AF501" i="1" s="1"/>
  <c r="Z530" i="1"/>
  <c r="AD530" i="1" s="1"/>
  <c r="AA530" i="1"/>
  <c r="Z562" i="1"/>
  <c r="AD562" i="1" s="1"/>
  <c r="AA562" i="1"/>
  <c r="AE562" i="1" s="1"/>
  <c r="AB136" i="1"/>
  <c r="AF136" i="1" s="1"/>
  <c r="AB507" i="1"/>
  <c r="AF507" i="1" s="1"/>
  <c r="AA136" i="1"/>
  <c r="AE136" i="1" s="1"/>
  <c r="AB518" i="1"/>
  <c r="AF518" i="1" s="1"/>
  <c r="AB269" i="1"/>
  <c r="AF269" i="1" s="1"/>
  <c r="AC27" i="1"/>
  <c r="AG27" i="1" s="1"/>
  <c r="AC108" i="1"/>
  <c r="AG108" i="1" s="1"/>
  <c r="AB170" i="1"/>
  <c r="AF170" i="1" s="1"/>
  <c r="AC76" i="1"/>
  <c r="AG76" i="1" s="1"/>
  <c r="Z571" i="1"/>
  <c r="AD571" i="1" s="1"/>
  <c r="AA571" i="1"/>
  <c r="AE571" i="1" s="1"/>
  <c r="Z556" i="1"/>
  <c r="AD556" i="1" s="1"/>
  <c r="AA556" i="1"/>
  <c r="AC540" i="1"/>
  <c r="AG540" i="1" s="1"/>
  <c r="AB587" i="1"/>
  <c r="AF587" i="1" s="1"/>
  <c r="AC463" i="1"/>
  <c r="AG463" i="1" s="1"/>
  <c r="AC475" i="1"/>
  <c r="Z132" i="1"/>
  <c r="AD132" i="1" s="1"/>
  <c r="AA132" i="1"/>
  <c r="Z116" i="1"/>
  <c r="AD116" i="1" s="1"/>
  <c r="AA116" i="1"/>
  <c r="AA31" i="1"/>
  <c r="AE31" i="1" s="1"/>
  <c r="Z31" i="1"/>
  <c r="AD31" i="1" s="1"/>
  <c r="Z239" i="1"/>
  <c r="AA239" i="1"/>
  <c r="AE239" i="1" s="1"/>
  <c r="AC251" i="1"/>
  <c r="AG251" i="1" s="1"/>
  <c r="AC515" i="1"/>
  <c r="AG515" i="1" s="1"/>
  <c r="Z61" i="1"/>
  <c r="AD61" i="1" s="1"/>
  <c r="AA61" i="1"/>
  <c r="AE61" i="1" s="1"/>
  <c r="Z10" i="1"/>
  <c r="AD10" i="1" s="1"/>
  <c r="AA10" i="1"/>
  <c r="AA199" i="1"/>
  <c r="AE199" i="1" s="1"/>
  <c r="Z199" i="1"/>
  <c r="AD199" i="1" s="1"/>
  <c r="Z28" i="1"/>
  <c r="AD28" i="1" s="1"/>
  <c r="AA28" i="1"/>
  <c r="AE28" i="1" s="1"/>
  <c r="AB208" i="1"/>
  <c r="AA178" i="1"/>
  <c r="AE178" i="1" s="1"/>
  <c r="Z178" i="1"/>
  <c r="AD178" i="1" s="1"/>
  <c r="AC472" i="1"/>
  <c r="AG472" i="1" s="1"/>
  <c r="AC469" i="1"/>
  <c r="AG469" i="1" s="1"/>
  <c r="AC562" i="1"/>
  <c r="AG562" i="1" s="1"/>
  <c r="AC550" i="1"/>
  <c r="AG550" i="1" s="1"/>
  <c r="AC482" i="1"/>
  <c r="AG482" i="1" s="1"/>
  <c r="AC572" i="1"/>
  <c r="AG572" i="1" s="1"/>
  <c r="AD479" i="1"/>
  <c r="AB519" i="1"/>
  <c r="AF519" i="1" s="1"/>
  <c r="Z16" i="1"/>
  <c r="AD16" i="1" s="1"/>
  <c r="AB604" i="1"/>
  <c r="AF604" i="1" s="1"/>
  <c r="AB95" i="1"/>
  <c r="AA190" i="1"/>
  <c r="AE190" i="1" s="1"/>
  <c r="Z274" i="1"/>
  <c r="AD274" i="1" s="1"/>
  <c r="AB549" i="1"/>
  <c r="AF549" i="1" s="1"/>
  <c r="Z76" i="1"/>
  <c r="AD76" i="1" s="1"/>
  <c r="AB466" i="1"/>
  <c r="AF466" i="1" s="1"/>
  <c r="Z50" i="1"/>
  <c r="AD50" i="1" s="1"/>
  <c r="AC4" i="1"/>
  <c r="AG4" i="1" s="1"/>
  <c r="AC30" i="1"/>
  <c r="AG30" i="1" s="1"/>
  <c r="AC94" i="1"/>
  <c r="AB260" i="1"/>
  <c r="AC88" i="1"/>
  <c r="AG88" i="1" s="1"/>
  <c r="AC196" i="1"/>
  <c r="AG196" i="1" s="1"/>
  <c r="AC495" i="1"/>
  <c r="AG495" i="1" s="1"/>
  <c r="AC575" i="1"/>
  <c r="AG575" i="1" s="1"/>
  <c r="Z589" i="1"/>
  <c r="AA589" i="1"/>
  <c r="AE589" i="1" s="1"/>
  <c r="AB463" i="1"/>
  <c r="AF463" i="1" s="1"/>
  <c r="Z617" i="1"/>
  <c r="AA617" i="1"/>
  <c r="AE617" i="1" s="1"/>
  <c r="AC41" i="1"/>
  <c r="AG41" i="1" s="1"/>
  <c r="AA493" i="1"/>
  <c r="Z493" i="1"/>
  <c r="AD493" i="1" s="1"/>
  <c r="AF239" i="1"/>
  <c r="AC239" i="1"/>
  <c r="Z285" i="1"/>
  <c r="AD285" i="1" s="1"/>
  <c r="AA285" i="1"/>
  <c r="AE285" i="1" s="1"/>
  <c r="AB199" i="1"/>
  <c r="AF199" i="1" s="1"/>
  <c r="AA472" i="1"/>
  <c r="AE472" i="1" s="1"/>
  <c r="Z472" i="1"/>
  <c r="AD472" i="1" s="1"/>
  <c r="Z197" i="1"/>
  <c r="AA197" i="1"/>
  <c r="AE197" i="1" s="1"/>
  <c r="AC114" i="1"/>
  <c r="AG114" i="1" s="1"/>
  <c r="Z48" i="1"/>
  <c r="AA48" i="1"/>
  <c r="AE48" i="1" s="1"/>
  <c r="AC120" i="1"/>
  <c r="AG120" i="1" s="1"/>
  <c r="AB560" i="1"/>
  <c r="AB541" i="1"/>
  <c r="AF541" i="1" s="1"/>
  <c r="AB145" i="1"/>
  <c r="AF145" i="1" s="1"/>
  <c r="Z612" i="1"/>
  <c r="AD612" i="1" s="1"/>
  <c r="AC33" i="1"/>
  <c r="AG33" i="1" s="1"/>
  <c r="AC187" i="1"/>
  <c r="AG187" i="1" s="1"/>
  <c r="AC184" i="1"/>
  <c r="AC581" i="1"/>
  <c r="Z575" i="1"/>
  <c r="AA575" i="1"/>
  <c r="AC589" i="1"/>
  <c r="AG589" i="1" s="1"/>
  <c r="AC578" i="1"/>
  <c r="AG578" i="1" s="1"/>
  <c r="AF601" i="1"/>
  <c r="AC601" i="1"/>
  <c r="AG601" i="1" s="1"/>
  <c r="AC617" i="1"/>
  <c r="AG617" i="1" s="1"/>
  <c r="Z542" i="1"/>
  <c r="AD542" i="1" s="1"/>
  <c r="AA542" i="1"/>
  <c r="AE542" i="1" s="1"/>
  <c r="Z54" i="1"/>
  <c r="AD54" i="1" s="1"/>
  <c r="AA54" i="1"/>
  <c r="AE54" i="1" s="1"/>
  <c r="Z276" i="1"/>
  <c r="AD276" i="1" s="1"/>
  <c r="AA276" i="1"/>
  <c r="AE276" i="1" s="1"/>
  <c r="AA570" i="1"/>
  <c r="AE570" i="1" s="1"/>
  <c r="Z570" i="1"/>
  <c r="AD570" i="1" s="1"/>
  <c r="AB193" i="1"/>
  <c r="AB612" i="1"/>
  <c r="AB172" i="1"/>
  <c r="AF172" i="1" s="1"/>
  <c r="AC11" i="1"/>
  <c r="AG11" i="1" s="1"/>
  <c r="Z94" i="1"/>
  <c r="AD94" i="1" s="1"/>
  <c r="Z265" i="1"/>
  <c r="AD265" i="1" s="1"/>
  <c r="AA172" i="1"/>
  <c r="AE172" i="1" s="1"/>
  <c r="AB493" i="1"/>
  <c r="AF493" i="1" s="1"/>
  <c r="Z160" i="1"/>
  <c r="AD160" i="1" s="1"/>
  <c r="AC35" i="1"/>
  <c r="AG35" i="1" s="1"/>
  <c r="AB223" i="1"/>
  <c r="AF223" i="1" s="1"/>
  <c r="AC223" i="1"/>
  <c r="AG223" i="1" s="1"/>
  <c r="AB166" i="1"/>
  <c r="AF166" i="1" s="1"/>
  <c r="AC48" i="1"/>
  <c r="AG48" i="1" s="1"/>
  <c r="AC5" i="1"/>
  <c r="AG5" i="1" s="1"/>
  <c r="AB70" i="1"/>
  <c r="AF70" i="1" s="1"/>
  <c r="AB241" i="1"/>
  <c r="AF241" i="1" s="1"/>
  <c r="AC252" i="1"/>
  <c r="AG252" i="1" s="1"/>
  <c r="AC234" i="1"/>
  <c r="AG234" i="1" s="1"/>
  <c r="AB184" i="1"/>
  <c r="AF184" i="1" s="1"/>
  <c r="AB134" i="1"/>
  <c r="AB206" i="1"/>
  <c r="AF206" i="1" s="1"/>
  <c r="AC79" i="1"/>
  <c r="AG79" i="1" s="1"/>
  <c r="AB128" i="1"/>
  <c r="AF128" i="1" s="1"/>
  <c r="AB85" i="1"/>
  <c r="Z528" i="1"/>
  <c r="AD528" i="1" s="1"/>
  <c r="AA528" i="1"/>
  <c r="AE528" i="1" s="1"/>
  <c r="Z492" i="1"/>
  <c r="AD492" i="1" s="1"/>
  <c r="AA492" i="1"/>
  <c r="AC563" i="1"/>
  <c r="AG563" i="1" s="1"/>
  <c r="Z483" i="1"/>
  <c r="AD483" i="1" s="1"/>
  <c r="AA483" i="1"/>
  <c r="AE483" i="1" s="1"/>
  <c r="AA491" i="1"/>
  <c r="Z491" i="1"/>
  <c r="AC598" i="1"/>
  <c r="AG598" i="1" s="1"/>
  <c r="AB606" i="1"/>
  <c r="AF606" i="1" s="1"/>
  <c r="AC533" i="1"/>
  <c r="AG533" i="1" s="1"/>
  <c r="AC487" i="1"/>
  <c r="AG487" i="1" s="1"/>
  <c r="AC557" i="1"/>
  <c r="AG557" i="1" s="1"/>
  <c r="Z462" i="1"/>
  <c r="AD462" i="1" s="1"/>
  <c r="AA462" i="1"/>
  <c r="AE462" i="1" s="1"/>
  <c r="Z559" i="1"/>
  <c r="AD559" i="1" s="1"/>
  <c r="AA559" i="1"/>
  <c r="AF488" i="1"/>
  <c r="AC488" i="1"/>
  <c r="AG488" i="1" s="1"/>
  <c r="AB69" i="1"/>
  <c r="AF69" i="1" s="1"/>
  <c r="AA484" i="1"/>
  <c r="AE484" i="1" s="1"/>
  <c r="Z484" i="1"/>
  <c r="AD484" i="1" s="1"/>
  <c r="AF502" i="1"/>
  <c r="AC502" i="1"/>
  <c r="AG502" i="1" s="1"/>
  <c r="AA176" i="1"/>
  <c r="AE176" i="1" s="1"/>
  <c r="Z176" i="1"/>
  <c r="AD176" i="1" s="1"/>
  <c r="Z177" i="1"/>
  <c r="AA177" i="1"/>
  <c r="AE177" i="1" s="1"/>
  <c r="Z213" i="1"/>
  <c r="AD213" i="1" s="1"/>
  <c r="AA213" i="1"/>
  <c r="AE213" i="1" s="1"/>
  <c r="AB571" i="1"/>
  <c r="AF571" i="1" s="1"/>
  <c r="Z287" i="1"/>
  <c r="AA287" i="1"/>
  <c r="AE287" i="1" s="1"/>
  <c r="AB181" i="1"/>
  <c r="AF181" i="1" s="1"/>
  <c r="AA158" i="1"/>
  <c r="AE158" i="1" s="1"/>
  <c r="Z158" i="1"/>
  <c r="AD158" i="1" s="1"/>
  <c r="AC68" i="1"/>
  <c r="AB194" i="1"/>
  <c r="AF194" i="1" s="1"/>
  <c r="AB8" i="1"/>
  <c r="AF8" i="1" s="1"/>
  <c r="AB71" i="1"/>
  <c r="AF71" i="1" s="1"/>
  <c r="AA182" i="1"/>
  <c r="AE182" i="1" s="1"/>
  <c r="Z182" i="1"/>
  <c r="AD182" i="1" s="1"/>
  <c r="AB150" i="1"/>
  <c r="AF150" i="1" s="1"/>
  <c r="AC8" i="1"/>
  <c r="AG8" i="1" s="1"/>
  <c r="AC529" i="1"/>
  <c r="AG529" i="1" s="1"/>
  <c r="AB91" i="1"/>
  <c r="AF91" i="1" s="1"/>
  <c r="AB44" i="1"/>
  <c r="AF44" i="1" s="1"/>
  <c r="AC206" i="1"/>
  <c r="AG206" i="1" s="1"/>
  <c r="AB59" i="1"/>
  <c r="AF59" i="1" s="1"/>
  <c r="Z227" i="1"/>
  <c r="AA227" i="1"/>
  <c r="AE227" i="1" s="1"/>
  <c r="AC261" i="1"/>
  <c r="AG261" i="1" s="1"/>
  <c r="Z282" i="1"/>
  <c r="AD282" i="1" s="1"/>
  <c r="AA282" i="1"/>
  <c r="AC254" i="1"/>
  <c r="AG254" i="1" s="1"/>
  <c r="AC200" i="1"/>
  <c r="AG200" i="1" s="1"/>
  <c r="AC146" i="1"/>
  <c r="AG146" i="1" s="1"/>
  <c r="AB244" i="1"/>
  <c r="AF244" i="1" s="1"/>
  <c r="AC17" i="1"/>
  <c r="AG17" i="1" s="1"/>
  <c r="Z219" i="1"/>
  <c r="AD219" i="1" s="1"/>
  <c r="AA219" i="1"/>
  <c r="AB490" i="1"/>
  <c r="AF490" i="1" s="1"/>
  <c r="Z588" i="1"/>
  <c r="AD588" i="1" s="1"/>
  <c r="AA588" i="1"/>
  <c r="AC226" i="1"/>
  <c r="AG226" i="1" s="1"/>
  <c r="AA238" i="1"/>
  <c r="AE238" i="1" s="1"/>
  <c r="Z238" i="1"/>
  <c r="AD238" i="1" s="1"/>
  <c r="AC247" i="1"/>
  <c r="AG247" i="1" s="1"/>
  <c r="Z477" i="1"/>
  <c r="AD477" i="1" s="1"/>
  <c r="AA477" i="1"/>
  <c r="AE477" i="1" s="1"/>
  <c r="AB267" i="1"/>
  <c r="AF267" i="1" s="1"/>
  <c r="AC50" i="1"/>
  <c r="AG50" i="1" s="1"/>
  <c r="AB594" i="1"/>
  <c r="AF594" i="1" s="1"/>
  <c r="AB131" i="1"/>
  <c r="AF131" i="1" s="1"/>
  <c r="Z595" i="1"/>
  <c r="AD595" i="1" s="1"/>
  <c r="AA595" i="1"/>
  <c r="AE595" i="1" s="1"/>
  <c r="AB547" i="1"/>
  <c r="AF547" i="1" s="1"/>
  <c r="AC294" i="1"/>
  <c r="AG294" i="1" s="1"/>
  <c r="Z615" i="1"/>
  <c r="AD615" i="1" s="1"/>
  <c r="AA615" i="1"/>
  <c r="AA613" i="1"/>
  <c r="AE613" i="1" s="1"/>
  <c r="Z613" i="1"/>
  <c r="Z601" i="1"/>
  <c r="AA601" i="1"/>
  <c r="AE601" i="1" s="1"/>
  <c r="AB482" i="1"/>
  <c r="AF482" i="1" s="1"/>
  <c r="AB580" i="1"/>
  <c r="AF580" i="1" s="1"/>
  <c r="AB516" i="1"/>
  <c r="AF516" i="1" s="1"/>
  <c r="AE214" i="1"/>
  <c r="AB214" i="1"/>
  <c r="AF214" i="1" s="1"/>
  <c r="AC121" i="1"/>
  <c r="AG121" i="1" s="1"/>
  <c r="Z544" i="1"/>
  <c r="AD544" i="1" s="1"/>
  <c r="AA544" i="1"/>
  <c r="AE544" i="1" s="1"/>
  <c r="Z495" i="1"/>
  <c r="AD495" i="1" s="1"/>
  <c r="AB63" i="1"/>
  <c r="AF63" i="1" s="1"/>
  <c r="Z25" i="1"/>
  <c r="AD25" i="1" s="1"/>
  <c r="AB153" i="1"/>
  <c r="AF153" i="1" s="1"/>
  <c r="AA273" i="1"/>
  <c r="AE273" i="1" s="1"/>
  <c r="Z52" i="1"/>
  <c r="AD52" i="1" s="1"/>
  <c r="Z228" i="1"/>
  <c r="AD228" i="1" s="1"/>
  <c r="AB617" i="1"/>
  <c r="AF617" i="1" s="1"/>
  <c r="AA279" i="1"/>
  <c r="AB293" i="1"/>
  <c r="AF293" i="1" s="1"/>
  <c r="Z295" i="1"/>
  <c r="AA226" i="1"/>
  <c r="AE226" i="1" s="1"/>
  <c r="AA584" i="1"/>
  <c r="Z55" i="1"/>
  <c r="AD55" i="1" s="1"/>
  <c r="AA205" i="1"/>
  <c r="AE205" i="1" s="1"/>
  <c r="AB56" i="1"/>
  <c r="AF56" i="1" s="1"/>
  <c r="AB505" i="1"/>
  <c r="AF505" i="1" s="1"/>
  <c r="Z573" i="1"/>
  <c r="AD573" i="1" s="1"/>
  <c r="AB122" i="1"/>
  <c r="AF122" i="1" s="1"/>
  <c r="Z147" i="1"/>
  <c r="AD147" i="1" s="1"/>
  <c r="AB77" i="1"/>
  <c r="AF77" i="1" s="1"/>
  <c r="AA220" i="1"/>
  <c r="AE220" i="1" s="1"/>
  <c r="AB574" i="1"/>
  <c r="AF574" i="1" s="1"/>
  <c r="AB210" i="1"/>
  <c r="AF210" i="1" s="1"/>
  <c r="AA476" i="1"/>
  <c r="AE476" i="1" s="1"/>
  <c r="Z120" i="1"/>
  <c r="AD120" i="1" s="1"/>
  <c r="AA20" i="1"/>
  <c r="AE20" i="1" s="1"/>
  <c r="AA292" i="1"/>
  <c r="AE292" i="1" s="1"/>
  <c r="Z79" i="1"/>
  <c r="AD79" i="1" s="1"/>
  <c r="AI58" i="1"/>
  <c r="AE250" i="1"/>
  <c r="AF591" i="1"/>
  <c r="AI513" i="1"/>
  <c r="AE52" i="1"/>
  <c r="AF537" i="1"/>
  <c r="AI289" i="1"/>
  <c r="AI514" i="1"/>
  <c r="AF514" i="1"/>
  <c r="AI537" i="1"/>
  <c r="AI523" i="1"/>
  <c r="AI482" i="1"/>
  <c r="AF595" i="1"/>
  <c r="AF485" i="1"/>
  <c r="AI103" i="1"/>
  <c r="AF217" i="1"/>
  <c r="AI52" i="1"/>
  <c r="AF52" i="1"/>
  <c r="AI38" i="1"/>
  <c r="AI544" i="1"/>
  <c r="AI249" i="1"/>
  <c r="AI55" i="1"/>
  <c r="AE262" i="1"/>
  <c r="AI552" i="1"/>
  <c r="AI559" i="1"/>
  <c r="AF568" i="1"/>
  <c r="AI608" i="1"/>
  <c r="AI26" i="1"/>
  <c r="AI464" i="1"/>
  <c r="AI165" i="1"/>
  <c r="AI586" i="1"/>
  <c r="AI121" i="1"/>
  <c r="AE264" i="1"/>
  <c r="AI591" i="1"/>
  <c r="AI136" i="1"/>
  <c r="AI214" i="1"/>
  <c r="AI32" i="1"/>
  <c r="AI175" i="1"/>
  <c r="AI99" i="1"/>
  <c r="AI279" i="1"/>
  <c r="AF486" i="1"/>
  <c r="AE38" i="1"/>
  <c r="AI102" i="1"/>
  <c r="AF608" i="1"/>
  <c r="AI612" i="1"/>
  <c r="AE541" i="1"/>
  <c r="AI593" i="1"/>
  <c r="AE217" i="1"/>
  <c r="AI143" i="1"/>
  <c r="AI530" i="1"/>
  <c r="AI62" i="1"/>
  <c r="AI541" i="1"/>
  <c r="AI217" i="1"/>
  <c r="AI120" i="1"/>
  <c r="AI262" i="1"/>
  <c r="AG500" i="1"/>
  <c r="AI579" i="1"/>
  <c r="AI218" i="1"/>
  <c r="AI139" i="1"/>
  <c r="AI264" i="1"/>
  <c r="AI172" i="1"/>
  <c r="AG217" i="1"/>
  <c r="AE164" i="1"/>
  <c r="AF96" i="1"/>
  <c r="AI465" i="1"/>
  <c r="AF102" i="1"/>
  <c r="AI96" i="1"/>
  <c r="AI534" i="1"/>
  <c r="AI538" i="1"/>
  <c r="AI526" i="1"/>
  <c r="AI162" i="1"/>
  <c r="AF550" i="1"/>
  <c r="AE265" i="1"/>
  <c r="AF544" i="1"/>
  <c r="AG136" i="1"/>
  <c r="AE478" i="1"/>
  <c r="AF515" i="1"/>
  <c r="AI524" i="1"/>
  <c r="AI253" i="1"/>
  <c r="AI468" i="1"/>
  <c r="AI590" i="1"/>
  <c r="AI542" i="1"/>
  <c r="AI599" i="1"/>
  <c r="AI105" i="1"/>
  <c r="AE475" i="1"/>
  <c r="AI235" i="1"/>
  <c r="AI25" i="1"/>
  <c r="AI270" i="1"/>
  <c r="AE88" i="1"/>
  <c r="AI481" i="1"/>
  <c r="AI536" i="1"/>
  <c r="AI258" i="1"/>
  <c r="AI87" i="1"/>
  <c r="AE140" i="1"/>
  <c r="AI621" i="1"/>
  <c r="AI466" i="1"/>
  <c r="AI550" i="1"/>
  <c r="AI126" i="1"/>
  <c r="AI274" i="1"/>
  <c r="AI595" i="1"/>
  <c r="AI140" i="1"/>
  <c r="AE86" i="1"/>
  <c r="AI294" i="1"/>
  <c r="AE482" i="1"/>
  <c r="AI111" i="1"/>
  <c r="AI129" i="1"/>
  <c r="AI485" i="1"/>
  <c r="AE111" i="1"/>
  <c r="AF105" i="1"/>
  <c r="AI48" i="1"/>
  <c r="AI19" i="1"/>
  <c r="AI10" i="1"/>
  <c r="AI574" i="1"/>
  <c r="AF41" i="1"/>
  <c r="AF621" i="1"/>
  <c r="AE37" i="1"/>
  <c r="AI243" i="1"/>
  <c r="AE25" i="1"/>
  <c r="AI615" i="1"/>
  <c r="AI122" i="1"/>
  <c r="AI145" i="1"/>
  <c r="AE11" i="1"/>
  <c r="AE148" i="1"/>
  <c r="AI462" i="1"/>
  <c r="AF99" i="1"/>
  <c r="AI546" i="1"/>
  <c r="AE174" i="1"/>
  <c r="AE145" i="1"/>
  <c r="AI41" i="1"/>
  <c r="AI236" i="1"/>
  <c r="AI11" i="1"/>
  <c r="AI584" i="1"/>
  <c r="AI459" i="1"/>
  <c r="AI135" i="1"/>
  <c r="AI193" i="1"/>
  <c r="AE584" i="1"/>
  <c r="AE26" i="1"/>
  <c r="AI512" i="1"/>
  <c r="AF48" i="1"/>
  <c r="AI22" i="1"/>
  <c r="AE283" i="1"/>
  <c r="AI594" i="1"/>
  <c r="AF593" i="1"/>
  <c r="AF527" i="1"/>
  <c r="AE179" i="1"/>
  <c r="AI582" i="1"/>
  <c r="AE75" i="1"/>
  <c r="AI104" i="1"/>
  <c r="AI240" i="1"/>
  <c r="AE461" i="1"/>
  <c r="AI160" i="1"/>
  <c r="AI14" i="1"/>
  <c r="AI499" i="1"/>
  <c r="AE536" i="1"/>
  <c r="AI474" i="1"/>
  <c r="AF465" i="1"/>
  <c r="AI131" i="1"/>
  <c r="AE129" i="1"/>
  <c r="AE527" i="1"/>
  <c r="AE62" i="1"/>
  <c r="AI516" i="1"/>
  <c r="AI212" i="1"/>
  <c r="AI531" i="1"/>
  <c r="AF586" i="1"/>
  <c r="AF499" i="1"/>
  <c r="AI229" i="1"/>
  <c r="AE505" i="1"/>
  <c r="AI37" i="1"/>
  <c r="AF253" i="1"/>
  <c r="AI604" i="1"/>
  <c r="AF127" i="1"/>
  <c r="AF472" i="1"/>
  <c r="AI470" i="1"/>
  <c r="AF155" i="1"/>
  <c r="AI500" i="1"/>
  <c r="AI535" i="1"/>
  <c r="AF494" i="1"/>
  <c r="AE181" i="1"/>
  <c r="AF14" i="1"/>
  <c r="AI155" i="1"/>
  <c r="AE193" i="1"/>
  <c r="AI265" i="1"/>
  <c r="AI293" i="1"/>
  <c r="AE280" i="1"/>
  <c r="AE531" i="1"/>
  <c r="AE556" i="1"/>
  <c r="AE166" i="1"/>
  <c r="AI213" i="1"/>
  <c r="AI519" i="1"/>
  <c r="AI564" i="1"/>
  <c r="AI570" i="1"/>
  <c r="AI490" i="1"/>
  <c r="AI554" i="1"/>
  <c r="AF613" i="1"/>
  <c r="AE84" i="1"/>
  <c r="AE274" i="1"/>
  <c r="AE58" i="1"/>
  <c r="AE221" i="1"/>
  <c r="AI147" i="1"/>
  <c r="AF245" i="1"/>
  <c r="AE32" i="1"/>
  <c r="AE240" i="1"/>
  <c r="AI478" i="1"/>
  <c r="AI177" i="1"/>
  <c r="AI527" i="1"/>
  <c r="AI480" i="1"/>
  <c r="AI203" i="1"/>
  <c r="AE237" i="1"/>
  <c r="AF600" i="1"/>
  <c r="AI473" i="1"/>
  <c r="AF577" i="1"/>
  <c r="AE612" i="1"/>
  <c r="AI75" i="1"/>
  <c r="AF274" i="1"/>
  <c r="AI228" i="1"/>
  <c r="AI494" i="1"/>
  <c r="AE67" i="1"/>
  <c r="AI233" i="1"/>
  <c r="AE560" i="1"/>
  <c r="AI486" i="1"/>
  <c r="AE494" i="1"/>
  <c r="AI488" i="1"/>
  <c r="AI558" i="1"/>
  <c r="AI560" i="1"/>
  <c r="AI588" i="1"/>
  <c r="AI600" i="1"/>
  <c r="AE566" i="1"/>
  <c r="AE229" i="1"/>
  <c r="AI280" i="1"/>
  <c r="AI283" i="1"/>
  <c r="AI617" i="1"/>
  <c r="AI196" i="1"/>
  <c r="AI290" i="1"/>
  <c r="AI230" i="1"/>
  <c r="AF226" i="1"/>
  <c r="AI285" i="1"/>
  <c r="AI256" i="1"/>
  <c r="AI207" i="1"/>
  <c r="AI573" i="1"/>
  <c r="AI31" i="1"/>
  <c r="AF94" i="1"/>
  <c r="AI489" i="1"/>
  <c r="AE43" i="1"/>
  <c r="AF196" i="1"/>
  <c r="AI49" i="1"/>
  <c r="AI94" i="1"/>
  <c r="AI562" i="1"/>
  <c r="AI43" i="1"/>
  <c r="AF562" i="1"/>
  <c r="AF592" i="1"/>
  <c r="AI476" i="1"/>
  <c r="AE113" i="1"/>
  <c r="AI577" i="1"/>
  <c r="AE150" i="1"/>
  <c r="AI16" i="1"/>
  <c r="AE256" i="1"/>
  <c r="AF171" i="1"/>
  <c r="AG279" i="1"/>
  <c r="AG172" i="1"/>
  <c r="AF570" i="1"/>
  <c r="AI592" i="1"/>
  <c r="AI610" i="1"/>
  <c r="AI77" i="1"/>
  <c r="AI157" i="1"/>
  <c r="AI107" i="1"/>
  <c r="AI24" i="1"/>
  <c r="AF247" i="1"/>
  <c r="AI153" i="1"/>
  <c r="AI226" i="1"/>
  <c r="AI114" i="1"/>
  <c r="AF95" i="1"/>
  <c r="AE258" i="1"/>
  <c r="AI291" i="1"/>
  <c r="AI125" i="1"/>
  <c r="AG501" i="1"/>
  <c r="AI501" i="1"/>
  <c r="AI246" i="1"/>
  <c r="AI211" i="1"/>
  <c r="AE295" i="1"/>
  <c r="AI130" i="1"/>
  <c r="AI247" i="1"/>
  <c r="AI161" i="1"/>
  <c r="AF75" i="1"/>
  <c r="AI281" i="1"/>
  <c r="AF114" i="1"/>
  <c r="AE116" i="1"/>
  <c r="AI267" i="1"/>
  <c r="AI237" i="1"/>
  <c r="AI50" i="1"/>
  <c r="AF50" i="1"/>
  <c r="AI222" i="1"/>
  <c r="AI613" i="1"/>
  <c r="AE508" i="1"/>
  <c r="AI251" i="1"/>
  <c r="AE22" i="1"/>
  <c r="AI231" i="1"/>
  <c r="AF121" i="1"/>
  <c r="AE512" i="1"/>
  <c r="AI522" i="1"/>
  <c r="AF204" i="1"/>
  <c r="AI185" i="1"/>
  <c r="AI171" i="1"/>
  <c r="AI549" i="1"/>
  <c r="AE474" i="1"/>
  <c r="AI257" i="1"/>
  <c r="AI63" i="1"/>
  <c r="AE207" i="1"/>
  <c r="AI127" i="1"/>
  <c r="AI245" i="1"/>
  <c r="AF22" i="1"/>
  <c r="AI192" i="1"/>
  <c r="AF192" i="1"/>
  <c r="AI186" i="1"/>
  <c r="AF186" i="1"/>
  <c r="AI244" i="1"/>
  <c r="AI223" i="1"/>
  <c r="AE223" i="1"/>
  <c r="AI166" i="1"/>
  <c r="AG124" i="1"/>
  <c r="AI119" i="1"/>
  <c r="AF119" i="1"/>
  <c r="AI167" i="1"/>
  <c r="AI472" i="1"/>
  <c r="AI70" i="1"/>
  <c r="AE70" i="1"/>
  <c r="AI184" i="1"/>
  <c r="AF576" i="1"/>
  <c r="AI174" i="1"/>
  <c r="AF174" i="1"/>
  <c r="AI56" i="1"/>
  <c r="AI21" i="1"/>
  <c r="AF266" i="1"/>
  <c r="AI59" i="1"/>
  <c r="AF208" i="1"/>
  <c r="AI208" i="1"/>
  <c r="AI282" i="1"/>
  <c r="AI5" i="1"/>
  <c r="AI6" i="1"/>
  <c r="AF34" i="1"/>
  <c r="AI74" i="1"/>
  <c r="AI259" i="1"/>
  <c r="AI202" i="1"/>
  <c r="AF202" i="1"/>
  <c r="AI78" i="1"/>
  <c r="AF89" i="1"/>
  <c r="AI89" i="1"/>
  <c r="AI475" i="1"/>
  <c r="AI469" i="1"/>
  <c r="AI484" i="1"/>
  <c r="AI493" i="1"/>
  <c r="AI511" i="1"/>
  <c r="AE156" i="1"/>
  <c r="AI124" i="1"/>
  <c r="AI138" i="1"/>
  <c r="AF138" i="1"/>
  <c r="AF566" i="1"/>
  <c r="AI272" i="1"/>
  <c r="AI68" i="1"/>
  <c r="AI60" i="1"/>
  <c r="AE607" i="1"/>
  <c r="AI204" i="1"/>
  <c r="AI180" i="1"/>
  <c r="AI183" i="1"/>
  <c r="AF284" i="1"/>
  <c r="AI284" i="1"/>
  <c r="AF167" i="1"/>
  <c r="AI201" i="1"/>
  <c r="AI28" i="1"/>
  <c r="AE208" i="1"/>
  <c r="AI27" i="1"/>
  <c r="AI168" i="1"/>
  <c r="AF168" i="1"/>
  <c r="AI141" i="1"/>
  <c r="AF82" i="1"/>
  <c r="AI82" i="1"/>
  <c r="AI277" i="1"/>
  <c r="AF277" i="1"/>
  <c r="AI220" i="1"/>
  <c r="AI146" i="1"/>
  <c r="AE479" i="1"/>
  <c r="AI561" i="1"/>
  <c r="AI566" i="1"/>
  <c r="AF497" i="1"/>
  <c r="AI507" i="1"/>
  <c r="AF546" i="1"/>
  <c r="AG293" i="1"/>
  <c r="AI210" i="1"/>
  <c r="AI287" i="1"/>
  <c r="AI250" i="1"/>
  <c r="AF24" i="1"/>
  <c r="AI15" i="1"/>
  <c r="AI266" i="1"/>
  <c r="AI13" i="1"/>
  <c r="AF13" i="1"/>
  <c r="AF248" i="1"/>
  <c r="AI142" i="1"/>
  <c r="AF234" i="1"/>
  <c r="AI34" i="1"/>
  <c r="AI205" i="1"/>
  <c r="AE66" i="1"/>
  <c r="AG66" i="1"/>
  <c r="AI66" i="1"/>
  <c r="AI241" i="1"/>
  <c r="AE241" i="1"/>
  <c r="AI134" i="1"/>
  <c r="AI85" i="1"/>
  <c r="AI295" i="1"/>
  <c r="AG64" i="1"/>
  <c r="AI64" i="1"/>
  <c r="AG198" i="1"/>
  <c r="AG112" i="1"/>
  <c r="AI278" i="1"/>
  <c r="AI605" i="1"/>
  <c r="AG505" i="1"/>
  <c r="AI505" i="1"/>
  <c r="AI601" i="1"/>
  <c r="AI176" i="1"/>
  <c r="AI216" i="1"/>
  <c r="AI67" i="1"/>
  <c r="AF238" i="1"/>
  <c r="AI181" i="1"/>
  <c r="AI234" i="1"/>
  <c r="AF117" i="1"/>
  <c r="AE278" i="1"/>
  <c r="AI529" i="1"/>
  <c r="AG218" i="1"/>
  <c r="AF4" i="1"/>
  <c r="AI7" i="1"/>
  <c r="AI45" i="1"/>
  <c r="AI108" i="1"/>
  <c r="AI95" i="1"/>
  <c r="AI219" i="1"/>
  <c r="AF219" i="1"/>
  <c r="AI187" i="1"/>
  <c r="AI144" i="1"/>
  <c r="AG144" i="1"/>
  <c r="AI188" i="1"/>
  <c r="AF101" i="1"/>
  <c r="AI101" i="1"/>
  <c r="AI106" i="1"/>
  <c r="AI118" i="1"/>
  <c r="AI252" i="1"/>
  <c r="AF154" i="1"/>
  <c r="AI154" i="1"/>
  <c r="AI40" i="1"/>
  <c r="AI148" i="1"/>
  <c r="AF148" i="1"/>
  <c r="AI30" i="1"/>
  <c r="AI206" i="1"/>
  <c r="AI128" i="1"/>
  <c r="AI572" i="1"/>
  <c r="AI72" i="1"/>
  <c r="AI261" i="1"/>
  <c r="AI618" i="1"/>
  <c r="AG272" i="1"/>
  <c r="AI263" i="1"/>
  <c r="AE282" i="1"/>
  <c r="AI248" i="1"/>
  <c r="AI286" i="1"/>
  <c r="AI3" i="1"/>
  <c r="AI170" i="1"/>
  <c r="AI238" i="1"/>
  <c r="AE112" i="1"/>
  <c r="AI29" i="1"/>
  <c r="AI225" i="1"/>
  <c r="AI276" i="1"/>
  <c r="AI46" i="1"/>
  <c r="AI199" i="1"/>
  <c r="AI255" i="1"/>
  <c r="AI23" i="1"/>
  <c r="AI271" i="1"/>
  <c r="AI39" i="1"/>
  <c r="AF39" i="1"/>
  <c r="AG65" i="1"/>
  <c r="AI65" i="1"/>
  <c r="AI116" i="1"/>
  <c r="AI110" i="1"/>
  <c r="AF561" i="1"/>
  <c r="AF113" i="1"/>
  <c r="AI113" i="1"/>
  <c r="AI47" i="1"/>
  <c r="AI268" i="1"/>
  <c r="AG130" i="1"/>
  <c r="AF130" i="1"/>
  <c r="AI296" i="1"/>
  <c r="AI73" i="1"/>
  <c r="AE73" i="1"/>
  <c r="AI132" i="1"/>
  <c r="AF132" i="1"/>
  <c r="AI194" i="1"/>
  <c r="AI173" i="1"/>
  <c r="AI150" i="1"/>
  <c r="AI221" i="1"/>
  <c r="AF221" i="1"/>
  <c r="AI54" i="1"/>
  <c r="AF54" i="1"/>
  <c r="AI123" i="1"/>
  <c r="AI86" i="1"/>
  <c r="AG270" i="1"/>
  <c r="AI292" i="1"/>
  <c r="AF224" i="1"/>
  <c r="AI224" i="1"/>
  <c r="AI93" i="1"/>
  <c r="AI576" i="1"/>
  <c r="AI198" i="1"/>
  <c r="AI163" i="1"/>
  <c r="AF163" i="1"/>
  <c r="AI273" i="1"/>
  <c r="AG189" i="1"/>
  <c r="AI197" i="1"/>
  <c r="AF197" i="1"/>
  <c r="AE163" i="1"/>
  <c r="AI97" i="1"/>
  <c r="AG90" i="1"/>
  <c r="AI90" i="1"/>
  <c r="AI76" i="1"/>
  <c r="AI137" i="1"/>
  <c r="AI84" i="1"/>
  <c r="AI149" i="1"/>
  <c r="AI215" i="1"/>
  <c r="AF215" i="1"/>
  <c r="AI8" i="1"/>
  <c r="AE8" i="1"/>
  <c r="AI61" i="1"/>
  <c r="AI91" i="1"/>
  <c r="AI191" i="1"/>
  <c r="AF276" i="1"/>
  <c r="AF46" i="1"/>
  <c r="AI254" i="1"/>
  <c r="AI178" i="1"/>
  <c r="AI17" i="1"/>
  <c r="AI232" i="1"/>
  <c r="AI115" i="1"/>
  <c r="AG162" i="1"/>
  <c r="AI242" i="1"/>
  <c r="AI79" i="1"/>
  <c r="AF522" i="1"/>
  <c r="AI502" i="1"/>
  <c r="AI580" i="1"/>
  <c r="AI528" i="1"/>
  <c r="AF461" i="1"/>
  <c r="AI190" i="1"/>
  <c r="AE110" i="1"/>
  <c r="AG239" i="1"/>
  <c r="AI239" i="1"/>
  <c r="AE71" i="1"/>
  <c r="AI20" i="1"/>
  <c r="AI44" i="1"/>
  <c r="AF90" i="1"/>
  <c r="AI151" i="1"/>
  <c r="AE151" i="1"/>
  <c r="AG177" i="1"/>
  <c r="AF260" i="1"/>
  <c r="AI260" i="1"/>
  <c r="AF475" i="1"/>
  <c r="AE506" i="1"/>
  <c r="AI556" i="1"/>
  <c r="AI496" i="1"/>
  <c r="AE195" i="1"/>
  <c r="AI189" i="1"/>
  <c r="AI80" i="1"/>
  <c r="AI179" i="1"/>
  <c r="AF203" i="1"/>
  <c r="AI71" i="1"/>
  <c r="AF251" i="1"/>
  <c r="AI117" i="1"/>
  <c r="AI36" i="1"/>
  <c r="AI4" i="1"/>
  <c r="AI33" i="1"/>
  <c r="AF33" i="1"/>
  <c r="AI269" i="1"/>
  <c r="AI227" i="1"/>
  <c r="AE185" i="1"/>
  <c r="AI275" i="1"/>
  <c r="AI81" i="1"/>
  <c r="AE23" i="1"/>
  <c r="AF263" i="1"/>
  <c r="AI112" i="1"/>
  <c r="AI42" i="1"/>
  <c r="AI159" i="1"/>
  <c r="AI57" i="1"/>
  <c r="AF57" i="1"/>
  <c r="AE154" i="1"/>
  <c r="AI156" i="1"/>
  <c r="AF156" i="1"/>
  <c r="AG122" i="1"/>
  <c r="AI152" i="1"/>
  <c r="AF473" i="1"/>
  <c r="AG513" i="1"/>
  <c r="AG290" i="1"/>
  <c r="AI164" i="1"/>
  <c r="AI461" i="1"/>
  <c r="AI18" i="1"/>
  <c r="AE296" i="1"/>
  <c r="AI88" i="1"/>
  <c r="AI133" i="1"/>
  <c r="AI182" i="1"/>
  <c r="AI508" i="1"/>
  <c r="AI169" i="1"/>
  <c r="AG126" i="1"/>
  <c r="AF126" i="1"/>
  <c r="AI98" i="1"/>
  <c r="AG274" i="1"/>
  <c r="AI92" i="1"/>
  <c r="AF92" i="1"/>
  <c r="AI200" i="1"/>
  <c r="AI547" i="1"/>
  <c r="AI69" i="1"/>
  <c r="AI83" i="1"/>
  <c r="AI195" i="1"/>
  <c r="AI100" i="1"/>
  <c r="AE100" i="1"/>
  <c r="AI109" i="1"/>
  <c r="AI9" i="1"/>
  <c r="AI35" i="1"/>
  <c r="AF118" i="1"/>
  <c r="AI158" i="1"/>
  <c r="AI51" i="1"/>
  <c r="AI288" i="1"/>
  <c r="AI607" i="1"/>
  <c r="AI53" i="1"/>
  <c r="AI209" i="1"/>
  <c r="AE268" i="1"/>
  <c r="AI12" i="1"/>
  <c r="AF285" i="1"/>
  <c r="AG517" i="1"/>
  <c r="AI517" i="1"/>
  <c r="AI492" i="1"/>
  <c r="AF569" i="1"/>
  <c r="AI569" i="1"/>
  <c r="AI578" i="1"/>
  <c r="AF578" i="1"/>
  <c r="AI567" i="1"/>
  <c r="AI532" i="1"/>
  <c r="AF532" i="1"/>
  <c r="AI510" i="1"/>
  <c r="AI619" i="1"/>
  <c r="AF545" i="1"/>
  <c r="AI545" i="1"/>
  <c r="AF471" i="1"/>
  <c r="AI471" i="1"/>
  <c r="AI603" i="1"/>
  <c r="AF603" i="1"/>
  <c r="AI585" i="1"/>
  <c r="AG553" i="1"/>
  <c r="AI553" i="1"/>
  <c r="AI463" i="1"/>
  <c r="AI548" i="1"/>
  <c r="AI539" i="1"/>
  <c r="AF539" i="1"/>
  <c r="AI571" i="1"/>
  <c r="AF491" i="1"/>
  <c r="AI491" i="1"/>
  <c r="AF555" i="1"/>
  <c r="AI555" i="1"/>
  <c r="AI533" i="1"/>
  <c r="AF533" i="1"/>
  <c r="AI495" i="1"/>
  <c r="AI614" i="1"/>
  <c r="AI521" i="1"/>
  <c r="AI596" i="1"/>
  <c r="AI598" i="1"/>
  <c r="AI487" i="1"/>
  <c r="AI525" i="1"/>
  <c r="AI563" i="1"/>
  <c r="AF563" i="1"/>
  <c r="AE563" i="1"/>
  <c r="AF581" i="1"/>
  <c r="AI581" i="1"/>
  <c r="AG477" i="1"/>
  <c r="AI587" i="1"/>
  <c r="AI504" i="1"/>
  <c r="AI520" i="1"/>
  <c r="AI620" i="1"/>
  <c r="AI583" i="1"/>
  <c r="AF557" i="1"/>
  <c r="AI557" i="1"/>
  <c r="AF479" i="1"/>
  <c r="AI479" i="1"/>
  <c r="AI515" i="1"/>
  <c r="AI616" i="1"/>
  <c r="AI602" i="1"/>
  <c r="AF585" i="1"/>
  <c r="AI503" i="1"/>
  <c r="AF503" i="1"/>
  <c r="AI518" i="1"/>
  <c r="AF602" i="1"/>
  <c r="AI589" i="1"/>
  <c r="AI498" i="1"/>
  <c r="AG611" i="1"/>
  <c r="AI611" i="1"/>
  <c r="AI483" i="1"/>
  <c r="AI477" i="1"/>
  <c r="AI609" i="1"/>
  <c r="AE619" i="1"/>
  <c r="AE547" i="1"/>
  <c r="AI460" i="1"/>
  <c r="AG481" i="1"/>
  <c r="AI551" i="1"/>
  <c r="AE551" i="1"/>
  <c r="AI509" i="1"/>
  <c r="AE575" i="1"/>
  <c r="AI606" i="1"/>
  <c r="AI568" i="1"/>
  <c r="AI540" i="1"/>
  <c r="AI497" i="1"/>
  <c r="AF467" i="1"/>
  <c r="AI467" i="1"/>
  <c r="AE509" i="1"/>
  <c r="AF565" i="1"/>
  <c r="AI565" i="1"/>
  <c r="AI506" i="1"/>
  <c r="AI575" i="1"/>
  <c r="AF575" i="1"/>
  <c r="AF543" i="1"/>
  <c r="AI543" i="1"/>
  <c r="AE581" i="1"/>
  <c r="AE491" i="1"/>
  <c r="AF548" i="1"/>
  <c r="AE463" i="1"/>
  <c r="AF540" i="1"/>
  <c r="AH145" i="1" l="1"/>
  <c r="AH199" i="1"/>
  <c r="AH219" i="1"/>
  <c r="AH211" i="1"/>
  <c r="AH104" i="1"/>
  <c r="AH85" i="1"/>
  <c r="AF531" i="1"/>
  <c r="AH112" i="1"/>
  <c r="AH223" i="1"/>
  <c r="AH250" i="1"/>
  <c r="AH222" i="1"/>
  <c r="AH151" i="1"/>
  <c r="AH43" i="1"/>
  <c r="AH500" i="1"/>
  <c r="AF538" i="1"/>
  <c r="AH538" i="1"/>
  <c r="AH468" i="1"/>
  <c r="AH19" i="1"/>
  <c r="AF19" i="1"/>
  <c r="AH26" i="1"/>
  <c r="AH512" i="1"/>
  <c r="AF612" i="1"/>
  <c r="AH612" i="1"/>
  <c r="AH240" i="1"/>
  <c r="AH620" i="1"/>
  <c r="AD295" i="1"/>
  <c r="AH295" i="1"/>
  <c r="AH134" i="1"/>
  <c r="AH277" i="1"/>
  <c r="AE277" i="1"/>
  <c r="AH129" i="1"/>
  <c r="AH523" i="1"/>
  <c r="AH476" i="1"/>
  <c r="AH560" i="1"/>
  <c r="AH525" i="1"/>
  <c r="AH561" i="1"/>
  <c r="AH184" i="1"/>
  <c r="AH189" i="1"/>
  <c r="AH552" i="1"/>
  <c r="AH162" i="1"/>
  <c r="AH69" i="1"/>
  <c r="AH80" i="1"/>
  <c r="AH616" i="1"/>
  <c r="AH581" i="1"/>
  <c r="AH530" i="1"/>
  <c r="AH268" i="1"/>
  <c r="AH511" i="1"/>
  <c r="AH568" i="1"/>
  <c r="AH279" i="1"/>
  <c r="AH516" i="1"/>
  <c r="AH100" i="1"/>
  <c r="AH235" i="1"/>
  <c r="AH572" i="1"/>
  <c r="AF560" i="1"/>
  <c r="AE99" i="1"/>
  <c r="AH262" i="1"/>
  <c r="AH566" i="1"/>
  <c r="AH265" i="1"/>
  <c r="AH506" i="1"/>
  <c r="AH193" i="1"/>
  <c r="AH20" i="1"/>
  <c r="AH588" i="1"/>
  <c r="AH472" i="1"/>
  <c r="AH475" i="1"/>
  <c r="AH72" i="1"/>
  <c r="AH586" i="1"/>
  <c r="AH163" i="1"/>
  <c r="AH38" i="1"/>
  <c r="AH504" i="1"/>
  <c r="AH553" i="1"/>
  <c r="AH37" i="1"/>
  <c r="AH464" i="1"/>
  <c r="AH234" i="1"/>
  <c r="AH619" i="1"/>
  <c r="AH621" i="1"/>
  <c r="AH135" i="1"/>
  <c r="AH244" i="1"/>
  <c r="AH495" i="1"/>
  <c r="AH6" i="1"/>
  <c r="AH108" i="1"/>
  <c r="AH159" i="1"/>
  <c r="AE500" i="1"/>
  <c r="AH584" i="1"/>
  <c r="AH482" i="1"/>
  <c r="AH492" i="1"/>
  <c r="AH466" i="1"/>
  <c r="AH229" i="1"/>
  <c r="AH274" i="1"/>
  <c r="AH7" i="1"/>
  <c r="AH186" i="1"/>
  <c r="AH79" i="1"/>
  <c r="AH218" i="1"/>
  <c r="AF525" i="1"/>
  <c r="AE69" i="1"/>
  <c r="AF572" i="1"/>
  <c r="AH68" i="1"/>
  <c r="AH556" i="1"/>
  <c r="AH518" i="1"/>
  <c r="AH479" i="1"/>
  <c r="AH208" i="1"/>
  <c r="AH9" i="1"/>
  <c r="AH157" i="1"/>
  <c r="AH105" i="1"/>
  <c r="AH171" i="1"/>
  <c r="AH607" i="1"/>
  <c r="AH42" i="1"/>
  <c r="AH562" i="1"/>
  <c r="AH148" i="1"/>
  <c r="AH67" i="1"/>
  <c r="AH30" i="1"/>
  <c r="AF159" i="1"/>
  <c r="AH103" i="1"/>
  <c r="AH111" i="1"/>
  <c r="AH60" i="1"/>
  <c r="AH57" i="1"/>
  <c r="AH144" i="1"/>
  <c r="AH133" i="1"/>
  <c r="AH242" i="1"/>
  <c r="AH146" i="1"/>
  <c r="AH283" i="1"/>
  <c r="AH266" i="1"/>
  <c r="AG250" i="1"/>
  <c r="AH493" i="1"/>
  <c r="AH216" i="1"/>
  <c r="AH87" i="1"/>
  <c r="AH280" i="1"/>
  <c r="AH205" i="1"/>
  <c r="AH115" i="1"/>
  <c r="AH565" i="1"/>
  <c r="AH465" i="1"/>
  <c r="AH526" i="1"/>
  <c r="AH535" i="1"/>
  <c r="AH461" i="1"/>
  <c r="AH78" i="1"/>
  <c r="AH31" i="1"/>
  <c r="AF134" i="1"/>
  <c r="AE30" i="1"/>
  <c r="AE219" i="1"/>
  <c r="AH264" i="1"/>
  <c r="AH94" i="1"/>
  <c r="AH469" i="1"/>
  <c r="AH132" i="1"/>
  <c r="AH156" i="1"/>
  <c r="AH166" i="1"/>
  <c r="AH249" i="1"/>
  <c r="AH130" i="1"/>
  <c r="AH90" i="1"/>
  <c r="AH55" i="1"/>
  <c r="AH543" i="1"/>
  <c r="AH610" i="1"/>
  <c r="AH154" i="1"/>
  <c r="AH123" i="1"/>
  <c r="AH576" i="1"/>
  <c r="AH585" i="1"/>
  <c r="AH161" i="1"/>
  <c r="AD161" i="1"/>
  <c r="AH515" i="1"/>
  <c r="AD515" i="1"/>
  <c r="AH491" i="1"/>
  <c r="AD491" i="1"/>
  <c r="AH179" i="1"/>
  <c r="AD179" i="1"/>
  <c r="AD177" i="1"/>
  <c r="AH177" i="1"/>
  <c r="AH238" i="1"/>
  <c r="AE495" i="1"/>
  <c r="AH601" i="1"/>
  <c r="AD601" i="1"/>
  <c r="AH128" i="1"/>
  <c r="AH551" i="1"/>
  <c r="AD551" i="1"/>
  <c r="AH459" i="1"/>
  <c r="AH536" i="1"/>
  <c r="AH215" i="1"/>
  <c r="AD215" i="1"/>
  <c r="AH256" i="1"/>
  <c r="AH245" i="1"/>
  <c r="AD245" i="1"/>
  <c r="AH467" i="1"/>
  <c r="AD467" i="1"/>
  <c r="AH230" i="1"/>
  <c r="AH45" i="1"/>
  <c r="AG283" i="1"/>
  <c r="AE279" i="1"/>
  <c r="AF193" i="1"/>
  <c r="AH181" i="1"/>
  <c r="AH532" i="1"/>
  <c r="AG184" i="1"/>
  <c r="AH541" i="1"/>
  <c r="AH617" i="1"/>
  <c r="AD617" i="1"/>
  <c r="AG475" i="1"/>
  <c r="AH170" i="1"/>
  <c r="AH192" i="1"/>
  <c r="AH147" i="1"/>
  <c r="AH519" i="1"/>
  <c r="AH527" i="1"/>
  <c r="AD527" i="1"/>
  <c r="AD124" i="1"/>
  <c r="AH124" i="1"/>
  <c r="AD4" i="1"/>
  <c r="AH4" i="1"/>
  <c r="AH480" i="1"/>
  <c r="AH503" i="1"/>
  <c r="AD503" i="1"/>
  <c r="AH597" i="1"/>
  <c r="AH246" i="1"/>
  <c r="AH114" i="1"/>
  <c r="AD574" i="1"/>
  <c r="AH574" i="1"/>
  <c r="AG568" i="1"/>
  <c r="AH15" i="1"/>
  <c r="AH605" i="1"/>
  <c r="AD605" i="1"/>
  <c r="AH533" i="1"/>
  <c r="AD533" i="1"/>
  <c r="AH64" i="1"/>
  <c r="AF618" i="1"/>
  <c r="AH33" i="1"/>
  <c r="AH251" i="1"/>
  <c r="AD251" i="1"/>
  <c r="AH508" i="1"/>
  <c r="AH281" i="1"/>
  <c r="AD281" i="1"/>
  <c r="AH273" i="1"/>
  <c r="AH257" i="1"/>
  <c r="AD257" i="1"/>
  <c r="AH522" i="1"/>
  <c r="AH510" i="1"/>
  <c r="AH598" i="1"/>
  <c r="AD122" i="1"/>
  <c r="AH122" i="1"/>
  <c r="AH594" i="1"/>
  <c r="AH113" i="1"/>
  <c r="AD113" i="1"/>
  <c r="AH471" i="1"/>
  <c r="AH546" i="1"/>
  <c r="AD517" i="1"/>
  <c r="AH517" i="1"/>
  <c r="AH187" i="1"/>
  <c r="AH289" i="1"/>
  <c r="AD478" i="1"/>
  <c r="AH478" i="1"/>
  <c r="AD12" i="1"/>
  <c r="AH12" i="1"/>
  <c r="AH84" i="1"/>
  <c r="AH109" i="1"/>
  <c r="AH139" i="1"/>
  <c r="AH190" i="1"/>
  <c r="AH291" i="1"/>
  <c r="AH544" i="1"/>
  <c r="AH269" i="1"/>
  <c r="AD269" i="1"/>
  <c r="AH227" i="1"/>
  <c r="AD227" i="1"/>
  <c r="AH241" i="1"/>
  <c r="AH13" i="1"/>
  <c r="AH195" i="1"/>
  <c r="AH486" i="1"/>
  <c r="AH102" i="1"/>
  <c r="AH505" i="1"/>
  <c r="AH258" i="1"/>
  <c r="AH73" i="1"/>
  <c r="AH169" i="1"/>
  <c r="AH126" i="1"/>
  <c r="AH567" i="1"/>
  <c r="AH496" i="1"/>
  <c r="AH95" i="1"/>
  <c r="AD95" i="1"/>
  <c r="AH16" i="1"/>
  <c r="AH204" i="1"/>
  <c r="AH75" i="1"/>
  <c r="AG566" i="1"/>
  <c r="AH460" i="1"/>
  <c r="AH121" i="1"/>
  <c r="AH474" i="1"/>
  <c r="AH485" i="1"/>
  <c r="AD485" i="1"/>
  <c r="AH542" i="1"/>
  <c r="AH545" i="1"/>
  <c r="AD545" i="1"/>
  <c r="AH498" i="1"/>
  <c r="AH53" i="1"/>
  <c r="AD53" i="1"/>
  <c r="AH614" i="1"/>
  <c r="AH183" i="1"/>
  <c r="AH587" i="1"/>
  <c r="AD587" i="1"/>
  <c r="AH497" i="1"/>
  <c r="AD497" i="1"/>
  <c r="AG190" i="1"/>
  <c r="AH96" i="1"/>
  <c r="AH602" i="1"/>
  <c r="AH575" i="1"/>
  <c r="AD575" i="1"/>
  <c r="AH17" i="1"/>
  <c r="AD17" i="1"/>
  <c r="AH507" i="1"/>
  <c r="AD502" i="1"/>
  <c r="AH502" i="1"/>
  <c r="AH28" i="1"/>
  <c r="AH473" i="1"/>
  <c r="AD473" i="1"/>
  <c r="AH152" i="1"/>
  <c r="AH158" i="1"/>
  <c r="AH29" i="1"/>
  <c r="AD29" i="1"/>
  <c r="AH136" i="1"/>
  <c r="AH220" i="1"/>
  <c r="AH155" i="1"/>
  <c r="AD155" i="1"/>
  <c r="AH65" i="1"/>
  <c r="AD65" i="1"/>
  <c r="AH40" i="1"/>
  <c r="AH579" i="1"/>
  <c r="AH225" i="1"/>
  <c r="AH185" i="1"/>
  <c r="AD185" i="1"/>
  <c r="AH206" i="1"/>
  <c r="AH463" i="1"/>
  <c r="AH260" i="1"/>
  <c r="AH71" i="1"/>
  <c r="AD71" i="1"/>
  <c r="AH549" i="1"/>
  <c r="AH116" i="1"/>
  <c r="AH599" i="1"/>
  <c r="AD599" i="1"/>
  <c r="AH201" i="1"/>
  <c r="AH270" i="1"/>
  <c r="AH21" i="1"/>
  <c r="AD290" i="1"/>
  <c r="AH290" i="1"/>
  <c r="AH483" i="1"/>
  <c r="AH173" i="1"/>
  <c r="AD173" i="1"/>
  <c r="AH203" i="1"/>
  <c r="AD203" i="1"/>
  <c r="AD548" i="1"/>
  <c r="AH548" i="1"/>
  <c r="AH93" i="1"/>
  <c r="AH198" i="1"/>
  <c r="AH18" i="1"/>
  <c r="AH253" i="1"/>
  <c r="AH484" i="1"/>
  <c r="AH563" i="1"/>
  <c r="AD563" i="1"/>
  <c r="AH590" i="1"/>
  <c r="AH489" i="1"/>
  <c r="AH514" i="1"/>
  <c r="AH149" i="1"/>
  <c r="AD149" i="1"/>
  <c r="AH98" i="1"/>
  <c r="AH462" i="1"/>
  <c r="AH255" i="1"/>
  <c r="AF535" i="1"/>
  <c r="AH83" i="1"/>
  <c r="AD83" i="1"/>
  <c r="AE493" i="1"/>
  <c r="AE561" i="1"/>
  <c r="AH580" i="1"/>
  <c r="AH490" i="1"/>
  <c r="AH44" i="1"/>
  <c r="AH8" i="1"/>
  <c r="AH276" i="1"/>
  <c r="AH589" i="1"/>
  <c r="AD589" i="1"/>
  <c r="AG94" i="1"/>
  <c r="AH239" i="1"/>
  <c r="AD239" i="1"/>
  <c r="AH524" i="1"/>
  <c r="AH212" i="1"/>
  <c r="AH606" i="1"/>
  <c r="AH296" i="1"/>
  <c r="AH609" i="1"/>
  <c r="AH555" i="1"/>
  <c r="AH591" i="1"/>
  <c r="AH537" i="1"/>
  <c r="AH611" i="1"/>
  <c r="AD611" i="1"/>
  <c r="AH232" i="1"/>
  <c r="AH583" i="1"/>
  <c r="AH168" i="1"/>
  <c r="AD577" i="1"/>
  <c r="AH577" i="1"/>
  <c r="AH10" i="1"/>
  <c r="AH89" i="1"/>
  <c r="AD89" i="1"/>
  <c r="AH50" i="1"/>
  <c r="AH224" i="1"/>
  <c r="AH237" i="1"/>
  <c r="AH243" i="1"/>
  <c r="AH286" i="1"/>
  <c r="AH131" i="1"/>
  <c r="AD131" i="1"/>
  <c r="AH11" i="1"/>
  <c r="AH142" i="1"/>
  <c r="AH74" i="1"/>
  <c r="AH127" i="1"/>
  <c r="AE244" i="1"/>
  <c r="AF235" i="1"/>
  <c r="AG265" i="1"/>
  <c r="AH172" i="1"/>
  <c r="AH62" i="1"/>
  <c r="AH200" i="1"/>
  <c r="AH77" i="1"/>
  <c r="AD77" i="1"/>
  <c r="AH275" i="1"/>
  <c r="AD275" i="1"/>
  <c r="AH188" i="1"/>
  <c r="AG280" i="1"/>
  <c r="AG586" i="1"/>
  <c r="AH593" i="1"/>
  <c r="AD593" i="1"/>
  <c r="AF100" i="1"/>
  <c r="AH615" i="1"/>
  <c r="AH573" i="1"/>
  <c r="AH557" i="1"/>
  <c r="AD557" i="1"/>
  <c r="AE573" i="1"/>
  <c r="AE504" i="1"/>
  <c r="AH285" i="1"/>
  <c r="AF162" i="1"/>
  <c r="AE165" i="1"/>
  <c r="AH247" i="1"/>
  <c r="AH477" i="1"/>
  <c r="AH571" i="1"/>
  <c r="AH528" i="1"/>
  <c r="AH196" i="1"/>
  <c r="AH66" i="1"/>
  <c r="AH167" i="1"/>
  <c r="AD167" i="1"/>
  <c r="AH25" i="1"/>
  <c r="AH207" i="1"/>
  <c r="AH228" i="1"/>
  <c r="AH559" i="1"/>
  <c r="AH271" i="1"/>
  <c r="AH470" i="1"/>
  <c r="AH41" i="1"/>
  <c r="AD41" i="1"/>
  <c r="AH138" i="1"/>
  <c r="AG57" i="1"/>
  <c r="AH140" i="1"/>
  <c r="AH153" i="1"/>
  <c r="AH118" i="1"/>
  <c r="AH596" i="1"/>
  <c r="AH59" i="1"/>
  <c r="AD59" i="1"/>
  <c r="AH3" i="1"/>
  <c r="AH176" i="1"/>
  <c r="AH539" i="1"/>
  <c r="AD539" i="1"/>
  <c r="AH150" i="1"/>
  <c r="AH292" i="1"/>
  <c r="AH125" i="1"/>
  <c r="AD125" i="1"/>
  <c r="AH191" i="1"/>
  <c r="AD191" i="1"/>
  <c r="AH106" i="1"/>
  <c r="AH481" i="1"/>
  <c r="AG286" i="1"/>
  <c r="AH520" i="1"/>
  <c r="AH164" i="1"/>
  <c r="AH259" i="1"/>
  <c r="AH608" i="1"/>
  <c r="AD499" i="1"/>
  <c r="AH499" i="1"/>
  <c r="AH141" i="1"/>
  <c r="AH529" i="1"/>
  <c r="AH488" i="1"/>
  <c r="AG142" i="1"/>
  <c r="AH248" i="1"/>
  <c r="AH293" i="1"/>
  <c r="AD293" i="1"/>
  <c r="AH513" i="1"/>
  <c r="AH88" i="1"/>
  <c r="AH521" i="1"/>
  <c r="AD521" i="1"/>
  <c r="AG238" i="1"/>
  <c r="AH35" i="1"/>
  <c r="AD35" i="1"/>
  <c r="AE171" i="1"/>
  <c r="AH226" i="1"/>
  <c r="AH558" i="1"/>
  <c r="AH82" i="1"/>
  <c r="AE80" i="1"/>
  <c r="AE132" i="1"/>
  <c r="AH582" i="1"/>
  <c r="AH107" i="1"/>
  <c r="AD107" i="1"/>
  <c r="AE90" i="1"/>
  <c r="AE507" i="1"/>
  <c r="AE549" i="1"/>
  <c r="AH56" i="1"/>
  <c r="AH261" i="1"/>
  <c r="AH51" i="1"/>
  <c r="AH175" i="1"/>
  <c r="AE492" i="1"/>
  <c r="AF620" i="1"/>
  <c r="AE45" i="1"/>
  <c r="AF508" i="1"/>
  <c r="AE147" i="1"/>
  <c r="AE486" i="1"/>
  <c r="AH547" i="1"/>
  <c r="AH282" i="1"/>
  <c r="AH91" i="1"/>
  <c r="AH213" i="1"/>
  <c r="AH595" i="1"/>
  <c r="AD48" i="1"/>
  <c r="AH48" i="1"/>
  <c r="AH52" i="1"/>
  <c r="AH120" i="1"/>
  <c r="AH202" i="1"/>
  <c r="AH509" i="1"/>
  <c r="AD509" i="1"/>
  <c r="AH592" i="1"/>
  <c r="AD592" i="1"/>
  <c r="AH143" i="1"/>
  <c r="AD143" i="1"/>
  <c r="AH540" i="1"/>
  <c r="AH534" i="1"/>
  <c r="AG118" i="1"/>
  <c r="AH110" i="1"/>
  <c r="AH231" i="1"/>
  <c r="AH92" i="1"/>
  <c r="AH284" i="1"/>
  <c r="AH182" i="1"/>
  <c r="AH160" i="1"/>
  <c r="AH252" i="1"/>
  <c r="AH263" i="1"/>
  <c r="AD263" i="1"/>
  <c r="AH294" i="1"/>
  <c r="AH221" i="1"/>
  <c r="AD221" i="1"/>
  <c r="AH209" i="1"/>
  <c r="AD209" i="1"/>
  <c r="AH569" i="1"/>
  <c r="AD569" i="1"/>
  <c r="AH174" i="1"/>
  <c r="AH494" i="1"/>
  <c r="AH49" i="1"/>
  <c r="AH47" i="1"/>
  <c r="AD47" i="1"/>
  <c r="AH578" i="1"/>
  <c r="AG68" i="1"/>
  <c r="AG581" i="1"/>
  <c r="AH197" i="1"/>
  <c r="AD197" i="1"/>
  <c r="AH61" i="1"/>
  <c r="AG22" i="1"/>
  <c r="AH34" i="1"/>
  <c r="AH233" i="1"/>
  <c r="AD233" i="1"/>
  <c r="AH613" i="1"/>
  <c r="AD613" i="1"/>
  <c r="AH63" i="1"/>
  <c r="AD24" i="1"/>
  <c r="AH24" i="1"/>
  <c r="AH604" i="1"/>
  <c r="AD604" i="1"/>
  <c r="AE216" i="1"/>
  <c r="AH117" i="1"/>
  <c r="AH70" i="1"/>
  <c r="AH46" i="1"/>
  <c r="AF85" i="1"/>
  <c r="AE189" i="1"/>
  <c r="AF607" i="1"/>
  <c r="AH287" i="1"/>
  <c r="AD287" i="1"/>
  <c r="AH570" i="1"/>
  <c r="AH487" i="1"/>
  <c r="AE117" i="1"/>
  <c r="AE459" i="1"/>
  <c r="AF240" i="1"/>
  <c r="AE585" i="1"/>
  <c r="AH194" i="1"/>
  <c r="AH54" i="1"/>
  <c r="AH23" i="1"/>
  <c r="AH36" i="1"/>
  <c r="AH288" i="1"/>
  <c r="AG202" i="1"/>
  <c r="AG262" i="1"/>
  <c r="AH236" i="1"/>
  <c r="AH32" i="1"/>
  <c r="AH58" i="1"/>
  <c r="AH564" i="1"/>
  <c r="AH254" i="1"/>
  <c r="AH137" i="1"/>
  <c r="AD137" i="1"/>
  <c r="AH603" i="1"/>
  <c r="AH81" i="1"/>
  <c r="AH214" i="1"/>
  <c r="AH39" i="1"/>
  <c r="AD272" i="1"/>
  <c r="AH272" i="1"/>
  <c r="AH267" i="1"/>
  <c r="AH101" i="1"/>
  <c r="AD101" i="1"/>
  <c r="AH178" i="1"/>
  <c r="AH86" i="1"/>
  <c r="AH14" i="1"/>
  <c r="AH501" i="1"/>
  <c r="AH119" i="1"/>
  <c r="AD119" i="1"/>
  <c r="AH5" i="1"/>
  <c r="AD5" i="1"/>
  <c r="AH278" i="1"/>
  <c r="AH600" i="1"/>
  <c r="AH27" i="1"/>
  <c r="AD210" i="1"/>
  <c r="AH210" i="1"/>
  <c r="AH76" i="1"/>
  <c r="AH97" i="1"/>
  <c r="AH550" i="1"/>
  <c r="AH180" i="1"/>
  <c r="AH554" i="1"/>
  <c r="AE530" i="1"/>
  <c r="AE558" i="1"/>
  <c r="AE534" i="1"/>
  <c r="AE521" i="1"/>
  <c r="AE470" i="1"/>
  <c r="AE618" i="1"/>
  <c r="AE559" i="1"/>
  <c r="AE599" i="1"/>
  <c r="AE460" i="1"/>
  <c r="AE464" i="1"/>
  <c r="AE143" i="1"/>
  <c r="AE526" i="1"/>
  <c r="AE16" i="1"/>
  <c r="AE480" i="1"/>
  <c r="AE104" i="1"/>
  <c r="AE535" i="1"/>
  <c r="AE107" i="1"/>
  <c r="AE235" i="1"/>
  <c r="AE594" i="1"/>
  <c r="AE267" i="1"/>
  <c r="AE236" i="1"/>
  <c r="AE610" i="1"/>
  <c r="AE87" i="1"/>
  <c r="AE55" i="1"/>
  <c r="AE191" i="1"/>
  <c r="AE233" i="1"/>
  <c r="AE579" i="1"/>
  <c r="AE211" i="1"/>
  <c r="AE468" i="1"/>
  <c r="AE485" i="1"/>
  <c r="AE212" i="1"/>
  <c r="AE588" i="1"/>
  <c r="AE10" i="1"/>
  <c r="AE96" i="1"/>
  <c r="AE580" i="1"/>
  <c r="AE615" i="1"/>
  <c r="AE125" i="1"/>
  <c r="AE564" i="1"/>
  <c r="AE490" i="1"/>
  <c r="AE537" i="1"/>
  <c r="AE249" i="1"/>
  <c r="AE591" i="1"/>
  <c r="AE131" i="1"/>
  <c r="AE222" i="1"/>
  <c r="AE103" i="1"/>
  <c r="AE552" i="1"/>
  <c r="AE597" i="1"/>
  <c r="AE5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tc={E511AC9D-5D3F-4E35-8831-C7E0CCF359CC}</author>
    <author>tc={36642B4E-6B9C-4B1A-8E65-9C12F2A8B271}</author>
    <author>tc={AC6B322F-FC49-4D0F-B663-23F689CA77F7}</author>
    <author>tc={D1DFAD58-7AAF-4151-9DB8-1E96443D4F82}</author>
    <author>tc={AD3DDB5F-F6B5-492D-AD40-26D44A41DF95}</author>
    <author>tc={042EDE47-83A9-4470-A321-27DD3E853C71}</author>
    <author>tc={B719D6F3-6F8C-489E-8746-9F8B8ADE15D7}</author>
    <author>tc={19CF7533-8DDA-4B32-81C0-F19070EE7B93}</author>
    <author>tc={AE76F81B-332A-4145-9F04-0EC2C323A61F}</author>
    <author>tc={B21DEEB1-BC31-455A-8817-6461C9B0CF3C}</author>
    <author>tc={092BE1F0-EBE6-4716-A308-4A053B515536}</author>
  </authors>
  <commentList>
    <comment ref="H2" authorId="0" shapeId="0" xr:uid="{E511AC9D-5D3F-4E35-8831-C7E0CCF359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height is the mean height, in metres, of the 100 trees of largest dbh per hectare. </t>
      </text>
    </comment>
    <comment ref="I2" authorId="1" shapeId="0" xr:uid="{36642B4E-6B9C-4B1A-8E65-9C12F2A8B2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measurable trees per hectare, i.e. only those with a dbh of at least 7 cm overbark. 
</t>
      </text>
    </comment>
    <comment ref="J2" authorId="2" shapeId="0" xr:uid="{AC6B322F-FC49-4D0F-B663-23F689CA7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Quadratic mean dbh (diameter at breast height), in centimetres, of the measurable trees. </t>
      </text>
    </comment>
    <comment ref="M2" authorId="3" shapeId="0" xr:uid="{D1DFAD58-7AAF-4151-9DB8-1E96443D4F82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per hectare is the sum of stem volumes, in cubic metres, for individual measurable trees to a top diameter of 7 cm overbark, expressed on a per-hectare basis</t>
      </text>
    </comment>
    <comment ref="R2" authorId="4" shapeId="0" xr:uid="{AD3DDB5F-F6B5-492D-AD40-26D44A41DF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S2" authorId="5" shapeId="0" xr:uid="{042EDE47-83A9-4470-A321-27DD3E853C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W2" authorId="6" shapeId="0" xr:uid="{B719D6F3-6F8C-489E-8746-9F8B8ADE15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X2" authorId="7" shapeId="0" xr:uid="{19CF7533-8DDA-4B32-81C0-F19070EE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AB2" authorId="8" shapeId="0" xr:uid="{AE76F81B-332A-4145-9F04-0EC2C323A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panel board and fencing in medium-lived category
</t>
      </text>
    </comment>
    <comment ref="AF2" authorId="9" shapeId="0" xr:uid="{B21DEEB1-BC31-455A-8817-6461C9B0CF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panel board and fencing in medium-lived category
</t>
      </text>
    </comment>
    <comment ref="AO2" authorId="10" shapeId="0" xr:uid="{092BE1F0-EBE6-4716-A308-4A053B51553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basic wood density (odt/m3) and assuming a moisture content of 50%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tc={8421388F-F08F-4D23-A9AA-345770C35DD2}</author>
    <author>tc={B0F4EA16-711B-43F2-B04D-7448421B8751}</author>
    <author>tc={5F9F84F3-98E8-438E-AF0C-709CBE4CE262}</author>
    <author>tc={C6013B7C-7895-45DB-9C11-16126CF49998}</author>
  </authors>
  <commentList>
    <comment ref="J1" authorId="0" shapeId="0" xr:uid="{8421388F-F08F-4D23-A9AA-345770C35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Assumes it was previously cropland/moorland
</t>
      </text>
    </comment>
    <comment ref="M1" authorId="1" shapeId="0" xr:uid="{B0F4EA16-711B-43F2-B04D-7448421B87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50% carbon content of wood (t c/t odt)
</t>
      </text>
    </comment>
    <comment ref="N1" authorId="2" shapeId="0" xr:uid="{5F9F84F3-98E8-438E-AF0C-709CBE4CE26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species-specific moisture contents given in Hamilton (1975) Forest Mensuration, Forestry Commission Booklet 39</t>
      </text>
    </comment>
    <comment ref="O1" authorId="3" shapeId="0" xr:uid="{C6013B7C-7895-45DB-9C11-16126CF499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basic wood densities from CARBINE </t>
      </text>
    </comment>
  </commentList>
</comments>
</file>

<file path=xl/sharedStrings.xml><?xml version="1.0" encoding="utf-8"?>
<sst xmlns="http://schemas.openxmlformats.org/spreadsheetml/2006/main" count="4273" uniqueCount="70">
  <si>
    <t>Stand details</t>
  </si>
  <si>
    <t>Yield tables</t>
  </si>
  <si>
    <t>Products</t>
  </si>
  <si>
    <t>(for mulching)</t>
  </si>
  <si>
    <t>Tree Spp</t>
  </si>
  <si>
    <t>YC</t>
  </si>
  <si>
    <t>Spacing</t>
  </si>
  <si>
    <t>Thinning treatment</t>
  </si>
  <si>
    <t>Spacing (m)</t>
  </si>
  <si>
    <t>Stand area (ha)</t>
  </si>
  <si>
    <t>Age</t>
  </si>
  <si>
    <t>Top ht m</t>
  </si>
  <si>
    <t>Trees /ha</t>
  </si>
  <si>
    <t>Mean dbh cm</t>
  </si>
  <si>
    <t>BA m²/ha</t>
  </si>
  <si>
    <t>Mean vol m³</t>
  </si>
  <si>
    <t>Vol m³/ha</t>
  </si>
  <si>
    <t>Percent mortality</t>
  </si>
  <si>
    <t>MAI vol m³/ha /yr</t>
  </si>
  <si>
    <t>(age)</t>
  </si>
  <si>
    <t>(mean dbh)</t>
  </si>
  <si>
    <t xml:space="preserve">Small RW Main crop volume (m3/ha) </t>
  </si>
  <si>
    <t>Sawlog Main crop volume (m3/ha)</t>
  </si>
  <si>
    <t>Check</t>
  </si>
  <si>
    <t>check</t>
  </si>
  <si>
    <t>Over to underbark conversion (%)</t>
  </si>
  <si>
    <t>Extracted Small RW (m3/ha)</t>
  </si>
  <si>
    <t>Extracted Sawlogs (m3/ha)</t>
  </si>
  <si>
    <t>Bark (m3/ha)</t>
  </si>
  <si>
    <t>Volume medium-lived products (m3/ha)</t>
  </si>
  <si>
    <t>Volume long-lived products (m3/ha)</t>
  </si>
  <si>
    <t>BIomass short-lived products (odt/ha)</t>
  </si>
  <si>
    <t>Biomass medium-lived products (odt/ha)</t>
  </si>
  <si>
    <t>Biomass long-lived products (odt/ha)</t>
  </si>
  <si>
    <t>Stem biomass (odt/ha)</t>
  </si>
  <si>
    <t>Crown biomass (odt/ha)</t>
  </si>
  <si>
    <t>Root biomass (odt/ha)</t>
  </si>
  <si>
    <t>Total above ground tree biomass (odt/ha)</t>
  </si>
  <si>
    <t>Total above ground tree volume (m3/ha)</t>
  </si>
  <si>
    <t>Above-ground biomass (t green/ha)</t>
  </si>
  <si>
    <t>Check wood product proportions</t>
  </si>
  <si>
    <t>Scots pine</t>
  </si>
  <si>
    <t>No thinning</t>
  </si>
  <si>
    <t>Sitka spruce</t>
  </si>
  <si>
    <t>Mean dbh</t>
  </si>
  <si>
    <t>%_Sitka</t>
  </si>
  <si>
    <t>%_Scots</t>
  </si>
  <si>
    <t>For mean dbh &lt; 10 cm apply 10 cm values</t>
  </si>
  <si>
    <t>For mean dbh &gt; 50 cm apply 50 cm values</t>
  </si>
  <si>
    <t>Crown expansion factor</t>
  </si>
  <si>
    <t>Root expansion factor</t>
  </si>
  <si>
    <t>Wood basic density</t>
  </si>
  <si>
    <t>Nominal specific gravity</t>
  </si>
  <si>
    <t>tree_species</t>
  </si>
  <si>
    <t>yield_class</t>
  </si>
  <si>
    <t>management</t>
  </si>
  <si>
    <t>year</t>
  </si>
  <si>
    <t>tree_carbon (t C/ha)</t>
  </si>
  <si>
    <t>deadwood_carbon (t C/ha)</t>
  </si>
  <si>
    <t>litter_carbon (t C/ha)</t>
  </si>
  <si>
    <t>Total tree carbon (t C/ha)</t>
  </si>
  <si>
    <t>Total tree biomass (odt t/ha)</t>
  </si>
  <si>
    <t>Total tree biomass (green t/ha)</t>
  </si>
  <si>
    <t>Total tree biomass (m3/ha)</t>
  </si>
  <si>
    <t>scots_pine</t>
  </si>
  <si>
    <t>no_thinning_no_felling</t>
  </si>
  <si>
    <t>sitka_spruce</t>
  </si>
  <si>
    <t>Volume fuel (m3/ha)</t>
  </si>
  <si>
    <t>Volume short-lived products (paper) (m3/ha)</t>
  </si>
  <si>
    <t>Biomass fuel (odt/ha)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</si>
</sst>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.25"/>
      <color indexed="8"/>
      <name val="Verdana"/>
      <family val="2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.25"/>
      <color indexed="8"/>
      <name val="Verdana"/>
      <family val="2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</font>
    <font>
      <sz val="12"/>
      <name val="Aptos Narrow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</cellStyleXfs>
  <cellXfs count="39">
    <xf numFmtId="0" fontId="0" fillId="0" borderId="0" xfId="0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3" applyFont="1" applyFill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vertical="top" wrapText="1"/>
    </xf>
    <xf numFmtId="0" fontId="8" fillId="0" borderId="0" xfId="3" applyFont="1" applyAlignment="1">
      <alignment horizontal="right" vertical="top" wrapText="1"/>
    </xf>
    <xf numFmtId="0" fontId="8" fillId="0" borderId="0" xfId="3" applyFont="1" applyAlignment="1">
      <alignment horizontal="center" vertical="top" wrapText="1"/>
    </xf>
    <xf numFmtId="0" fontId="8" fillId="0" borderId="0" xfId="3" applyFont="1" applyAlignment="1">
      <alignment horizontal="right" vertical="top"/>
    </xf>
    <xf numFmtId="9" fontId="8" fillId="0" borderId="0" xfId="1" applyFont="1" applyAlignment="1">
      <alignment horizontal="right" vertical="top"/>
    </xf>
    <xf numFmtId="0" fontId="8" fillId="0" borderId="0" xfId="2" applyFont="1" applyAlignment="1">
      <alignment horizontal="right" vertical="top" wrapText="1"/>
    </xf>
    <xf numFmtId="0" fontId="8" fillId="0" borderId="0" xfId="2" applyFont="1" applyAlignment="1">
      <alignment horizontal="center" vertical="top" wrapText="1"/>
    </xf>
    <xf numFmtId="0" fontId="8" fillId="0" borderId="0" xfId="2" applyFont="1" applyAlignment="1">
      <alignment horizontal="right" vertical="top"/>
    </xf>
    <xf numFmtId="11" fontId="0" fillId="0" borderId="0" xfId="0" applyNumberFormat="1"/>
    <xf numFmtId="0" fontId="2" fillId="0" borderId="0" xfId="0" applyFont="1"/>
    <xf numFmtId="0" fontId="10" fillId="2" borderId="0" xfId="3" applyFont="1" applyFill="1" applyAlignment="1">
      <alignment horizontal="center" vertical="top" wrapText="1"/>
    </xf>
    <xf numFmtId="0" fontId="11" fillId="0" borderId="0" xfId="3" applyFont="1" applyAlignment="1">
      <alignment horizontal="right" vertical="top" wrapText="1"/>
    </xf>
    <xf numFmtId="0" fontId="11" fillId="0" borderId="0" xfId="2" applyFont="1" applyAlignment="1">
      <alignment horizontal="right" vertical="top" wrapText="1"/>
    </xf>
    <xf numFmtId="0" fontId="13" fillId="0" borderId="0" xfId="0" applyFont="1"/>
    <xf numFmtId="0" fontId="9" fillId="0" borderId="0" xfId="0" applyFont="1"/>
    <xf numFmtId="2" fontId="0" fillId="0" borderId="0" xfId="0" applyNumberFormat="1"/>
    <xf numFmtId="2" fontId="2" fillId="0" borderId="0" xfId="0" applyNumberFormat="1" applyFont="1"/>
    <xf numFmtId="2" fontId="6" fillId="0" borderId="0" xfId="0" applyNumberFormat="1" applyFont="1" applyAlignment="1">
      <alignment vertical="top" wrapText="1"/>
    </xf>
    <xf numFmtId="2" fontId="14" fillId="0" borderId="0" xfId="0" applyNumberFormat="1" applyFont="1" applyAlignment="1">
      <alignment vertical="top" wrapText="1"/>
    </xf>
    <xf numFmtId="0" fontId="2" fillId="4" borderId="0" xfId="0" applyFont="1" applyFill="1" applyAlignment="1">
      <alignment horizontal="center"/>
    </xf>
    <xf numFmtId="0" fontId="14" fillId="4" borderId="0" xfId="0" applyFont="1" applyFill="1" applyAlignment="1">
      <alignment vertical="top" wrapText="1"/>
    </xf>
    <xf numFmtId="0" fontId="0" fillId="4" borderId="0" xfId="0" applyFill="1"/>
    <xf numFmtId="0" fontId="5" fillId="0" borderId="0" xfId="2" applyFont="1" applyAlignment="1">
      <alignment horizontal="center" vertical="top" wrapText="1"/>
    </xf>
    <xf numFmtId="0" fontId="5" fillId="0" borderId="0" xfId="2" applyFont="1" applyAlignment="1">
      <alignment horizontal="right" vertical="top" wrapText="1"/>
    </xf>
    <xf numFmtId="0" fontId="5" fillId="0" borderId="0" xfId="2" applyFont="1" applyAlignment="1">
      <alignment horizontal="right" vertical="top"/>
    </xf>
    <xf numFmtId="0" fontId="12" fillId="0" borderId="0" xfId="2" applyFont="1" applyAlignment="1">
      <alignment horizontal="right" vertical="top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wrapText="1"/>
    </xf>
    <xf numFmtId="2" fontId="17" fillId="0" borderId="0" xfId="0" applyNumberFormat="1" applyFont="1"/>
  </cellXfs>
  <cellStyles count="4">
    <cellStyle name="Normal" xfId="0" builtinId="0"/>
    <cellStyle name="Normal 2" xfId="2" xr:uid="{C8B4C628-5426-4CB7-9407-EB0893B9141B}"/>
    <cellStyle name="Normal 3" xfId="3" xr:uid="{89011A8C-4292-4478-A095-29EA1557963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y Whittaker" id="{4F36CEEA-48E5-4462-8A07-F1B9A45A6418}" userId="S::carly.whittaker@ForestResearch.gov.uk::981bb72f-eb1e-462f-8660-ce8151eab8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12-10T16:59:49.70" personId="{4F36CEEA-48E5-4462-8A07-F1B9A45A6418}" id="{E511AC9D-5D3F-4E35-8831-C7E0CCF359CC}">
    <text xml:space="preserve">Top height is the mean height, in metres, of the 100 trees of largest dbh per hectare. </text>
  </threadedComment>
  <threadedComment ref="I2" dT="2025-12-10T17:00:02.52" personId="{4F36CEEA-48E5-4462-8A07-F1B9A45A6418}" id="{36642B4E-6B9C-4B1A-8E65-9C12F2A8B271}">
    <text xml:space="preserve">Number of measurable trees per hectare, i.e. only those with a dbh of at least 7 cm overbark. 
</text>
  </threadedComment>
  <threadedComment ref="J2" dT="2025-12-10T17:00:17.56" personId="{4F36CEEA-48E5-4462-8A07-F1B9A45A6418}" id="{AC6B322F-FC49-4D0F-B663-23F689CA77F7}">
    <text xml:space="preserve">Quadratic mean dbh (diameter at breast height), in centimetres, of the measurable trees. </text>
  </threadedComment>
  <threadedComment ref="M2" dT="2025-12-10T17:06:09.97" personId="{4F36CEEA-48E5-4462-8A07-F1B9A45A6418}" id="{D1DFAD58-7AAF-4151-9DB8-1E96443D4F82}">
    <text>Volume per hectare is the sum of stem volumes, in cubic metres, for individual measurable trees to a top diameter of 7 cm overbark, expressed on a per-hectare basis</text>
  </threadedComment>
  <threadedComment ref="R2" dT="2025-12-10T10:32:19.87" personId="{4F36CEEA-48E5-4462-8A07-F1B9A45A6418}" id="{AD3DDB5F-F6B5-492D-AD40-26D44A41DF95}">
    <text xml:space="preserve">Overbark
</text>
  </threadedComment>
  <threadedComment ref="S2" dT="2025-12-10T10:32:25.46" personId="{4F36CEEA-48E5-4462-8A07-F1B9A45A6418}" id="{042EDE47-83A9-4470-A321-27DD3E853C71}">
    <text xml:space="preserve">Overbark
</text>
  </threadedComment>
  <threadedComment ref="W2" dT="2025-12-10T10:32:13.00" personId="{4F36CEEA-48E5-4462-8A07-F1B9A45A6418}" id="{B719D6F3-6F8C-489E-8746-9F8B8ADE15D7}">
    <text>Includes 10% loss and conversion from overbark to underbark</text>
  </threadedComment>
  <threadedComment ref="X2" dT="2025-12-10T10:32:43.11" personId="{4F36CEEA-48E5-4462-8A07-F1B9A45A6418}" id="{19CF7533-8DDA-4B32-81C0-F19070EE7B93}">
    <text>Includes 10% loss and conversion from overbark to underbark</text>
  </threadedComment>
  <threadedComment ref="AB2" dT="2025-12-10T17:55:25.05" personId="{4F36CEEA-48E5-4462-8A07-F1B9A45A6418}" id="{AE76F81B-332A-4145-9F04-0EC2C323A61F}">
    <text xml:space="preserve">Assume panel board and fencing in medium-lived category
</text>
  </threadedComment>
  <threadedComment ref="AF2" dT="2025-12-10T17:55:25.05" personId="{4F36CEEA-48E5-4462-8A07-F1B9A45A6418}" id="{B21DEEB1-BC31-455A-8817-6461C9B0CF3C}">
    <text xml:space="preserve">Assume panel board and fencing in medium-lived category
</text>
  </threadedComment>
  <threadedComment ref="AO2" dT="2025-12-17T08:43:00.87" personId="{4F36CEEA-48E5-4462-8A07-F1B9A45A6418}" id="{092BE1F0-EBE6-4716-A308-4A053B515536}">
    <text>Based on basic wood density (odt/m3) and assuming a moisture content of 50%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12-15T09:10:31.61" personId="{4F36CEEA-48E5-4462-8A07-F1B9A45A6418}" id="{8421388F-F08F-4D23-A9AA-345770C35DD2}">
    <text xml:space="preserve">Assumes it was previously cropland/moorland
</text>
  </threadedComment>
  <threadedComment ref="M1" dT="2025-12-16T09:30:55.38" personId="{4F36CEEA-48E5-4462-8A07-F1B9A45A6418}" id="{B0F4EA16-711B-43F2-B04D-7448421B8751}">
    <text xml:space="preserve">Assume 50% carbon content of wood (t c/t odt)
</text>
  </threadedComment>
  <threadedComment ref="N1" dT="2025-12-16T09:35:56.83" personId="{4F36CEEA-48E5-4462-8A07-F1B9A45A6418}" id="{5F9F84F3-98E8-438E-AF0C-709CBE4CE262}">
    <text>Based on species-specific moisture contents given in Hamilton (1975) Forest Mensuration, Forestry Commission Booklet 39</text>
  </threadedComment>
  <threadedComment ref="O1" dT="2025-12-15T09:22:48.22" personId="{4F36CEEA-48E5-4462-8A07-F1B9A45A6418}" id="{C6013B7C-7895-45DB-9C11-16126CF49998}">
    <text xml:space="preserve">Using basic wood densities from CARBINE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6E9-728F-4541-B40C-E3C525E8BA8E}">
  <dimension ref="A1:AQ738"/>
  <sheetViews>
    <sheetView tabSelected="1" zoomScale="71" zoomScaleNormal="130" workbookViewId="0">
      <pane xSplit="1" ySplit="2" topLeftCell="AB3" activePane="bottomRight" state="frozen"/>
      <selection pane="topRight" activeCell="B1" sqref="B1"/>
      <selection pane="bottomLeft" activeCell="A3" sqref="A3"/>
      <selection pane="bottomRight" activeCell="AQ3" sqref="AQ3"/>
    </sheetView>
  </sheetViews>
  <sheetFormatPr defaultRowHeight="14.5" x14ac:dyDescent="0.35"/>
  <cols>
    <col min="4" max="4" width="10.1796875" customWidth="1"/>
    <col min="12" max="12" width="11.26953125" bestFit="1" customWidth="1"/>
    <col min="13" max="13" width="9.1796875" style="16"/>
    <col min="18" max="18" width="19.26953125" customWidth="1"/>
    <col min="19" max="19" width="23" bestFit="1" customWidth="1"/>
    <col min="20" max="20" width="6.453125" bestFit="1" customWidth="1"/>
    <col min="21" max="21" width="6.1796875" bestFit="1" customWidth="1"/>
    <col min="22" max="22" width="16.26953125" bestFit="1" customWidth="1"/>
    <col min="23" max="23" width="19.1796875" customWidth="1"/>
    <col min="24" max="24" width="18.453125" customWidth="1"/>
    <col min="25" max="26" width="13.54296875" customWidth="1"/>
    <col min="27" max="27" width="18.7265625" customWidth="1"/>
    <col min="28" max="28" width="20.1796875" customWidth="1"/>
    <col min="29" max="33" width="21.453125" customWidth="1"/>
    <col min="37" max="38" width="9.1796875" style="22"/>
    <col min="39" max="39" width="11.54296875" style="22" customWidth="1"/>
    <col min="40" max="40" width="11.54296875" style="38" customWidth="1"/>
    <col min="41" max="41" width="13.1796875" style="23" customWidth="1"/>
    <col min="43" max="43" width="12" bestFit="1" customWidth="1"/>
  </cols>
  <sheetData>
    <row r="1" spans="1:43" x14ac:dyDescent="0.35">
      <c r="A1" s="34" t="s">
        <v>0</v>
      </c>
      <c r="B1" s="34"/>
      <c r="C1" s="34"/>
      <c r="D1" s="34"/>
      <c r="E1" s="34"/>
      <c r="F1" s="34"/>
      <c r="G1" s="34"/>
      <c r="H1" s="33" t="s">
        <v>1</v>
      </c>
      <c r="I1" s="33"/>
      <c r="J1" s="33"/>
      <c r="K1" s="33"/>
      <c r="L1" s="33"/>
      <c r="M1" s="33"/>
      <c r="N1" s="33"/>
      <c r="O1" s="33"/>
      <c r="P1" s="6"/>
      <c r="Q1" s="6"/>
      <c r="Z1" s="28"/>
      <c r="AA1" s="35" t="s">
        <v>2</v>
      </c>
      <c r="AB1" s="35"/>
      <c r="AC1" s="35"/>
      <c r="AD1" s="26"/>
      <c r="AE1" s="26"/>
      <c r="AF1" s="26"/>
      <c r="AG1" s="26"/>
      <c r="AN1" s="36"/>
      <c r="AO1" s="23" t="s">
        <v>3</v>
      </c>
    </row>
    <row r="2" spans="1:43" s="1" customFormat="1" ht="64" x14ac:dyDescent="0.4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17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7" t="s">
        <v>67</v>
      </c>
      <c r="AA2" s="7" t="s">
        <v>68</v>
      </c>
      <c r="AB2" s="7" t="s">
        <v>29</v>
      </c>
      <c r="AC2" s="7" t="s">
        <v>30</v>
      </c>
      <c r="AD2" s="27" t="s">
        <v>69</v>
      </c>
      <c r="AE2" s="27" t="s">
        <v>31</v>
      </c>
      <c r="AF2" s="27" t="s">
        <v>32</v>
      </c>
      <c r="AG2" s="27" t="s">
        <v>33</v>
      </c>
      <c r="AH2" s="1" t="s">
        <v>23</v>
      </c>
      <c r="AI2" s="1" t="s">
        <v>23</v>
      </c>
      <c r="AJ2" s="1" t="s">
        <v>34</v>
      </c>
      <c r="AK2" s="24" t="s">
        <v>35</v>
      </c>
      <c r="AL2" s="24" t="s">
        <v>36</v>
      </c>
      <c r="AM2" s="24" t="s">
        <v>37</v>
      </c>
      <c r="AN2" s="37" t="s">
        <v>38</v>
      </c>
      <c r="AO2" s="25" t="s">
        <v>39</v>
      </c>
      <c r="AQ2" s="1" t="s">
        <v>40</v>
      </c>
    </row>
    <row r="3" spans="1:43" x14ac:dyDescent="0.35">
      <c r="A3" t="s">
        <v>41</v>
      </c>
      <c r="B3">
        <v>4</v>
      </c>
      <c r="C3">
        <v>2</v>
      </c>
      <c r="D3" t="s">
        <v>42</v>
      </c>
      <c r="E3">
        <v>2</v>
      </c>
      <c r="F3">
        <v>1</v>
      </c>
      <c r="G3" s="8">
        <v>40</v>
      </c>
      <c r="H3" s="8">
        <v>8.2899999999999991</v>
      </c>
      <c r="I3" s="8">
        <v>2183</v>
      </c>
      <c r="J3" s="8">
        <v>10.19</v>
      </c>
      <c r="K3" s="8">
        <v>17.803000000000001</v>
      </c>
      <c r="L3" s="8">
        <v>2.5000000000000001E-2</v>
      </c>
      <c r="M3" s="18">
        <v>54</v>
      </c>
      <c r="N3" s="8">
        <v>0</v>
      </c>
      <c r="O3" s="9">
        <v>1.35</v>
      </c>
      <c r="P3" s="10">
        <v>40</v>
      </c>
      <c r="Q3" s="10">
        <v>10.19</v>
      </c>
      <c r="R3" s="10">
        <v>54</v>
      </c>
      <c r="S3" s="10">
        <v>0</v>
      </c>
      <c r="T3" s="10" t="b">
        <f>G3=P3</f>
        <v>1</v>
      </c>
      <c r="U3" s="10" t="b">
        <f>J3=Q3</f>
        <v>1</v>
      </c>
      <c r="V3" s="11">
        <f>VLOOKUP(IF(J3&lt;10, 10, IF(J3&gt;50,50,J3)),'Over to underbark'!$A$3:$C$43,IF(A3="Scots pine",3,IF(A3="Sitka spruce",2, "error")),TRUE)/100</f>
        <v>0.53</v>
      </c>
      <c r="W3">
        <f>R3*0.9*V3</f>
        <v>25.758000000000003</v>
      </c>
      <c r="X3">
        <f>S3*0.9*V3</f>
        <v>0</v>
      </c>
      <c r="Y3">
        <f>(R3+S3)*0.9*(100%-V3)</f>
        <v>22.841999999999999</v>
      </c>
      <c r="Z3">
        <f>(50%*Y3)+(46%*W3)+(15%*X3)+(43%*W3*10%)+(43%*W3*90%*5%)+(25%*X3*50%)+(60%*X3*8%)</f>
        <v>24.8756913</v>
      </c>
      <c r="AA3">
        <f>(50%*Y3)+(11%*W3)</f>
        <v>14.254379999999999</v>
      </c>
      <c r="AB3">
        <f>(43%*W3*90%*95%)+(25%*X3*50%)</f>
        <v>9.4699287000000005</v>
      </c>
      <c r="AC3">
        <f>60%*X3*92%</f>
        <v>0</v>
      </c>
      <c r="AD3">
        <f>LOOKUP($A3,'Over to underbark'!$A$47:$A$48,'Over to underbark'!E$47:E$48)*Z3</f>
        <v>10.447790346</v>
      </c>
      <c r="AE3">
        <f>LOOKUP($A3,'Over to underbark'!$A$47:$A$48,'Over to underbark'!E$47:E$48)*AA3</f>
        <v>5.9868395999999997</v>
      </c>
      <c r="AF3">
        <f>LOOKUP($A3,'Over to underbark'!$A$47:$A$48,'Over to underbark'!E$47:E$48)*AB3</f>
        <v>3.9773700540000001</v>
      </c>
      <c r="AG3">
        <f>LOOKUP($A3,'Over to underbark'!$A$47:$A$48,'Over to underbark'!E$47:E$48)*AC3</f>
        <v>0</v>
      </c>
      <c r="AH3" t="b">
        <f>SUM(W3:Y3)=SUM(Z3:AC3)</f>
        <v>1</v>
      </c>
      <c r="AI3" t="b">
        <f>SUM(R3:S3)*0.9 = SUM(W3:Y3)</f>
        <v>1</v>
      </c>
      <c r="AJ3">
        <f>LOOKUP(A3,'Over to underbark'!$A$47:$A$48,'Over to underbark'!E$47:E$48)*M3</f>
        <v>22.68</v>
      </c>
      <c r="AK3" s="22">
        <f>LOOKUP(A3,'Over to underbark'!$A$47:$A$48,'Over to underbark'!$B$47:$B$48)*AJ3</f>
        <v>7.7112000000000007</v>
      </c>
      <c r="AL3" s="22">
        <f>LOOKUP(A3,'Over to underbark'!$A$47:$A$48,'Over to underbark'!C$47:C$48)*AJ3</f>
        <v>7.9379999999999997</v>
      </c>
      <c r="AM3" s="22">
        <f>AJ3+AK3</f>
        <v>30.391200000000001</v>
      </c>
      <c r="AN3" s="36">
        <v>72.36</v>
      </c>
      <c r="AO3" s="23">
        <f>AM3*2</f>
        <v>60.782400000000003</v>
      </c>
      <c r="AQ3">
        <f>(AD3+AE3+AF3+AG3)/AM3</f>
        <v>0.67164179104477617</v>
      </c>
    </row>
    <row r="4" spans="1:43" x14ac:dyDescent="0.35">
      <c r="A4" t="s">
        <v>41</v>
      </c>
      <c r="B4">
        <v>4</v>
      </c>
      <c r="C4">
        <v>2</v>
      </c>
      <c r="D4" t="s">
        <v>42</v>
      </c>
      <c r="E4">
        <v>2</v>
      </c>
      <c r="F4">
        <v>1</v>
      </c>
      <c r="G4" s="8">
        <v>41</v>
      </c>
      <c r="H4" s="8">
        <v>8.5359999999999996</v>
      </c>
      <c r="I4" s="8">
        <v>2172</v>
      </c>
      <c r="J4" s="8">
        <v>10.484999999999999</v>
      </c>
      <c r="K4" s="8">
        <v>18.751999999999999</v>
      </c>
      <c r="L4" s="8">
        <v>2.7E-2</v>
      </c>
      <c r="M4" s="18">
        <v>59.2</v>
      </c>
      <c r="N4" s="8">
        <v>0</v>
      </c>
      <c r="O4" s="9">
        <v>1.444</v>
      </c>
      <c r="P4" s="10">
        <v>41</v>
      </c>
      <c r="Q4" s="10">
        <v>10.484999999999999</v>
      </c>
      <c r="R4" s="10">
        <v>59.2</v>
      </c>
      <c r="S4" s="10">
        <v>0</v>
      </c>
      <c r="T4" s="10" t="b">
        <f t="shared" ref="T4:T67" si="0">G4=P4</f>
        <v>1</v>
      </c>
      <c r="U4" s="10" t="b">
        <f t="shared" ref="U4:U67" si="1">J4=Q4</f>
        <v>1</v>
      </c>
      <c r="V4" s="11">
        <f>VLOOKUP(IF(J4&lt;10, 10, IF(J4&gt;50,50,J4)),'Over to underbark'!$A$3:$C$43,IF(A4="Scots pine",3,IF(A4="Sitka spruce",2, "error")),TRUE)/100</f>
        <v>0.53</v>
      </c>
      <c r="W4">
        <f t="shared" ref="W4:W63" si="2">R4*0.9*V4</f>
        <v>28.238400000000002</v>
      </c>
      <c r="X4">
        <f t="shared" ref="X4:X63" si="3">S4*0.9*V4</f>
        <v>0</v>
      </c>
      <c r="Y4">
        <f t="shared" ref="Y4:Y67" si="4">(R4+S4)*0.9*(100%-V4)</f>
        <v>25.041599999999999</v>
      </c>
      <c r="Z4">
        <f t="shared" ref="Z4:Z67" si="5">(50%*Y4)+(46%*W4)+(15%*X4)+(43%*W4*10%)+(43%*W4*90%*5%)+(25%*X4*50%)+(60%*X4*8%)</f>
        <v>27.271128239999999</v>
      </c>
      <c r="AA4">
        <f t="shared" ref="AA4:AA67" si="6">(50%*Y4)+(11%*W4)</f>
        <v>15.627023999999999</v>
      </c>
      <c r="AB4">
        <f t="shared" ref="AB4:AB67" si="7">(43%*W4*90%*95%)+(25%*X4*50%)</f>
        <v>10.381847759999999</v>
      </c>
      <c r="AC4">
        <f t="shared" ref="AC4:AC67" si="8">60%*X4*92%</f>
        <v>0</v>
      </c>
      <c r="AD4">
        <f>LOOKUP($A4,'Over to underbark'!$A$47:$A$48,'Over to underbark'!E$47:E$48)*Z4</f>
        <v>11.4538738608</v>
      </c>
      <c r="AE4">
        <f>LOOKUP($A4,'Over to underbark'!$A$47:$A$48,'Over to underbark'!E$47:E$48)*AA4</f>
        <v>6.5633500799999993</v>
      </c>
      <c r="AF4">
        <f>LOOKUP($A4,'Over to underbark'!$A$47:$A$48,'Over to underbark'!E$47:E$48)*AB4</f>
        <v>4.3603760591999992</v>
      </c>
      <c r="AG4">
        <f>LOOKUP($A4,'Over to underbark'!$A$47:$A$48,'Over to underbark'!E$47:E$48)*AC4</f>
        <v>0</v>
      </c>
      <c r="AH4" t="b">
        <f t="shared" ref="AH4:AH67" si="9">SUM(W4:Y4)=SUM(Z4:AC4)</f>
        <v>1</v>
      </c>
      <c r="AI4" t="b">
        <f t="shared" ref="AI4:AI67" si="10">SUM(R4:S4)*0.9 = SUM(W4:Y4)</f>
        <v>1</v>
      </c>
      <c r="AJ4">
        <f>LOOKUP(A4,'Over to underbark'!$A$47:$A$48,'Over to underbark'!E$47:E$48)*M4</f>
        <v>24.864000000000001</v>
      </c>
      <c r="AK4" s="22">
        <f>LOOKUP(A4,'Over to underbark'!$A$47:$A$48,'Over to underbark'!$B$47:$B$48)*AJ4</f>
        <v>8.4537600000000008</v>
      </c>
      <c r="AL4" s="22">
        <f>LOOKUP(A4,'Over to underbark'!$A$47:$A$48,'Over to underbark'!C$47:C$48)*AJ4</f>
        <v>8.702399999999999</v>
      </c>
      <c r="AM4" s="22">
        <f t="shared" ref="AM4:AM67" si="11">AJ4+AK4</f>
        <v>33.31776</v>
      </c>
      <c r="AN4" s="36">
        <v>79.33</v>
      </c>
      <c r="AO4" s="23">
        <f t="shared" ref="AO4:AO67" si="12">AM4*2</f>
        <v>66.63552</v>
      </c>
      <c r="AQ4">
        <f t="shared" ref="AQ4:AQ67" si="13">(AD4+AE4+AF4+AG4)/AM4</f>
        <v>0.67164179104477617</v>
      </c>
    </row>
    <row r="5" spans="1:43" x14ac:dyDescent="0.35">
      <c r="A5" t="s">
        <v>41</v>
      </c>
      <c r="B5">
        <v>4</v>
      </c>
      <c r="C5">
        <v>2</v>
      </c>
      <c r="D5" t="s">
        <v>42</v>
      </c>
      <c r="E5">
        <v>2</v>
      </c>
      <c r="F5">
        <v>1</v>
      </c>
      <c r="G5" s="8">
        <v>42</v>
      </c>
      <c r="H5" s="8">
        <v>8.782</v>
      </c>
      <c r="I5" s="8">
        <v>2161</v>
      </c>
      <c r="J5" s="8">
        <v>10.773999999999999</v>
      </c>
      <c r="K5" s="8">
        <v>19.702000000000002</v>
      </c>
      <c r="L5" s="8">
        <v>0.03</v>
      </c>
      <c r="M5" s="18">
        <v>64.400000000000006</v>
      </c>
      <c r="N5" s="8">
        <v>0</v>
      </c>
      <c r="O5" s="9">
        <v>1.5329999999999999</v>
      </c>
      <c r="P5" s="10">
        <v>42</v>
      </c>
      <c r="Q5" s="10">
        <v>10.773999999999999</v>
      </c>
      <c r="R5" s="10">
        <v>64.400000000000006</v>
      </c>
      <c r="S5" s="10">
        <v>0</v>
      </c>
      <c r="T5" s="10" t="b">
        <f t="shared" si="0"/>
        <v>1</v>
      </c>
      <c r="U5" s="10" t="b">
        <f t="shared" si="1"/>
        <v>1</v>
      </c>
      <c r="V5" s="11">
        <f>VLOOKUP(IF(J5&lt;10, 10, IF(J5&gt;50,50,J5)),'Over to underbark'!$A$3:$C$43,IF(A5="Scots pine",3,IF(A5="Sitka spruce",2, "error")),TRUE)/100</f>
        <v>0.53</v>
      </c>
      <c r="W5">
        <f t="shared" si="2"/>
        <v>30.718800000000005</v>
      </c>
      <c r="X5">
        <f t="shared" si="3"/>
        <v>0</v>
      </c>
      <c r="Y5">
        <f t="shared" si="4"/>
        <v>27.241200000000003</v>
      </c>
      <c r="Z5">
        <f t="shared" si="5"/>
        <v>29.666565180000003</v>
      </c>
      <c r="AA5">
        <f t="shared" si="6"/>
        <v>16.999668000000003</v>
      </c>
      <c r="AB5">
        <f t="shared" si="7"/>
        <v>11.293766820000002</v>
      </c>
      <c r="AC5">
        <f t="shared" si="8"/>
        <v>0</v>
      </c>
      <c r="AD5">
        <f>LOOKUP($A5,'Over to underbark'!$A$47:$A$48,'Over to underbark'!E$47:E$48)*Z5</f>
        <v>12.4599573756</v>
      </c>
      <c r="AE5">
        <f>LOOKUP($A5,'Over to underbark'!$A$47:$A$48,'Over to underbark'!E$47:E$48)*AA5</f>
        <v>7.1398605600000016</v>
      </c>
      <c r="AF5">
        <f>LOOKUP($A5,'Over to underbark'!$A$47:$A$48,'Over to underbark'!E$47:E$48)*AB5</f>
        <v>4.7433820644000004</v>
      </c>
      <c r="AG5">
        <f>LOOKUP($A5,'Over to underbark'!$A$47:$A$48,'Over to underbark'!E$47:E$48)*AC5</f>
        <v>0</v>
      </c>
      <c r="AH5" t="b">
        <f t="shared" si="9"/>
        <v>1</v>
      </c>
      <c r="AI5" t="b">
        <f t="shared" si="10"/>
        <v>1</v>
      </c>
      <c r="AJ5">
        <f>LOOKUP(A5,'Over to underbark'!$A$47:$A$48,'Over to underbark'!E$47:E$48)*M5</f>
        <v>27.048000000000002</v>
      </c>
      <c r="AK5" s="22">
        <f>LOOKUP(A5,'Over to underbark'!$A$47:$A$48,'Over to underbark'!$B$47:$B$48)*AJ5</f>
        <v>9.1963200000000018</v>
      </c>
      <c r="AL5" s="22">
        <f>LOOKUP(A5,'Over to underbark'!$A$47:$A$48,'Over to underbark'!C$47:C$48)*AJ5</f>
        <v>9.4667999999999992</v>
      </c>
      <c r="AM5" s="22">
        <f t="shared" si="11"/>
        <v>36.244320000000002</v>
      </c>
      <c r="AN5" s="36">
        <v>86.3</v>
      </c>
      <c r="AO5" s="23">
        <f t="shared" si="12"/>
        <v>72.488640000000004</v>
      </c>
      <c r="AQ5">
        <f t="shared" si="13"/>
        <v>0.67164179104477617</v>
      </c>
    </row>
    <row r="6" spans="1:43" x14ac:dyDescent="0.35">
      <c r="A6" t="s">
        <v>41</v>
      </c>
      <c r="B6">
        <v>4</v>
      </c>
      <c r="C6">
        <v>2</v>
      </c>
      <c r="D6" t="s">
        <v>42</v>
      </c>
      <c r="E6">
        <v>2</v>
      </c>
      <c r="F6">
        <v>1</v>
      </c>
      <c r="G6" s="8">
        <v>43</v>
      </c>
      <c r="H6" s="8">
        <v>9.0280000000000005</v>
      </c>
      <c r="I6" s="8">
        <v>2151</v>
      </c>
      <c r="J6" s="8">
        <v>11.055999999999999</v>
      </c>
      <c r="K6" s="8">
        <v>20.651</v>
      </c>
      <c r="L6" s="8">
        <v>3.2000000000000001E-2</v>
      </c>
      <c r="M6" s="18">
        <v>69.599999999999994</v>
      </c>
      <c r="N6" s="8">
        <v>0</v>
      </c>
      <c r="O6" s="9">
        <v>1.619</v>
      </c>
      <c r="P6" s="10">
        <v>43</v>
      </c>
      <c r="Q6" s="10">
        <v>11.055999999999999</v>
      </c>
      <c r="R6" s="10">
        <v>69.599999999999994</v>
      </c>
      <c r="S6" s="10">
        <v>0</v>
      </c>
      <c r="T6" s="10" t="b">
        <f t="shared" si="0"/>
        <v>1</v>
      </c>
      <c r="U6" s="10" t="b">
        <f t="shared" si="1"/>
        <v>1</v>
      </c>
      <c r="V6" s="11">
        <f>VLOOKUP(IF(J6&lt;10, 10, IF(J6&gt;50,50,J6)),'Over to underbark'!$A$3:$C$43,IF(A6="Scots pine",3,IF(A6="Sitka spruce",2, "error")),TRUE)/100</f>
        <v>0.66</v>
      </c>
      <c r="W6">
        <f t="shared" si="2"/>
        <v>41.342399999999998</v>
      </c>
      <c r="X6">
        <f t="shared" si="3"/>
        <v>0</v>
      </c>
      <c r="Y6">
        <f t="shared" si="4"/>
        <v>21.297599999999996</v>
      </c>
      <c r="Z6">
        <f t="shared" si="5"/>
        <v>32.244002639999998</v>
      </c>
      <c r="AA6">
        <f t="shared" si="6"/>
        <v>15.196463999999999</v>
      </c>
      <c r="AB6">
        <f t="shared" si="7"/>
        <v>15.199533359999998</v>
      </c>
      <c r="AC6">
        <f t="shared" si="8"/>
        <v>0</v>
      </c>
      <c r="AD6">
        <f>LOOKUP($A6,'Over to underbark'!$A$47:$A$48,'Over to underbark'!E$47:E$48)*Z6</f>
        <v>13.542481108799999</v>
      </c>
      <c r="AE6">
        <f>LOOKUP($A6,'Over to underbark'!$A$47:$A$48,'Over to underbark'!E$47:E$48)*AA6</f>
        <v>6.3825148799999996</v>
      </c>
      <c r="AF6">
        <f>LOOKUP($A6,'Over to underbark'!$A$47:$A$48,'Over to underbark'!E$47:E$48)*AB6</f>
        <v>6.3838040111999987</v>
      </c>
      <c r="AG6">
        <f>LOOKUP($A6,'Over to underbark'!$A$47:$A$48,'Over to underbark'!E$47:E$48)*AC6</f>
        <v>0</v>
      </c>
      <c r="AH6" t="b">
        <f t="shared" si="9"/>
        <v>1</v>
      </c>
      <c r="AI6" t="b">
        <f t="shared" si="10"/>
        <v>1</v>
      </c>
      <c r="AJ6">
        <f>LOOKUP(A6,'Over to underbark'!$A$47:$A$48,'Over to underbark'!E$47:E$48)*M6</f>
        <v>29.231999999999996</v>
      </c>
      <c r="AK6" s="22">
        <f>LOOKUP(A6,'Over to underbark'!$A$47:$A$48,'Over to underbark'!$B$47:$B$48)*AJ6</f>
        <v>9.9388799999999993</v>
      </c>
      <c r="AL6" s="22">
        <f>LOOKUP(A6,'Over to underbark'!$A$47:$A$48,'Over to underbark'!C$47:C$48)*AJ6</f>
        <v>10.231199999999998</v>
      </c>
      <c r="AM6" s="22">
        <f t="shared" si="11"/>
        <v>39.170879999999997</v>
      </c>
      <c r="AN6" s="36">
        <v>93.26</v>
      </c>
      <c r="AO6" s="23">
        <f t="shared" si="12"/>
        <v>78.341759999999994</v>
      </c>
      <c r="AQ6">
        <f t="shared" si="13"/>
        <v>0.67164179104477617</v>
      </c>
    </row>
    <row r="7" spans="1:43" x14ac:dyDescent="0.35">
      <c r="A7" t="s">
        <v>41</v>
      </c>
      <c r="B7">
        <v>4</v>
      </c>
      <c r="C7">
        <v>2</v>
      </c>
      <c r="D7" t="s">
        <v>42</v>
      </c>
      <c r="E7">
        <v>2</v>
      </c>
      <c r="F7">
        <v>1</v>
      </c>
      <c r="G7" s="8">
        <v>44</v>
      </c>
      <c r="H7" s="8">
        <v>9.2739999999999991</v>
      </c>
      <c r="I7" s="8">
        <v>2140</v>
      </c>
      <c r="J7" s="8">
        <v>11.336</v>
      </c>
      <c r="K7" s="8">
        <v>21.6</v>
      </c>
      <c r="L7" s="8">
        <v>3.5000000000000003E-2</v>
      </c>
      <c r="M7" s="18">
        <v>74.8</v>
      </c>
      <c r="N7" s="8">
        <v>0</v>
      </c>
      <c r="O7" s="9">
        <v>1.7</v>
      </c>
      <c r="P7" s="10">
        <v>44</v>
      </c>
      <c r="Q7" s="10">
        <v>11.336</v>
      </c>
      <c r="R7" s="10">
        <v>74.8</v>
      </c>
      <c r="S7" s="10">
        <v>0</v>
      </c>
      <c r="T7" s="10" t="b">
        <f t="shared" si="0"/>
        <v>1</v>
      </c>
      <c r="U7" s="10" t="b">
        <f t="shared" si="1"/>
        <v>1</v>
      </c>
      <c r="V7" s="11">
        <f>VLOOKUP(IF(J7&lt;10, 10, IF(J7&gt;50,50,J7)),'Over to underbark'!$A$3:$C$43,IF(A7="Scots pine",3,IF(A7="Sitka spruce",2, "error")),TRUE)/100</f>
        <v>0.66</v>
      </c>
      <c r="W7">
        <f t="shared" si="2"/>
        <v>44.431199999999997</v>
      </c>
      <c r="X7">
        <f t="shared" si="3"/>
        <v>0</v>
      </c>
      <c r="Y7">
        <f t="shared" si="4"/>
        <v>22.888799999999996</v>
      </c>
      <c r="Z7">
        <f t="shared" si="5"/>
        <v>34.653037319999996</v>
      </c>
      <c r="AA7">
        <f t="shared" si="6"/>
        <v>16.331831999999999</v>
      </c>
      <c r="AB7">
        <f t="shared" si="7"/>
        <v>16.335130679999999</v>
      </c>
      <c r="AC7">
        <f t="shared" si="8"/>
        <v>0</v>
      </c>
      <c r="AD7">
        <f>LOOKUP($A7,'Over to underbark'!$A$47:$A$48,'Over to underbark'!E$47:E$48)*Z7</f>
        <v>14.554275674399998</v>
      </c>
      <c r="AE7">
        <f>LOOKUP($A7,'Over to underbark'!$A$47:$A$48,'Over to underbark'!E$47:E$48)*AA7</f>
        <v>6.8593694399999992</v>
      </c>
      <c r="AF7">
        <f>LOOKUP($A7,'Over to underbark'!$A$47:$A$48,'Over to underbark'!E$47:E$48)*AB7</f>
        <v>6.8607548855999996</v>
      </c>
      <c r="AG7">
        <f>LOOKUP($A7,'Over to underbark'!$A$47:$A$48,'Over to underbark'!E$47:E$48)*AC7</f>
        <v>0</v>
      </c>
      <c r="AH7" t="b">
        <f t="shared" si="9"/>
        <v>1</v>
      </c>
      <c r="AI7" t="b">
        <f t="shared" si="10"/>
        <v>1</v>
      </c>
      <c r="AJ7">
        <f>LOOKUP(A7,'Over to underbark'!$A$47:$A$48,'Over to underbark'!E$47:E$48)*M7</f>
        <v>31.415999999999997</v>
      </c>
      <c r="AK7" s="22">
        <f>LOOKUP(A7,'Over to underbark'!$A$47:$A$48,'Over to underbark'!$B$47:$B$48)*AJ7</f>
        <v>10.68144</v>
      </c>
      <c r="AL7" s="22">
        <f>LOOKUP(A7,'Over to underbark'!$A$47:$A$48,'Over to underbark'!C$47:C$48)*AJ7</f>
        <v>10.995599999999998</v>
      </c>
      <c r="AM7" s="22">
        <f t="shared" si="11"/>
        <v>42.097439999999999</v>
      </c>
      <c r="AN7" s="36">
        <v>100.23</v>
      </c>
      <c r="AO7" s="23">
        <f t="shared" si="12"/>
        <v>84.194879999999998</v>
      </c>
      <c r="AQ7">
        <f t="shared" si="13"/>
        <v>0.67164179104477606</v>
      </c>
    </row>
    <row r="8" spans="1:43" x14ac:dyDescent="0.35">
      <c r="A8" t="s">
        <v>41</v>
      </c>
      <c r="B8">
        <v>4</v>
      </c>
      <c r="C8">
        <v>2</v>
      </c>
      <c r="D8" t="s">
        <v>42</v>
      </c>
      <c r="E8">
        <v>2</v>
      </c>
      <c r="F8">
        <v>1</v>
      </c>
      <c r="G8" s="8">
        <v>45</v>
      </c>
      <c r="H8" s="8">
        <v>9.52</v>
      </c>
      <c r="I8" s="8">
        <v>2130</v>
      </c>
      <c r="J8" s="8">
        <v>11.61</v>
      </c>
      <c r="K8" s="8">
        <v>22.548999999999999</v>
      </c>
      <c r="L8" s="8">
        <v>3.7999999999999999E-2</v>
      </c>
      <c r="M8" s="18">
        <v>80</v>
      </c>
      <c r="N8" s="8">
        <v>0</v>
      </c>
      <c r="O8" s="9">
        <v>1.778</v>
      </c>
      <c r="P8" s="10">
        <v>45</v>
      </c>
      <c r="Q8" s="10">
        <v>11.61</v>
      </c>
      <c r="R8" s="10">
        <v>80</v>
      </c>
      <c r="S8" s="10">
        <v>0</v>
      </c>
      <c r="T8" s="10" t="b">
        <f t="shared" si="0"/>
        <v>1</v>
      </c>
      <c r="U8" s="10" t="b">
        <f t="shared" si="1"/>
        <v>1</v>
      </c>
      <c r="V8" s="11">
        <f>VLOOKUP(IF(J8&lt;10, 10, IF(J8&gt;50,50,J8)),'Over to underbark'!$A$3:$C$43,IF(A8="Scots pine",3,IF(A8="Sitka spruce",2, "error")),TRUE)/100</f>
        <v>0.66</v>
      </c>
      <c r="W8">
        <f t="shared" si="2"/>
        <v>47.52</v>
      </c>
      <c r="X8">
        <f t="shared" si="3"/>
        <v>0</v>
      </c>
      <c r="Y8">
        <f t="shared" si="4"/>
        <v>24.479999999999997</v>
      </c>
      <c r="Z8">
        <f t="shared" si="5"/>
        <v>37.062071999999993</v>
      </c>
      <c r="AA8">
        <f t="shared" si="6"/>
        <v>17.467199999999998</v>
      </c>
      <c r="AB8">
        <f t="shared" si="7"/>
        <v>17.470728000000001</v>
      </c>
      <c r="AC8">
        <f t="shared" si="8"/>
        <v>0</v>
      </c>
      <c r="AD8">
        <f>LOOKUP($A8,'Over to underbark'!$A$47:$A$48,'Over to underbark'!E$47:E$48)*Z8</f>
        <v>15.566070239999997</v>
      </c>
      <c r="AE8">
        <f>LOOKUP($A8,'Over to underbark'!$A$47:$A$48,'Over to underbark'!E$47:E$48)*AA8</f>
        <v>7.3362239999999987</v>
      </c>
      <c r="AF8">
        <f>LOOKUP($A8,'Over to underbark'!$A$47:$A$48,'Over to underbark'!E$47:E$48)*AB8</f>
        <v>7.3377057600000004</v>
      </c>
      <c r="AG8">
        <f>LOOKUP($A8,'Over to underbark'!$A$47:$A$48,'Over to underbark'!E$47:E$48)*AC8</f>
        <v>0</v>
      </c>
      <c r="AH8" t="b">
        <f t="shared" si="9"/>
        <v>1</v>
      </c>
      <c r="AI8" t="b">
        <f t="shared" si="10"/>
        <v>1</v>
      </c>
      <c r="AJ8">
        <f>LOOKUP(A8,'Over to underbark'!$A$47:$A$48,'Over to underbark'!E$47:E$48)*M8</f>
        <v>33.6</v>
      </c>
      <c r="AK8" s="22">
        <f>LOOKUP(A8,'Over to underbark'!$A$47:$A$48,'Over to underbark'!$B$47:$B$48)*AJ8</f>
        <v>11.424000000000001</v>
      </c>
      <c r="AL8" s="22">
        <f>LOOKUP(A8,'Over to underbark'!$A$47:$A$48,'Over to underbark'!C$47:C$48)*AJ8</f>
        <v>11.76</v>
      </c>
      <c r="AM8" s="22">
        <f t="shared" si="11"/>
        <v>45.024000000000001</v>
      </c>
      <c r="AN8" s="36">
        <v>107.2</v>
      </c>
      <c r="AO8" s="23">
        <f t="shared" si="12"/>
        <v>90.048000000000002</v>
      </c>
      <c r="AQ8">
        <f t="shared" si="13"/>
        <v>0.67164179104477595</v>
      </c>
    </row>
    <row r="9" spans="1:43" x14ac:dyDescent="0.35">
      <c r="A9" t="s">
        <v>41</v>
      </c>
      <c r="B9">
        <v>4</v>
      </c>
      <c r="C9">
        <v>2</v>
      </c>
      <c r="D9" t="s">
        <v>42</v>
      </c>
      <c r="E9">
        <v>2</v>
      </c>
      <c r="F9">
        <v>1</v>
      </c>
      <c r="G9" s="8">
        <v>46</v>
      </c>
      <c r="H9" s="8">
        <v>9.7479999999999993</v>
      </c>
      <c r="I9" s="8">
        <v>2106</v>
      </c>
      <c r="J9" s="8">
        <v>11.881</v>
      </c>
      <c r="K9" s="8">
        <v>23.347999999999999</v>
      </c>
      <c r="L9" s="8">
        <v>4.1000000000000002E-2</v>
      </c>
      <c r="M9" s="18">
        <v>86.06</v>
      </c>
      <c r="N9" s="8">
        <v>0</v>
      </c>
      <c r="O9" s="9">
        <v>1.871</v>
      </c>
      <c r="P9" s="10">
        <v>46</v>
      </c>
      <c r="Q9" s="10">
        <v>11.881</v>
      </c>
      <c r="R9" s="10">
        <v>86.06</v>
      </c>
      <c r="S9" s="10">
        <v>0</v>
      </c>
      <c r="T9" s="10" t="b">
        <f t="shared" si="0"/>
        <v>1</v>
      </c>
      <c r="U9" s="10" t="b">
        <f t="shared" si="1"/>
        <v>1</v>
      </c>
      <c r="V9" s="11">
        <f>VLOOKUP(IF(J9&lt;10, 10, IF(J9&gt;50,50,J9)),'Over to underbark'!$A$3:$C$43,IF(A9="Scots pine",3,IF(A9="Sitka spruce",2, "error")),TRUE)/100</f>
        <v>0.66</v>
      </c>
      <c r="W9">
        <f t="shared" si="2"/>
        <v>51.119640000000004</v>
      </c>
      <c r="X9">
        <f t="shared" si="3"/>
        <v>0</v>
      </c>
      <c r="Y9">
        <f t="shared" si="4"/>
        <v>26.33436</v>
      </c>
      <c r="Z9">
        <f t="shared" si="5"/>
        <v>39.869523954000002</v>
      </c>
      <c r="AA9">
        <f t="shared" si="6"/>
        <v>18.790340400000002</v>
      </c>
      <c r="AB9">
        <f t="shared" si="7"/>
        <v>18.794135646000001</v>
      </c>
      <c r="AC9">
        <f t="shared" si="8"/>
        <v>0</v>
      </c>
      <c r="AD9">
        <f>LOOKUP($A9,'Over to underbark'!$A$47:$A$48,'Over to underbark'!E$47:E$48)*Z9</f>
        <v>16.745200060679998</v>
      </c>
      <c r="AE9">
        <f>LOOKUP($A9,'Over to underbark'!$A$47:$A$48,'Over to underbark'!E$47:E$48)*AA9</f>
        <v>7.8919429680000004</v>
      </c>
      <c r="AF9">
        <f>LOOKUP($A9,'Over to underbark'!$A$47:$A$48,'Over to underbark'!E$47:E$48)*AB9</f>
        <v>7.8935369713199997</v>
      </c>
      <c r="AG9">
        <f>LOOKUP($A9,'Over to underbark'!$A$47:$A$48,'Over to underbark'!E$47:E$48)*AC9</f>
        <v>0</v>
      </c>
      <c r="AH9" t="b">
        <f t="shared" si="9"/>
        <v>1</v>
      </c>
      <c r="AI9" t="b">
        <f t="shared" si="10"/>
        <v>1</v>
      </c>
      <c r="AJ9">
        <f>LOOKUP(A9,'Over to underbark'!$A$47:$A$48,'Over to underbark'!E$47:E$48)*M9</f>
        <v>36.145200000000003</v>
      </c>
      <c r="AK9" s="22">
        <f>LOOKUP(A9,'Over to underbark'!$A$47:$A$48,'Over to underbark'!$B$47:$B$48)*AJ9</f>
        <v>12.289368000000001</v>
      </c>
      <c r="AL9" s="22">
        <f>LOOKUP(A9,'Over to underbark'!$A$47:$A$48,'Over to underbark'!C$47:C$48)*AJ9</f>
        <v>12.65082</v>
      </c>
      <c r="AM9" s="22">
        <f t="shared" si="11"/>
        <v>48.434568000000006</v>
      </c>
      <c r="AN9" s="36">
        <v>115.32</v>
      </c>
      <c r="AO9" s="23">
        <f t="shared" si="12"/>
        <v>96.869136000000012</v>
      </c>
      <c r="AQ9">
        <f t="shared" si="13"/>
        <v>0.67164179104477617</v>
      </c>
    </row>
    <row r="10" spans="1:43" x14ac:dyDescent="0.35">
      <c r="A10" t="s">
        <v>41</v>
      </c>
      <c r="B10">
        <v>4</v>
      </c>
      <c r="C10">
        <v>2</v>
      </c>
      <c r="D10" t="s">
        <v>42</v>
      </c>
      <c r="E10">
        <v>2</v>
      </c>
      <c r="F10">
        <v>1</v>
      </c>
      <c r="G10" s="8">
        <v>47</v>
      </c>
      <c r="H10" s="8">
        <v>9.9760000000000009</v>
      </c>
      <c r="I10" s="8">
        <v>2082</v>
      </c>
      <c r="J10" s="8">
        <v>12.151999999999999</v>
      </c>
      <c r="K10" s="8">
        <v>24.146000000000001</v>
      </c>
      <c r="L10" s="8">
        <v>4.3999999999999997E-2</v>
      </c>
      <c r="M10" s="18">
        <v>92.12</v>
      </c>
      <c r="N10" s="8">
        <v>4.2999999999999997E-2</v>
      </c>
      <c r="O10" s="9">
        <v>1.96</v>
      </c>
      <c r="P10" s="10">
        <v>47</v>
      </c>
      <c r="Q10" s="10">
        <v>12.151999999999999</v>
      </c>
      <c r="R10" s="10">
        <v>92.12</v>
      </c>
      <c r="S10" s="10">
        <v>0</v>
      </c>
      <c r="T10" s="10" t="b">
        <f t="shared" si="0"/>
        <v>1</v>
      </c>
      <c r="U10" s="10" t="b">
        <f t="shared" si="1"/>
        <v>1</v>
      </c>
      <c r="V10" s="11">
        <f>VLOOKUP(IF(J10&lt;10, 10, IF(J10&gt;50,50,J10)),'Over to underbark'!$A$3:$C$43,IF(A10="Scots pine",3,IF(A10="Sitka spruce",2, "error")),TRUE)/100</f>
        <v>0.74</v>
      </c>
      <c r="W10">
        <f t="shared" si="2"/>
        <v>61.35192</v>
      </c>
      <c r="X10">
        <f t="shared" si="3"/>
        <v>0</v>
      </c>
      <c r="Y10">
        <f t="shared" si="4"/>
        <v>21.556080000000001</v>
      </c>
      <c r="Z10">
        <f t="shared" si="5"/>
        <v>42.825215411999999</v>
      </c>
      <c r="AA10">
        <f t="shared" si="6"/>
        <v>17.5267512</v>
      </c>
      <c r="AB10">
        <f t="shared" si="7"/>
        <v>22.556033387999999</v>
      </c>
      <c r="AC10">
        <f t="shared" si="8"/>
        <v>0</v>
      </c>
      <c r="AD10">
        <f>LOOKUP($A10,'Over to underbark'!$A$47:$A$48,'Over to underbark'!E$47:E$48)*Z10</f>
        <v>17.98659047304</v>
      </c>
      <c r="AE10">
        <f>LOOKUP($A10,'Over to underbark'!$A$47:$A$48,'Over to underbark'!E$47:E$48)*AA10</f>
        <v>7.3612355039999997</v>
      </c>
      <c r="AF10">
        <f>LOOKUP($A10,'Over to underbark'!$A$47:$A$48,'Over to underbark'!E$47:E$48)*AB10</f>
        <v>9.4735340229599991</v>
      </c>
      <c r="AG10">
        <f>LOOKUP($A10,'Over to underbark'!$A$47:$A$48,'Over to underbark'!E$47:E$48)*AC10</f>
        <v>0</v>
      </c>
      <c r="AH10" t="b">
        <f t="shared" si="9"/>
        <v>1</v>
      </c>
      <c r="AI10" t="b">
        <f t="shared" si="10"/>
        <v>1</v>
      </c>
      <c r="AJ10">
        <f>LOOKUP(A10,'Over to underbark'!$A$47:$A$48,'Over to underbark'!E$47:E$48)*M10</f>
        <v>38.690400000000004</v>
      </c>
      <c r="AK10" s="22">
        <f>LOOKUP(A10,'Over to underbark'!$A$47:$A$48,'Over to underbark'!$B$47:$B$48)*AJ10</f>
        <v>13.154736000000002</v>
      </c>
      <c r="AL10" s="22">
        <f>LOOKUP(A10,'Over to underbark'!$A$47:$A$48,'Over to underbark'!C$47:C$48)*AJ10</f>
        <v>13.541640000000001</v>
      </c>
      <c r="AM10" s="22">
        <f t="shared" si="11"/>
        <v>51.845136000000004</v>
      </c>
      <c r="AN10" s="36">
        <v>123.44</v>
      </c>
      <c r="AO10" s="23">
        <f t="shared" si="12"/>
        <v>103.69027200000001</v>
      </c>
      <c r="AQ10">
        <f t="shared" si="13"/>
        <v>0.67164179104477606</v>
      </c>
    </row>
    <row r="11" spans="1:43" x14ac:dyDescent="0.35">
      <c r="A11" t="s">
        <v>41</v>
      </c>
      <c r="B11">
        <v>4</v>
      </c>
      <c r="C11">
        <v>2</v>
      </c>
      <c r="D11" t="s">
        <v>42</v>
      </c>
      <c r="E11">
        <v>2</v>
      </c>
      <c r="F11">
        <v>1</v>
      </c>
      <c r="G11" s="8">
        <v>48</v>
      </c>
      <c r="H11" s="8">
        <v>10.204000000000001</v>
      </c>
      <c r="I11" s="8">
        <v>2059</v>
      </c>
      <c r="J11" s="8">
        <v>12.42</v>
      </c>
      <c r="K11" s="8">
        <v>24.945</v>
      </c>
      <c r="L11" s="8">
        <v>4.8000000000000001E-2</v>
      </c>
      <c r="M11" s="18">
        <v>98.18</v>
      </c>
      <c r="N11" s="8">
        <v>6.0999999999999999E-2</v>
      </c>
      <c r="O11" s="9">
        <v>2.0449999999999999</v>
      </c>
      <c r="P11" s="10">
        <v>48</v>
      </c>
      <c r="Q11" s="10">
        <v>12.42</v>
      </c>
      <c r="R11" s="10">
        <v>98.18</v>
      </c>
      <c r="S11" s="10">
        <v>0</v>
      </c>
      <c r="T11" s="10" t="b">
        <f t="shared" si="0"/>
        <v>1</v>
      </c>
      <c r="U11" s="10" t="b">
        <f t="shared" si="1"/>
        <v>1</v>
      </c>
      <c r="V11" s="11">
        <f>VLOOKUP(IF(J11&lt;10, 10, IF(J11&gt;50,50,J11)),'Over to underbark'!$A$3:$C$43,IF(A11="Scots pine",3,IF(A11="Sitka spruce",2, "error")),TRUE)/100</f>
        <v>0.74</v>
      </c>
      <c r="W11">
        <f t="shared" si="2"/>
        <v>65.38788000000001</v>
      </c>
      <c r="X11">
        <f t="shared" si="3"/>
        <v>0</v>
      </c>
      <c r="Y11">
        <f t="shared" si="4"/>
        <v>22.974120000000003</v>
      </c>
      <c r="Z11">
        <f t="shared" si="5"/>
        <v>45.642419118000007</v>
      </c>
      <c r="AA11">
        <f t="shared" si="6"/>
        <v>18.679726800000005</v>
      </c>
      <c r="AB11">
        <f t="shared" si="7"/>
        <v>24.039854082000005</v>
      </c>
      <c r="AC11">
        <f t="shared" si="8"/>
        <v>0</v>
      </c>
      <c r="AD11">
        <f>LOOKUP($A11,'Over to underbark'!$A$47:$A$48,'Over to underbark'!E$47:E$48)*Z11</f>
        <v>19.169816029560003</v>
      </c>
      <c r="AE11">
        <f>LOOKUP($A11,'Over to underbark'!$A$47:$A$48,'Over to underbark'!E$47:E$48)*AA11</f>
        <v>7.8454852560000017</v>
      </c>
      <c r="AF11">
        <f>LOOKUP($A11,'Over to underbark'!$A$47:$A$48,'Over to underbark'!E$47:E$48)*AB11</f>
        <v>10.096738714440002</v>
      </c>
      <c r="AG11">
        <f>LOOKUP($A11,'Over to underbark'!$A$47:$A$48,'Over to underbark'!E$47:E$48)*AC11</f>
        <v>0</v>
      </c>
      <c r="AH11" t="b">
        <f t="shared" si="9"/>
        <v>1</v>
      </c>
      <c r="AI11" t="b">
        <f t="shared" si="10"/>
        <v>1</v>
      </c>
      <c r="AJ11">
        <f>LOOKUP(A11,'Over to underbark'!$A$47:$A$48,'Over to underbark'!E$47:E$48)*M11</f>
        <v>41.235599999999998</v>
      </c>
      <c r="AK11" s="22">
        <f>LOOKUP(A11,'Over to underbark'!$A$47:$A$48,'Over to underbark'!$B$47:$B$48)*AJ11</f>
        <v>14.020104</v>
      </c>
      <c r="AL11" s="22">
        <f>LOOKUP(A11,'Over to underbark'!$A$47:$A$48,'Over to underbark'!C$47:C$48)*AJ11</f>
        <v>14.432459999999999</v>
      </c>
      <c r="AM11" s="22">
        <f t="shared" si="11"/>
        <v>55.255703999999994</v>
      </c>
      <c r="AN11" s="36">
        <v>131.56</v>
      </c>
      <c r="AO11" s="23">
        <f t="shared" si="12"/>
        <v>110.51140799999999</v>
      </c>
      <c r="AQ11">
        <f t="shared" si="13"/>
        <v>0.67164179104477628</v>
      </c>
    </row>
    <row r="12" spans="1:43" x14ac:dyDescent="0.35">
      <c r="A12" t="s">
        <v>41</v>
      </c>
      <c r="B12">
        <v>4</v>
      </c>
      <c r="C12">
        <v>2</v>
      </c>
      <c r="D12" t="s">
        <v>42</v>
      </c>
      <c r="E12">
        <v>2</v>
      </c>
      <c r="F12">
        <v>1</v>
      </c>
      <c r="G12" s="8">
        <v>49</v>
      </c>
      <c r="H12" s="8">
        <v>10.432</v>
      </c>
      <c r="I12" s="8">
        <v>2035</v>
      </c>
      <c r="J12" s="8">
        <v>12.691000000000001</v>
      </c>
      <c r="K12" s="8">
        <v>25.742999999999999</v>
      </c>
      <c r="L12" s="8">
        <v>5.0999999999999997E-2</v>
      </c>
      <c r="M12" s="18">
        <v>104.24</v>
      </c>
      <c r="N12" s="8">
        <v>5.8000000000000003E-2</v>
      </c>
      <c r="O12" s="9">
        <v>2.1269999999999998</v>
      </c>
      <c r="P12" s="10">
        <v>49</v>
      </c>
      <c r="Q12" s="10">
        <v>12.691000000000001</v>
      </c>
      <c r="R12" s="10">
        <v>104.226</v>
      </c>
      <c r="S12" s="10">
        <v>1.4E-2</v>
      </c>
      <c r="T12" s="10" t="b">
        <f t="shared" si="0"/>
        <v>1</v>
      </c>
      <c r="U12" s="10" t="b">
        <f t="shared" si="1"/>
        <v>1</v>
      </c>
      <c r="V12" s="11">
        <f>VLOOKUP(IF(J12&lt;10, 10, IF(J12&gt;50,50,J12)),'Over to underbark'!$A$3:$C$43,IF(A12="Scots pine",3,IF(A12="Sitka spruce",2, "error")),TRUE)/100</f>
        <v>0.74</v>
      </c>
      <c r="W12">
        <f t="shared" si="2"/>
        <v>69.414515999999992</v>
      </c>
      <c r="X12">
        <f t="shared" si="3"/>
        <v>9.3240000000000007E-3</v>
      </c>
      <c r="Y12">
        <f t="shared" si="4"/>
        <v>24.392160000000001</v>
      </c>
      <c r="Z12">
        <f t="shared" si="5"/>
        <v>48.457764084599994</v>
      </c>
      <c r="AA12">
        <f t="shared" si="6"/>
        <v>19.831676760000001</v>
      </c>
      <c r="AB12">
        <f t="shared" si="7"/>
        <v>25.521412307399995</v>
      </c>
      <c r="AC12">
        <f t="shared" si="8"/>
        <v>5.1468480000000007E-3</v>
      </c>
      <c r="AD12">
        <f>LOOKUP($A12,'Over to underbark'!$A$47:$A$48,'Over to underbark'!E$47:E$48)*Z12</f>
        <v>20.352260915531996</v>
      </c>
      <c r="AE12">
        <f>LOOKUP($A12,'Over to underbark'!$A$47:$A$48,'Over to underbark'!E$47:E$48)*AA12</f>
        <v>8.3293042392000007</v>
      </c>
      <c r="AF12">
        <f>LOOKUP($A12,'Over to underbark'!$A$47:$A$48,'Over to underbark'!E$47:E$48)*AB12</f>
        <v>10.718993169107998</v>
      </c>
      <c r="AG12">
        <f>LOOKUP($A12,'Over to underbark'!$A$47:$A$48,'Over to underbark'!E$47:E$48)*AC12</f>
        <v>2.1616761600000002E-3</v>
      </c>
      <c r="AH12" t="b">
        <f t="shared" si="9"/>
        <v>1</v>
      </c>
      <c r="AI12" t="b">
        <f t="shared" si="10"/>
        <v>1</v>
      </c>
      <c r="AJ12">
        <f>LOOKUP(A12,'Over to underbark'!$A$47:$A$48,'Over to underbark'!E$47:E$48)*M12</f>
        <v>43.780799999999999</v>
      </c>
      <c r="AK12" s="22">
        <f>LOOKUP(A12,'Over to underbark'!$A$47:$A$48,'Over to underbark'!$B$47:$B$48)*AJ12</f>
        <v>14.885472</v>
      </c>
      <c r="AL12" s="22">
        <f>LOOKUP(A12,'Over to underbark'!$A$47:$A$48,'Over to underbark'!C$47:C$48)*AJ12</f>
        <v>15.323279999999999</v>
      </c>
      <c r="AM12" s="22">
        <f t="shared" si="11"/>
        <v>58.666271999999999</v>
      </c>
      <c r="AN12" s="36">
        <v>139.68</v>
      </c>
      <c r="AO12" s="23">
        <f t="shared" si="12"/>
        <v>117.332544</v>
      </c>
      <c r="AQ12">
        <f t="shared" si="13"/>
        <v>0.67164179104477606</v>
      </c>
    </row>
    <row r="13" spans="1:43" x14ac:dyDescent="0.35">
      <c r="A13" t="s">
        <v>41</v>
      </c>
      <c r="B13">
        <v>4</v>
      </c>
      <c r="C13">
        <v>2</v>
      </c>
      <c r="D13" t="s">
        <v>42</v>
      </c>
      <c r="E13">
        <v>2</v>
      </c>
      <c r="F13">
        <v>1</v>
      </c>
      <c r="G13" s="8">
        <v>50</v>
      </c>
      <c r="H13" s="8">
        <v>10.66</v>
      </c>
      <c r="I13" s="8">
        <v>2012</v>
      </c>
      <c r="J13" s="8">
        <v>12.96</v>
      </c>
      <c r="K13" s="8">
        <v>26.542000000000002</v>
      </c>
      <c r="L13" s="8">
        <v>5.5E-2</v>
      </c>
      <c r="M13" s="18">
        <v>110.3</v>
      </c>
      <c r="N13" s="8">
        <v>9.0999999999999998E-2</v>
      </c>
      <c r="O13" s="9">
        <v>2.206</v>
      </c>
      <c r="P13" s="10">
        <v>50</v>
      </c>
      <c r="Q13" s="10">
        <v>12.96</v>
      </c>
      <c r="R13" s="10">
        <v>108.65</v>
      </c>
      <c r="S13" s="10">
        <v>1.65</v>
      </c>
      <c r="T13" s="10" t="b">
        <f t="shared" si="0"/>
        <v>1</v>
      </c>
      <c r="U13" s="10" t="b">
        <f t="shared" si="1"/>
        <v>1</v>
      </c>
      <c r="V13" s="11">
        <f>VLOOKUP(IF(J13&lt;10, 10, IF(J13&gt;50,50,J13)),'Over to underbark'!$A$3:$C$43,IF(A13="Scots pine",3,IF(A13="Sitka spruce",2, "error")),TRUE)/100</f>
        <v>0.74</v>
      </c>
      <c r="W13">
        <f t="shared" si="2"/>
        <v>72.360900000000001</v>
      </c>
      <c r="X13">
        <f t="shared" si="3"/>
        <v>1.0989</v>
      </c>
      <c r="Y13">
        <f t="shared" si="4"/>
        <v>25.810200000000002</v>
      </c>
      <c r="Z13">
        <f t="shared" si="5"/>
        <v>51.057760814999995</v>
      </c>
      <c r="AA13">
        <f t="shared" si="6"/>
        <v>20.864799000000001</v>
      </c>
      <c r="AB13">
        <f t="shared" si="7"/>
        <v>26.740847384999999</v>
      </c>
      <c r="AC13">
        <f t="shared" si="8"/>
        <v>0.60659279999999993</v>
      </c>
      <c r="AD13">
        <f>LOOKUP($A13,'Over to underbark'!$A$47:$A$48,'Over to underbark'!E$47:E$48)*Z13</f>
        <v>21.444259542299996</v>
      </c>
      <c r="AE13">
        <f>LOOKUP($A13,'Over to underbark'!$A$47:$A$48,'Over to underbark'!E$47:E$48)*AA13</f>
        <v>8.7632155800000007</v>
      </c>
      <c r="AF13">
        <f>LOOKUP($A13,'Over to underbark'!$A$47:$A$48,'Over to underbark'!E$47:E$48)*AB13</f>
        <v>11.231155901699999</v>
      </c>
      <c r="AG13">
        <f>LOOKUP($A13,'Over to underbark'!$A$47:$A$48,'Over to underbark'!E$47:E$48)*AC13</f>
        <v>0.25476897599999998</v>
      </c>
      <c r="AH13" t="b">
        <f t="shared" si="9"/>
        <v>1</v>
      </c>
      <c r="AI13" t="b">
        <f t="shared" si="10"/>
        <v>1</v>
      </c>
      <c r="AJ13">
        <f>LOOKUP(A13,'Over to underbark'!$A$47:$A$48,'Over to underbark'!E$47:E$48)*M13</f>
        <v>46.326000000000001</v>
      </c>
      <c r="AK13" s="22">
        <f>LOOKUP(A13,'Over to underbark'!$A$47:$A$48,'Over to underbark'!$B$47:$B$48)*AJ13</f>
        <v>15.750840000000002</v>
      </c>
      <c r="AL13" s="22">
        <f>LOOKUP(A13,'Over to underbark'!$A$47:$A$48,'Over to underbark'!C$47:C$48)*AJ13</f>
        <v>16.214099999999998</v>
      </c>
      <c r="AM13" s="22">
        <f t="shared" si="11"/>
        <v>62.076840000000004</v>
      </c>
      <c r="AN13" s="36">
        <v>147.80000000000001</v>
      </c>
      <c r="AO13" s="23">
        <f t="shared" si="12"/>
        <v>124.15368000000001</v>
      </c>
      <c r="AQ13">
        <f t="shared" si="13"/>
        <v>0.67164179104477606</v>
      </c>
    </row>
    <row r="14" spans="1:43" x14ac:dyDescent="0.35">
      <c r="A14" t="s">
        <v>41</v>
      </c>
      <c r="B14">
        <v>4</v>
      </c>
      <c r="C14">
        <v>2</v>
      </c>
      <c r="D14" t="s">
        <v>42</v>
      </c>
      <c r="E14">
        <v>2</v>
      </c>
      <c r="F14">
        <v>1</v>
      </c>
      <c r="G14" s="8">
        <v>51</v>
      </c>
      <c r="H14" s="8">
        <v>10.868</v>
      </c>
      <c r="I14" s="8">
        <v>1997</v>
      </c>
      <c r="J14" s="8">
        <v>13.211</v>
      </c>
      <c r="K14" s="8">
        <v>27.372</v>
      </c>
      <c r="L14" s="8">
        <v>5.8000000000000003E-2</v>
      </c>
      <c r="M14" s="18">
        <v>116.76</v>
      </c>
      <c r="N14" s="8">
        <v>0.13700000000000001</v>
      </c>
      <c r="O14" s="9">
        <v>2.2890000000000001</v>
      </c>
      <c r="P14" s="10">
        <v>51</v>
      </c>
      <c r="Q14" s="10">
        <v>13.211</v>
      </c>
      <c r="R14" s="10">
        <v>113.369</v>
      </c>
      <c r="S14" s="10">
        <v>3.391</v>
      </c>
      <c r="T14" s="10" t="b">
        <f t="shared" si="0"/>
        <v>1</v>
      </c>
      <c r="U14" s="10" t="b">
        <f t="shared" si="1"/>
        <v>1</v>
      </c>
      <c r="V14" s="11">
        <f>VLOOKUP(IF(J14&lt;10, 10, IF(J14&gt;50,50,J14)),'Over to underbark'!$A$3:$C$43,IF(A14="Scots pine",3,IF(A14="Sitka spruce",2, "error")),TRUE)/100</f>
        <v>0.79</v>
      </c>
      <c r="W14">
        <f t="shared" si="2"/>
        <v>80.605359000000007</v>
      </c>
      <c r="X14">
        <f t="shared" si="3"/>
        <v>2.4110010000000002</v>
      </c>
      <c r="Y14">
        <f t="shared" si="4"/>
        <v>22.067639999999997</v>
      </c>
      <c r="Z14">
        <f t="shared" si="5"/>
        <v>53.916782596650009</v>
      </c>
      <c r="AA14">
        <f t="shared" si="6"/>
        <v>19.900409490000001</v>
      </c>
      <c r="AB14">
        <f t="shared" si="7"/>
        <v>29.935935361350005</v>
      </c>
      <c r="AC14">
        <f t="shared" si="8"/>
        <v>1.330872552</v>
      </c>
      <c r="AD14">
        <f>LOOKUP($A14,'Over to underbark'!$A$47:$A$48,'Over to underbark'!E$47:E$48)*Z14</f>
        <v>22.645048690593004</v>
      </c>
      <c r="AE14">
        <f>LOOKUP($A14,'Over to underbark'!$A$47:$A$48,'Over to underbark'!E$47:E$48)*AA14</f>
        <v>8.3581719858000003</v>
      </c>
      <c r="AF14">
        <f>LOOKUP($A14,'Over to underbark'!$A$47:$A$48,'Over to underbark'!E$47:E$48)*AB14</f>
        <v>12.573092851767001</v>
      </c>
      <c r="AG14">
        <f>LOOKUP($A14,'Over to underbark'!$A$47:$A$48,'Over to underbark'!E$47:E$48)*AC14</f>
        <v>0.55896647183999992</v>
      </c>
      <c r="AH14" t="b">
        <f t="shared" si="9"/>
        <v>1</v>
      </c>
      <c r="AI14" t="b">
        <f t="shared" si="10"/>
        <v>1</v>
      </c>
      <c r="AJ14">
        <f>LOOKUP(A14,'Over to underbark'!$A$47:$A$48,'Over to underbark'!E$47:E$48)*M14</f>
        <v>49.039200000000001</v>
      </c>
      <c r="AK14" s="22">
        <f>LOOKUP(A14,'Over to underbark'!$A$47:$A$48,'Over to underbark'!$B$47:$B$48)*AJ14</f>
        <v>16.673328000000001</v>
      </c>
      <c r="AL14" s="22">
        <f>LOOKUP(A14,'Over to underbark'!$A$47:$A$48,'Over to underbark'!C$47:C$48)*AJ14</f>
        <v>17.163719999999998</v>
      </c>
      <c r="AM14" s="22">
        <f t="shared" si="11"/>
        <v>65.712528000000006</v>
      </c>
      <c r="AN14" s="36">
        <v>156.46</v>
      </c>
      <c r="AO14" s="23">
        <f t="shared" si="12"/>
        <v>131.42505600000001</v>
      </c>
      <c r="AQ14">
        <f t="shared" si="13"/>
        <v>0.67164179104477617</v>
      </c>
    </row>
    <row r="15" spans="1:43" x14ac:dyDescent="0.35">
      <c r="A15" t="s">
        <v>41</v>
      </c>
      <c r="B15">
        <v>4</v>
      </c>
      <c r="C15">
        <v>2</v>
      </c>
      <c r="D15" t="s">
        <v>42</v>
      </c>
      <c r="E15">
        <v>2</v>
      </c>
      <c r="F15">
        <v>1</v>
      </c>
      <c r="G15" s="8">
        <v>52</v>
      </c>
      <c r="H15" s="8">
        <v>11.076000000000001</v>
      </c>
      <c r="I15" s="8">
        <v>1983</v>
      </c>
      <c r="J15" s="8">
        <v>13.457000000000001</v>
      </c>
      <c r="K15" s="8">
        <v>28.202999999999999</v>
      </c>
      <c r="L15" s="8">
        <v>6.2E-2</v>
      </c>
      <c r="M15" s="18">
        <v>123.22</v>
      </c>
      <c r="N15" s="8">
        <v>0.17799999999999999</v>
      </c>
      <c r="O15" s="9">
        <v>2.37</v>
      </c>
      <c r="P15" s="10">
        <v>52</v>
      </c>
      <c r="Q15" s="10">
        <v>13.457000000000001</v>
      </c>
      <c r="R15" s="10">
        <v>117.914</v>
      </c>
      <c r="S15" s="10">
        <v>5.306</v>
      </c>
      <c r="T15" s="10" t="b">
        <f t="shared" si="0"/>
        <v>1</v>
      </c>
      <c r="U15" s="10" t="b">
        <f t="shared" si="1"/>
        <v>1</v>
      </c>
      <c r="V15" s="11">
        <f>VLOOKUP(IF(J15&lt;10, 10, IF(J15&gt;50,50,J15)),'Over to underbark'!$A$3:$C$43,IF(A15="Scots pine",3,IF(A15="Sitka spruce",2, "error")),TRUE)/100</f>
        <v>0.79</v>
      </c>
      <c r="W15">
        <f t="shared" si="2"/>
        <v>83.836854000000002</v>
      </c>
      <c r="X15">
        <f t="shared" si="3"/>
        <v>3.7725660000000003</v>
      </c>
      <c r="Y15">
        <f t="shared" si="4"/>
        <v>23.288579999999996</v>
      </c>
      <c r="Z15">
        <f t="shared" si="5"/>
        <v>56.655009504900001</v>
      </c>
      <c r="AA15">
        <f t="shared" si="6"/>
        <v>20.86634394</v>
      </c>
      <c r="AB15">
        <f t="shared" si="7"/>
        <v>31.294190123100005</v>
      </c>
      <c r="AC15">
        <f t="shared" si="8"/>
        <v>2.0824564320000003</v>
      </c>
      <c r="AD15">
        <f>LOOKUP($A15,'Over to underbark'!$A$47:$A$48,'Over to underbark'!E$47:E$48)*Z15</f>
        <v>23.795103992057999</v>
      </c>
      <c r="AE15">
        <f>LOOKUP($A15,'Over to underbark'!$A$47:$A$48,'Over to underbark'!E$47:E$48)*AA15</f>
        <v>8.7638644548000002</v>
      </c>
      <c r="AF15">
        <f>LOOKUP($A15,'Over to underbark'!$A$47:$A$48,'Over to underbark'!E$47:E$48)*AB15</f>
        <v>13.143559851702001</v>
      </c>
      <c r="AG15">
        <f>LOOKUP($A15,'Over to underbark'!$A$47:$A$48,'Over to underbark'!E$47:E$48)*AC15</f>
        <v>0.87463170144000013</v>
      </c>
      <c r="AH15" t="b">
        <f t="shared" si="9"/>
        <v>1</v>
      </c>
      <c r="AI15" t="b">
        <f t="shared" si="10"/>
        <v>1</v>
      </c>
      <c r="AJ15">
        <f>LOOKUP(A15,'Over to underbark'!$A$47:$A$48,'Over to underbark'!E$47:E$48)*M15</f>
        <v>51.752399999999994</v>
      </c>
      <c r="AK15" s="22">
        <f>LOOKUP(A15,'Over to underbark'!$A$47:$A$48,'Over to underbark'!$B$47:$B$48)*AJ15</f>
        <v>17.595815999999999</v>
      </c>
      <c r="AL15" s="22">
        <f>LOOKUP(A15,'Over to underbark'!$A$47:$A$48,'Over to underbark'!C$47:C$48)*AJ15</f>
        <v>18.113339999999997</v>
      </c>
      <c r="AM15" s="22">
        <f t="shared" si="11"/>
        <v>69.348215999999994</v>
      </c>
      <c r="AN15" s="36">
        <v>165.11</v>
      </c>
      <c r="AO15" s="23">
        <f t="shared" si="12"/>
        <v>138.69643199999999</v>
      </c>
      <c r="AQ15">
        <f t="shared" si="13"/>
        <v>0.67164179104477628</v>
      </c>
    </row>
    <row r="16" spans="1:43" x14ac:dyDescent="0.35">
      <c r="A16" t="s">
        <v>41</v>
      </c>
      <c r="B16">
        <v>4</v>
      </c>
      <c r="C16">
        <v>2</v>
      </c>
      <c r="D16" t="s">
        <v>42</v>
      </c>
      <c r="E16">
        <v>2</v>
      </c>
      <c r="F16">
        <v>1</v>
      </c>
      <c r="G16" s="8">
        <v>53</v>
      </c>
      <c r="H16" s="8">
        <v>11.284000000000001</v>
      </c>
      <c r="I16" s="8">
        <v>1969</v>
      </c>
      <c r="J16" s="8">
        <v>13.702</v>
      </c>
      <c r="K16" s="8">
        <v>29.033999999999999</v>
      </c>
      <c r="L16" s="8">
        <v>6.6000000000000003E-2</v>
      </c>
      <c r="M16" s="18">
        <v>129.68</v>
      </c>
      <c r="N16" s="8">
        <v>0.215</v>
      </c>
      <c r="O16" s="9">
        <v>2.4470000000000001</v>
      </c>
      <c r="P16" s="10">
        <v>53</v>
      </c>
      <c r="Q16" s="10">
        <v>13.702</v>
      </c>
      <c r="R16" s="10">
        <v>122.262</v>
      </c>
      <c r="S16" s="10">
        <v>7.4180000000000001</v>
      </c>
      <c r="T16" s="10" t="b">
        <f t="shared" si="0"/>
        <v>1</v>
      </c>
      <c r="U16" s="10" t="b">
        <f t="shared" si="1"/>
        <v>1</v>
      </c>
      <c r="V16" s="11">
        <f>VLOOKUP(IF(J16&lt;10, 10, IF(J16&gt;50,50,J16)),'Over to underbark'!$A$3:$C$43,IF(A16="Scots pine",3,IF(A16="Sitka spruce",2, "error")),TRUE)/100</f>
        <v>0.79</v>
      </c>
      <c r="W16">
        <f t="shared" si="2"/>
        <v>86.92828200000001</v>
      </c>
      <c r="X16">
        <f t="shared" si="3"/>
        <v>5.2741980000000011</v>
      </c>
      <c r="Y16">
        <f t="shared" si="4"/>
        <v>24.509519999999995</v>
      </c>
      <c r="Z16">
        <f t="shared" si="5"/>
        <v>59.365314056700001</v>
      </c>
      <c r="AA16">
        <f t="shared" si="6"/>
        <v>21.816871020000001</v>
      </c>
      <c r="AB16">
        <f t="shared" si="7"/>
        <v>32.618457627300003</v>
      </c>
      <c r="AC16">
        <f t="shared" si="8"/>
        <v>2.9113572960000007</v>
      </c>
      <c r="AD16">
        <f>LOOKUP($A16,'Over to underbark'!$A$47:$A$48,'Over to underbark'!E$47:E$48)*Z16</f>
        <v>24.933431903814</v>
      </c>
      <c r="AE16">
        <f>LOOKUP($A16,'Over to underbark'!$A$47:$A$48,'Over to underbark'!E$47:E$48)*AA16</f>
        <v>9.1630858283999999</v>
      </c>
      <c r="AF16">
        <f>LOOKUP($A16,'Over to underbark'!$A$47:$A$48,'Over to underbark'!E$47:E$48)*AB16</f>
        <v>13.699752203466002</v>
      </c>
      <c r="AG16">
        <f>LOOKUP($A16,'Over to underbark'!$A$47:$A$48,'Over to underbark'!E$47:E$48)*AC16</f>
        <v>1.2227700643200003</v>
      </c>
      <c r="AH16" t="b">
        <f t="shared" si="9"/>
        <v>1</v>
      </c>
      <c r="AI16" t="b">
        <f t="shared" si="10"/>
        <v>1</v>
      </c>
      <c r="AJ16">
        <f>LOOKUP(A16,'Over to underbark'!$A$47:$A$48,'Over to underbark'!E$47:E$48)*M16</f>
        <v>54.465600000000002</v>
      </c>
      <c r="AK16" s="22">
        <f>LOOKUP(A16,'Over to underbark'!$A$47:$A$48,'Over to underbark'!$B$47:$B$48)*AJ16</f>
        <v>18.518304000000001</v>
      </c>
      <c r="AL16" s="22">
        <f>LOOKUP(A16,'Over to underbark'!$A$47:$A$48,'Over to underbark'!C$47:C$48)*AJ16</f>
        <v>19.06296</v>
      </c>
      <c r="AM16" s="22">
        <f t="shared" si="11"/>
        <v>72.983903999999995</v>
      </c>
      <c r="AN16" s="36">
        <v>173.77</v>
      </c>
      <c r="AO16" s="23">
        <f t="shared" si="12"/>
        <v>145.96780799999999</v>
      </c>
      <c r="AQ16">
        <f t="shared" si="13"/>
        <v>0.67164179104477617</v>
      </c>
    </row>
    <row r="17" spans="1:43" x14ac:dyDescent="0.35">
      <c r="A17" t="s">
        <v>41</v>
      </c>
      <c r="B17">
        <v>4</v>
      </c>
      <c r="C17">
        <v>2</v>
      </c>
      <c r="D17" t="s">
        <v>42</v>
      </c>
      <c r="E17">
        <v>2</v>
      </c>
      <c r="F17">
        <v>1</v>
      </c>
      <c r="G17" s="8">
        <v>54</v>
      </c>
      <c r="H17" s="8">
        <v>11.492000000000001</v>
      </c>
      <c r="I17" s="8">
        <v>1955</v>
      </c>
      <c r="J17" s="8">
        <v>13.946</v>
      </c>
      <c r="K17" s="8">
        <v>29.864999999999998</v>
      </c>
      <c r="L17" s="8">
        <v>7.0000000000000007E-2</v>
      </c>
      <c r="M17" s="18">
        <v>136.13999999999999</v>
      </c>
      <c r="N17" s="8">
        <v>0.249</v>
      </c>
      <c r="O17" s="9">
        <v>2.5209999999999999</v>
      </c>
      <c r="P17" s="10">
        <v>54</v>
      </c>
      <c r="Q17" s="10">
        <v>13.946</v>
      </c>
      <c r="R17" s="10">
        <v>126.411</v>
      </c>
      <c r="S17" s="10">
        <v>9.7289999999999992</v>
      </c>
      <c r="T17" s="10" t="b">
        <f t="shared" si="0"/>
        <v>1</v>
      </c>
      <c r="U17" s="10" t="b">
        <f t="shared" si="1"/>
        <v>1</v>
      </c>
      <c r="V17" s="11">
        <f>VLOOKUP(IF(J17&lt;10, 10, IF(J17&gt;50,50,J17)),'Over to underbark'!$A$3:$C$43,IF(A17="Scots pine",3,IF(A17="Sitka spruce",2, "error")),TRUE)/100</f>
        <v>0.79</v>
      </c>
      <c r="W17">
        <f t="shared" si="2"/>
        <v>89.878221000000011</v>
      </c>
      <c r="X17">
        <f t="shared" si="3"/>
        <v>6.917319</v>
      </c>
      <c r="Y17">
        <f t="shared" si="4"/>
        <v>25.730459999999994</v>
      </c>
      <c r="Z17">
        <f t="shared" si="5"/>
        <v>62.047412776350001</v>
      </c>
      <c r="AA17">
        <f t="shared" si="6"/>
        <v>22.75183431</v>
      </c>
      <c r="AB17">
        <f t="shared" si="7"/>
        <v>33.908392825650004</v>
      </c>
      <c r="AC17">
        <f t="shared" si="8"/>
        <v>3.8183600880000004</v>
      </c>
      <c r="AD17">
        <f>LOOKUP($A17,'Over to underbark'!$A$47:$A$48,'Over to underbark'!E$47:E$48)*Z17</f>
        <v>26.059913366067001</v>
      </c>
      <c r="AE17">
        <f>LOOKUP($A17,'Over to underbark'!$A$47:$A$48,'Over to underbark'!E$47:E$48)*AA17</f>
        <v>9.5557704101999992</v>
      </c>
      <c r="AF17">
        <f>LOOKUP($A17,'Over to underbark'!$A$47:$A$48,'Over to underbark'!E$47:E$48)*AB17</f>
        <v>14.241524986773001</v>
      </c>
      <c r="AG17">
        <f>LOOKUP($A17,'Over to underbark'!$A$47:$A$48,'Over to underbark'!E$47:E$48)*AC17</f>
        <v>1.6037112369600002</v>
      </c>
      <c r="AH17" t="b">
        <f t="shared" si="9"/>
        <v>1</v>
      </c>
      <c r="AI17" t="b">
        <f t="shared" si="10"/>
        <v>1</v>
      </c>
      <c r="AJ17">
        <f>LOOKUP(A17,'Over to underbark'!$A$47:$A$48,'Over to underbark'!E$47:E$48)*M17</f>
        <v>57.178799999999995</v>
      </c>
      <c r="AK17" s="22">
        <f>LOOKUP(A17,'Over to underbark'!$A$47:$A$48,'Over to underbark'!$B$47:$B$48)*AJ17</f>
        <v>19.440791999999998</v>
      </c>
      <c r="AL17" s="22">
        <f>LOOKUP(A17,'Over to underbark'!$A$47:$A$48,'Over to underbark'!C$47:C$48)*AJ17</f>
        <v>20.012579999999996</v>
      </c>
      <c r="AM17" s="22">
        <f t="shared" si="11"/>
        <v>76.619591999999997</v>
      </c>
      <c r="AN17" s="36">
        <v>182.43</v>
      </c>
      <c r="AO17" s="23">
        <f t="shared" si="12"/>
        <v>153.23918399999999</v>
      </c>
      <c r="AQ17">
        <f t="shared" si="13"/>
        <v>0.67164179104477617</v>
      </c>
    </row>
    <row r="18" spans="1:43" x14ac:dyDescent="0.35">
      <c r="A18" t="s">
        <v>41</v>
      </c>
      <c r="B18">
        <v>4</v>
      </c>
      <c r="C18">
        <v>2</v>
      </c>
      <c r="D18" t="s">
        <v>42</v>
      </c>
      <c r="E18">
        <v>2</v>
      </c>
      <c r="F18">
        <v>1</v>
      </c>
      <c r="G18" s="8">
        <v>55</v>
      </c>
      <c r="H18" s="8">
        <v>11.7</v>
      </c>
      <c r="I18" s="8">
        <v>1941</v>
      </c>
      <c r="J18" s="8">
        <v>14.19</v>
      </c>
      <c r="K18" s="8">
        <v>30.696000000000002</v>
      </c>
      <c r="L18" s="8">
        <v>7.2999999999999995E-2</v>
      </c>
      <c r="M18" s="18">
        <v>142.6</v>
      </c>
      <c r="N18" s="8">
        <v>0.28000000000000003</v>
      </c>
      <c r="O18" s="9">
        <v>2.593</v>
      </c>
      <c r="P18" s="10">
        <v>55</v>
      </c>
      <c r="Q18" s="10">
        <v>14.19</v>
      </c>
      <c r="R18" s="10">
        <v>130.35499999999999</v>
      </c>
      <c r="S18" s="10">
        <v>12.244999999999999</v>
      </c>
      <c r="T18" s="10" t="b">
        <f t="shared" si="0"/>
        <v>1</v>
      </c>
      <c r="U18" s="10" t="b">
        <f t="shared" si="1"/>
        <v>1</v>
      </c>
      <c r="V18" s="11">
        <f>VLOOKUP(IF(J18&lt;10, 10, IF(J18&gt;50,50,J18)),'Over to underbark'!$A$3:$C$43,IF(A18="Scots pine",3,IF(A18="Sitka spruce",2, "error")),TRUE)/100</f>
        <v>0.82</v>
      </c>
      <c r="W18">
        <f t="shared" si="2"/>
        <v>96.201989999999981</v>
      </c>
      <c r="X18">
        <f t="shared" si="3"/>
        <v>9.0368099999999991</v>
      </c>
      <c r="Y18">
        <f t="shared" si="4"/>
        <v>23.101200000000006</v>
      </c>
      <c r="Z18">
        <f t="shared" si="5"/>
        <v>64.720599106499989</v>
      </c>
      <c r="AA18">
        <f t="shared" si="6"/>
        <v>22.1328189</v>
      </c>
      <c r="AB18">
        <f t="shared" si="7"/>
        <v>36.498262873499989</v>
      </c>
      <c r="AC18">
        <f t="shared" si="8"/>
        <v>4.9883191199999999</v>
      </c>
      <c r="AD18">
        <f>LOOKUP($A18,'Over to underbark'!$A$47:$A$48,'Over to underbark'!E$47:E$48)*Z18</f>
        <v>27.182651624729996</v>
      </c>
      <c r="AE18">
        <f>LOOKUP($A18,'Over to underbark'!$A$47:$A$48,'Over to underbark'!E$47:E$48)*AA18</f>
        <v>9.2957839379999996</v>
      </c>
      <c r="AF18">
        <f>LOOKUP($A18,'Over to underbark'!$A$47:$A$48,'Over to underbark'!E$47:E$48)*AB18</f>
        <v>15.329270406869995</v>
      </c>
      <c r="AG18">
        <f>LOOKUP($A18,'Over to underbark'!$A$47:$A$48,'Over to underbark'!E$47:E$48)*AC18</f>
        <v>2.0950940303999999</v>
      </c>
      <c r="AH18" t="b">
        <f t="shared" si="9"/>
        <v>1</v>
      </c>
      <c r="AI18" t="b">
        <f t="shared" si="10"/>
        <v>1</v>
      </c>
      <c r="AJ18">
        <f>LOOKUP(A18,'Over to underbark'!$A$47:$A$48,'Over to underbark'!E$47:E$48)*M18</f>
        <v>59.891999999999996</v>
      </c>
      <c r="AK18" s="22">
        <f>LOOKUP(A18,'Over to underbark'!$A$47:$A$48,'Over to underbark'!$B$47:$B$48)*AJ18</f>
        <v>20.36328</v>
      </c>
      <c r="AL18" s="22">
        <f>LOOKUP(A18,'Over to underbark'!$A$47:$A$48,'Over to underbark'!C$47:C$48)*AJ18</f>
        <v>20.962199999999996</v>
      </c>
      <c r="AM18" s="22">
        <f t="shared" si="11"/>
        <v>80.255279999999999</v>
      </c>
      <c r="AN18" s="36">
        <v>191.08</v>
      </c>
      <c r="AO18" s="23">
        <f t="shared" si="12"/>
        <v>160.51056</v>
      </c>
      <c r="AQ18">
        <f t="shared" si="13"/>
        <v>0.67164179104477606</v>
      </c>
    </row>
    <row r="19" spans="1:43" x14ac:dyDescent="0.35">
      <c r="A19" t="s">
        <v>41</v>
      </c>
      <c r="B19">
        <v>4</v>
      </c>
      <c r="C19">
        <v>2</v>
      </c>
      <c r="D19" t="s">
        <v>42</v>
      </c>
      <c r="E19">
        <v>2</v>
      </c>
      <c r="F19">
        <v>1</v>
      </c>
      <c r="G19" s="8">
        <v>56</v>
      </c>
      <c r="H19" s="8">
        <v>11.891999999999999</v>
      </c>
      <c r="I19" s="8">
        <v>1926</v>
      </c>
      <c r="J19" s="8">
        <v>14.416</v>
      </c>
      <c r="K19" s="8">
        <v>31.437999999999999</v>
      </c>
      <c r="L19" s="8">
        <v>7.6999999999999999E-2</v>
      </c>
      <c r="M19" s="18">
        <v>149.13999999999999</v>
      </c>
      <c r="N19" s="8">
        <v>0.33400000000000002</v>
      </c>
      <c r="O19" s="9">
        <v>2.6629999999999998</v>
      </c>
      <c r="P19" s="10">
        <v>56</v>
      </c>
      <c r="Q19" s="10">
        <v>14.416</v>
      </c>
      <c r="R19" s="10">
        <v>134.32499999999999</v>
      </c>
      <c r="S19" s="10">
        <v>14.815</v>
      </c>
      <c r="T19" s="10" t="b">
        <f t="shared" si="0"/>
        <v>1</v>
      </c>
      <c r="U19" s="10" t="b">
        <f t="shared" si="1"/>
        <v>1</v>
      </c>
      <c r="V19" s="11">
        <f>VLOOKUP(IF(J19&lt;10, 10, IF(J19&gt;50,50,J19)),'Over to underbark'!$A$3:$C$43,IF(A19="Scots pine",3,IF(A19="Sitka spruce",2, "error")),TRUE)/100</f>
        <v>0.82</v>
      </c>
      <c r="W19">
        <f t="shared" si="2"/>
        <v>99.131849999999986</v>
      </c>
      <c r="X19">
        <f t="shared" si="3"/>
        <v>10.933469999999998</v>
      </c>
      <c r="Y19">
        <f t="shared" si="4"/>
        <v>24.160680000000006</v>
      </c>
      <c r="Z19">
        <f t="shared" si="5"/>
        <v>67.393372657499981</v>
      </c>
      <c r="AA19">
        <f t="shared" si="6"/>
        <v>22.984843500000004</v>
      </c>
      <c r="AB19">
        <f t="shared" si="7"/>
        <v>37.812508402499994</v>
      </c>
      <c r="AC19">
        <f t="shared" si="8"/>
        <v>6.0352754399999986</v>
      </c>
      <c r="AD19">
        <f>LOOKUP($A19,'Over to underbark'!$A$47:$A$48,'Over to underbark'!E$47:E$48)*Z19</f>
        <v>28.30521651614999</v>
      </c>
      <c r="AE19">
        <f>LOOKUP($A19,'Over to underbark'!$A$47:$A$48,'Over to underbark'!E$47:E$48)*AA19</f>
        <v>9.6536342700000013</v>
      </c>
      <c r="AF19">
        <f>LOOKUP($A19,'Over to underbark'!$A$47:$A$48,'Over to underbark'!E$47:E$48)*AB19</f>
        <v>15.881253529049996</v>
      </c>
      <c r="AG19">
        <f>LOOKUP($A19,'Over to underbark'!$A$47:$A$48,'Over to underbark'!E$47:E$48)*AC19</f>
        <v>2.5348156847999994</v>
      </c>
      <c r="AH19" t="b">
        <f t="shared" si="9"/>
        <v>1</v>
      </c>
      <c r="AI19" t="b">
        <f t="shared" si="10"/>
        <v>1</v>
      </c>
      <c r="AJ19">
        <f>LOOKUP(A19,'Over to underbark'!$A$47:$A$48,'Over to underbark'!E$47:E$48)*M19</f>
        <v>62.638799999999989</v>
      </c>
      <c r="AK19" s="22">
        <f>LOOKUP(A19,'Over to underbark'!$A$47:$A$48,'Over to underbark'!$B$47:$B$48)*AJ19</f>
        <v>21.297191999999999</v>
      </c>
      <c r="AL19" s="22">
        <f>LOOKUP(A19,'Over to underbark'!$A$47:$A$48,'Over to underbark'!C$47:C$48)*AJ19</f>
        <v>21.923579999999994</v>
      </c>
      <c r="AM19" s="22">
        <f t="shared" si="11"/>
        <v>83.935991999999985</v>
      </c>
      <c r="AN19" s="36">
        <v>199.85</v>
      </c>
      <c r="AO19" s="23">
        <f t="shared" si="12"/>
        <v>167.87198399999997</v>
      </c>
      <c r="AQ19">
        <f t="shared" si="13"/>
        <v>0.67164179104477617</v>
      </c>
    </row>
    <row r="20" spans="1:43" x14ac:dyDescent="0.35">
      <c r="A20" t="s">
        <v>41</v>
      </c>
      <c r="B20">
        <v>4</v>
      </c>
      <c r="C20">
        <v>2</v>
      </c>
      <c r="D20" t="s">
        <v>42</v>
      </c>
      <c r="E20">
        <v>2</v>
      </c>
      <c r="F20">
        <v>1</v>
      </c>
      <c r="G20" s="8">
        <v>57</v>
      </c>
      <c r="H20" s="8">
        <v>12.084</v>
      </c>
      <c r="I20" s="8">
        <v>1912</v>
      </c>
      <c r="J20" s="8">
        <v>14.638999999999999</v>
      </c>
      <c r="K20" s="8">
        <v>32.18</v>
      </c>
      <c r="L20" s="8">
        <v>8.1000000000000003E-2</v>
      </c>
      <c r="M20" s="18">
        <v>155.68</v>
      </c>
      <c r="N20" s="8">
        <v>0.38400000000000001</v>
      </c>
      <c r="O20" s="9">
        <v>2.7309999999999999</v>
      </c>
      <c r="P20" s="10">
        <v>57</v>
      </c>
      <c r="Q20" s="10">
        <v>14.638999999999999</v>
      </c>
      <c r="R20" s="10">
        <v>138.13200000000001</v>
      </c>
      <c r="S20" s="10">
        <v>17.547999999999998</v>
      </c>
      <c r="T20" s="10" t="b">
        <f t="shared" si="0"/>
        <v>1</v>
      </c>
      <c r="U20" s="10" t="b">
        <f t="shared" si="1"/>
        <v>1</v>
      </c>
      <c r="V20" s="11">
        <f>VLOOKUP(IF(J20&lt;10, 10, IF(J20&gt;50,50,J20)),'Over to underbark'!$A$3:$C$43,IF(A20="Scots pine",3,IF(A20="Sitka spruce",2, "error")),TRUE)/100</f>
        <v>0.82</v>
      </c>
      <c r="W20">
        <f t="shared" si="2"/>
        <v>101.941416</v>
      </c>
      <c r="X20">
        <f t="shared" si="3"/>
        <v>12.950423999999998</v>
      </c>
      <c r="Y20">
        <f t="shared" si="4"/>
        <v>25.220160000000011</v>
      </c>
      <c r="Z20">
        <f t="shared" si="5"/>
        <v>70.042165599599997</v>
      </c>
      <c r="AA20">
        <f t="shared" si="6"/>
        <v>23.823635760000005</v>
      </c>
      <c r="AB20">
        <f t="shared" si="7"/>
        <v>39.097564592399998</v>
      </c>
      <c r="AC20">
        <f t="shared" si="8"/>
        <v>7.148634047999999</v>
      </c>
      <c r="AD20">
        <f>LOOKUP($A20,'Over to underbark'!$A$47:$A$48,'Over to underbark'!E$47:E$48)*Z20</f>
        <v>29.417709551831997</v>
      </c>
      <c r="AE20">
        <f>LOOKUP($A20,'Over to underbark'!$A$47:$A$48,'Over to underbark'!E$47:E$48)*AA20</f>
        <v>10.005927019200001</v>
      </c>
      <c r="AF20">
        <f>LOOKUP($A20,'Over to underbark'!$A$47:$A$48,'Over to underbark'!E$47:E$48)*AB20</f>
        <v>16.420977128807998</v>
      </c>
      <c r="AG20">
        <f>LOOKUP($A20,'Over to underbark'!$A$47:$A$48,'Over to underbark'!E$47:E$48)*AC20</f>
        <v>3.0024263001599993</v>
      </c>
      <c r="AH20" t="b">
        <f t="shared" si="9"/>
        <v>1</v>
      </c>
      <c r="AI20" t="b">
        <f t="shared" si="10"/>
        <v>1</v>
      </c>
      <c r="AJ20">
        <f>LOOKUP(A20,'Over to underbark'!$A$47:$A$48,'Over to underbark'!E$47:E$48)*M20</f>
        <v>65.385599999999997</v>
      </c>
      <c r="AK20" s="22">
        <f>LOOKUP(A20,'Over to underbark'!$A$47:$A$48,'Over to underbark'!$B$47:$B$48)*AJ20</f>
        <v>22.231104000000002</v>
      </c>
      <c r="AL20" s="22">
        <f>LOOKUP(A20,'Over to underbark'!$A$47:$A$48,'Over to underbark'!C$47:C$48)*AJ20</f>
        <v>22.884959999999996</v>
      </c>
      <c r="AM20" s="22">
        <f t="shared" si="11"/>
        <v>87.616703999999999</v>
      </c>
      <c r="AN20" s="36">
        <v>208.61</v>
      </c>
      <c r="AO20" s="23">
        <f t="shared" si="12"/>
        <v>175.233408</v>
      </c>
      <c r="AQ20">
        <f t="shared" si="13"/>
        <v>0.67164179104477606</v>
      </c>
    </row>
    <row r="21" spans="1:43" x14ac:dyDescent="0.35">
      <c r="A21" t="s">
        <v>41</v>
      </c>
      <c r="B21">
        <v>4</v>
      </c>
      <c r="C21">
        <v>2</v>
      </c>
      <c r="D21" t="s">
        <v>42</v>
      </c>
      <c r="E21">
        <v>2</v>
      </c>
      <c r="F21">
        <v>1</v>
      </c>
      <c r="G21" s="8">
        <v>58</v>
      </c>
      <c r="H21" s="8">
        <v>12.276</v>
      </c>
      <c r="I21" s="8">
        <v>1897</v>
      </c>
      <c r="J21" s="8">
        <v>14.865</v>
      </c>
      <c r="K21" s="8">
        <v>32.923000000000002</v>
      </c>
      <c r="L21" s="8">
        <v>8.5999999999999993E-2</v>
      </c>
      <c r="M21" s="18">
        <v>162.22</v>
      </c>
      <c r="N21" s="8">
        <v>0.43</v>
      </c>
      <c r="O21" s="9">
        <v>2.7970000000000002</v>
      </c>
      <c r="P21" s="10">
        <v>58</v>
      </c>
      <c r="Q21" s="10">
        <v>14.865</v>
      </c>
      <c r="R21" s="10">
        <v>141.72</v>
      </c>
      <c r="S21" s="10">
        <v>20.5</v>
      </c>
      <c r="T21" s="10" t="b">
        <f t="shared" si="0"/>
        <v>1</v>
      </c>
      <c r="U21" s="10" t="b">
        <f t="shared" si="1"/>
        <v>1</v>
      </c>
      <c r="V21" s="11">
        <f>VLOOKUP(IF(J21&lt;10, 10, IF(J21&gt;50,50,J21)),'Over to underbark'!$A$3:$C$43,IF(A21="Scots pine",3,IF(A21="Sitka spruce",2, "error")),TRUE)/100</f>
        <v>0.82</v>
      </c>
      <c r="W21">
        <f t="shared" si="2"/>
        <v>104.58936</v>
      </c>
      <c r="X21">
        <f t="shared" si="3"/>
        <v>15.128999999999998</v>
      </c>
      <c r="Y21">
        <f t="shared" si="4"/>
        <v>26.279640000000004</v>
      </c>
      <c r="Z21">
        <f t="shared" si="5"/>
        <v>72.658739195999999</v>
      </c>
      <c r="AA21">
        <f t="shared" si="6"/>
        <v>24.644649600000001</v>
      </c>
      <c r="AB21">
        <f t="shared" si="7"/>
        <v>40.343403203999998</v>
      </c>
      <c r="AC21">
        <f t="shared" si="8"/>
        <v>8.3512079999999997</v>
      </c>
      <c r="AD21">
        <f>LOOKUP($A21,'Over to underbark'!$A$47:$A$48,'Over to underbark'!E$47:E$48)*Z21</f>
        <v>30.516670462319997</v>
      </c>
      <c r="AE21">
        <f>LOOKUP($A21,'Over to underbark'!$A$47:$A$48,'Over to underbark'!E$47:E$48)*AA21</f>
        <v>10.350752832</v>
      </c>
      <c r="AF21">
        <f>LOOKUP($A21,'Over to underbark'!$A$47:$A$48,'Over to underbark'!E$47:E$48)*AB21</f>
        <v>16.94422934568</v>
      </c>
      <c r="AG21">
        <f>LOOKUP($A21,'Over to underbark'!$A$47:$A$48,'Over to underbark'!E$47:E$48)*AC21</f>
        <v>3.50750736</v>
      </c>
      <c r="AH21" t="b">
        <f t="shared" si="9"/>
        <v>1</v>
      </c>
      <c r="AI21" t="b">
        <f t="shared" si="10"/>
        <v>1</v>
      </c>
      <c r="AJ21">
        <f>LOOKUP(A21,'Over to underbark'!$A$47:$A$48,'Over to underbark'!E$47:E$48)*M21</f>
        <v>68.132400000000004</v>
      </c>
      <c r="AK21" s="22">
        <f>LOOKUP(A21,'Over to underbark'!$A$47:$A$48,'Over to underbark'!$B$47:$B$48)*AJ21</f>
        <v>23.165016000000001</v>
      </c>
      <c r="AL21" s="22">
        <f>LOOKUP(A21,'Over to underbark'!$A$47:$A$48,'Over to underbark'!C$47:C$48)*AJ21</f>
        <v>23.846340000000001</v>
      </c>
      <c r="AM21" s="22">
        <f t="shared" si="11"/>
        <v>91.297415999999998</v>
      </c>
      <c r="AN21" s="36">
        <v>217.37</v>
      </c>
      <c r="AO21" s="23">
        <f t="shared" si="12"/>
        <v>182.594832</v>
      </c>
      <c r="AQ21">
        <f t="shared" si="13"/>
        <v>0.67164179104477606</v>
      </c>
    </row>
    <row r="22" spans="1:43" x14ac:dyDescent="0.35">
      <c r="A22" t="s">
        <v>41</v>
      </c>
      <c r="B22">
        <v>4</v>
      </c>
      <c r="C22">
        <v>2</v>
      </c>
      <c r="D22" t="s">
        <v>42</v>
      </c>
      <c r="E22">
        <v>2</v>
      </c>
      <c r="F22">
        <v>1</v>
      </c>
      <c r="G22" s="8">
        <v>59</v>
      </c>
      <c r="H22" s="8">
        <v>12.468</v>
      </c>
      <c r="I22" s="8">
        <v>1883</v>
      </c>
      <c r="J22" s="8">
        <v>15.087999999999999</v>
      </c>
      <c r="K22" s="8">
        <v>33.664999999999999</v>
      </c>
      <c r="L22" s="8">
        <v>0.09</v>
      </c>
      <c r="M22" s="18">
        <v>168.76</v>
      </c>
      <c r="N22" s="8">
        <v>0.47199999999999998</v>
      </c>
      <c r="O22" s="9">
        <v>2.86</v>
      </c>
      <c r="P22" s="10">
        <v>59</v>
      </c>
      <c r="Q22" s="10">
        <v>15.087999999999999</v>
      </c>
      <c r="R22" s="10">
        <v>145.149</v>
      </c>
      <c r="S22" s="10">
        <v>23.611000000000001</v>
      </c>
      <c r="T22" s="10" t="b">
        <f t="shared" si="0"/>
        <v>1</v>
      </c>
      <c r="U22" s="10" t="b">
        <f t="shared" si="1"/>
        <v>1</v>
      </c>
      <c r="V22" s="11">
        <f>VLOOKUP(IF(J22&lt;10, 10, IF(J22&gt;50,50,J22)),'Over to underbark'!$A$3:$C$43,IF(A22="Scots pine",3,IF(A22="Sitka spruce",2, "error")),TRUE)/100</f>
        <v>0.84</v>
      </c>
      <c r="W22">
        <f t="shared" si="2"/>
        <v>109.73264400000001</v>
      </c>
      <c r="X22">
        <f t="shared" si="3"/>
        <v>17.849916</v>
      </c>
      <c r="Y22">
        <f t="shared" si="4"/>
        <v>24.301440000000003</v>
      </c>
      <c r="Z22">
        <f t="shared" si="5"/>
        <v>75.235089461400008</v>
      </c>
      <c r="AA22">
        <f t="shared" si="6"/>
        <v>24.221310840000001</v>
      </c>
      <c r="AB22">
        <f t="shared" si="7"/>
        <v>42.574446066600004</v>
      </c>
      <c r="AC22">
        <f t="shared" si="8"/>
        <v>9.8531536319999997</v>
      </c>
      <c r="AD22">
        <f>LOOKUP($A22,'Over to underbark'!$A$47:$A$48,'Over to underbark'!E$47:E$48)*Z22</f>
        <v>31.598737573788004</v>
      </c>
      <c r="AE22">
        <f>LOOKUP($A22,'Over to underbark'!$A$47:$A$48,'Over to underbark'!E$47:E$48)*AA22</f>
        <v>10.1729505528</v>
      </c>
      <c r="AF22">
        <f>LOOKUP($A22,'Over to underbark'!$A$47:$A$48,'Over to underbark'!E$47:E$48)*AB22</f>
        <v>17.881267347972003</v>
      </c>
      <c r="AG22">
        <f>LOOKUP($A22,'Over to underbark'!$A$47:$A$48,'Over to underbark'!E$47:E$48)*AC22</f>
        <v>4.1383245254399998</v>
      </c>
      <c r="AH22" t="b">
        <f t="shared" si="9"/>
        <v>1</v>
      </c>
      <c r="AI22" t="b">
        <f t="shared" si="10"/>
        <v>1</v>
      </c>
      <c r="AJ22">
        <f>LOOKUP(A22,'Over to underbark'!$A$47:$A$48,'Over to underbark'!E$47:E$48)*M22</f>
        <v>70.879199999999997</v>
      </c>
      <c r="AK22" s="22">
        <f>LOOKUP(A22,'Over to underbark'!$A$47:$A$48,'Over to underbark'!$B$47:$B$48)*AJ22</f>
        <v>24.098928000000001</v>
      </c>
      <c r="AL22" s="22">
        <f>LOOKUP(A22,'Over to underbark'!$A$47:$A$48,'Over to underbark'!C$47:C$48)*AJ22</f>
        <v>24.807719999999996</v>
      </c>
      <c r="AM22" s="22">
        <f t="shared" si="11"/>
        <v>94.978127999999998</v>
      </c>
      <c r="AN22" s="36">
        <v>226.14</v>
      </c>
      <c r="AO22" s="23">
        <f t="shared" si="12"/>
        <v>189.956256</v>
      </c>
      <c r="AQ22">
        <f t="shared" si="13"/>
        <v>0.67164179104477617</v>
      </c>
    </row>
    <row r="23" spans="1:43" x14ac:dyDescent="0.35">
      <c r="A23" t="s">
        <v>41</v>
      </c>
      <c r="B23">
        <v>4</v>
      </c>
      <c r="C23">
        <v>2</v>
      </c>
      <c r="D23" t="s">
        <v>42</v>
      </c>
      <c r="E23">
        <v>2</v>
      </c>
      <c r="F23">
        <v>1</v>
      </c>
      <c r="G23" s="8">
        <v>60</v>
      </c>
      <c r="H23" s="8">
        <v>12.66</v>
      </c>
      <c r="I23" s="8">
        <v>1869</v>
      </c>
      <c r="J23" s="8">
        <v>15.31</v>
      </c>
      <c r="K23" s="8">
        <v>34.406999999999996</v>
      </c>
      <c r="L23" s="8">
        <v>9.4E-2</v>
      </c>
      <c r="M23" s="18">
        <v>175.3</v>
      </c>
      <c r="N23" s="8">
        <v>0.51100000000000001</v>
      </c>
      <c r="O23" s="9">
        <v>2.9220000000000002</v>
      </c>
      <c r="P23" s="10">
        <v>60</v>
      </c>
      <c r="Q23" s="10">
        <v>15.31</v>
      </c>
      <c r="R23" s="10">
        <v>148.40199999999999</v>
      </c>
      <c r="S23" s="10">
        <v>26.898</v>
      </c>
      <c r="T23" s="10" t="b">
        <f t="shared" si="0"/>
        <v>1</v>
      </c>
      <c r="U23" s="10" t="b">
        <f t="shared" si="1"/>
        <v>1</v>
      </c>
      <c r="V23" s="11">
        <f>VLOOKUP(IF(J23&lt;10, 10, IF(J23&gt;50,50,J23)),'Over to underbark'!$A$3:$C$43,IF(A23="Scots pine",3,IF(A23="Sitka spruce",2, "error")),TRUE)/100</f>
        <v>0.84</v>
      </c>
      <c r="W23">
        <f t="shared" si="2"/>
        <v>112.191912</v>
      </c>
      <c r="X23">
        <f t="shared" si="3"/>
        <v>20.334887999999999</v>
      </c>
      <c r="Y23">
        <f t="shared" si="4"/>
        <v>25.243200000000002</v>
      </c>
      <c r="Z23">
        <f t="shared" si="5"/>
        <v>77.793214057200004</v>
      </c>
      <c r="AA23">
        <f t="shared" si="6"/>
        <v>24.962710319999999</v>
      </c>
      <c r="AB23">
        <f t="shared" si="7"/>
        <v>43.789217446799995</v>
      </c>
      <c r="AC23">
        <f t="shared" si="8"/>
        <v>11.224858176</v>
      </c>
      <c r="AD23">
        <f>LOOKUP($A23,'Over to underbark'!$A$47:$A$48,'Over to underbark'!E$47:E$48)*Z23</f>
        <v>32.673149904024001</v>
      </c>
      <c r="AE23">
        <f>LOOKUP($A23,'Over to underbark'!$A$47:$A$48,'Over to underbark'!E$47:E$48)*AA23</f>
        <v>10.484338334399999</v>
      </c>
      <c r="AF23">
        <f>LOOKUP($A23,'Over to underbark'!$A$47:$A$48,'Over to underbark'!E$47:E$48)*AB23</f>
        <v>18.391471327655996</v>
      </c>
      <c r="AG23">
        <f>LOOKUP($A23,'Over to underbark'!$A$47:$A$48,'Over to underbark'!E$47:E$48)*AC23</f>
        <v>4.7144404339200001</v>
      </c>
      <c r="AH23" t="b">
        <f t="shared" si="9"/>
        <v>1</v>
      </c>
      <c r="AI23" t="b">
        <f t="shared" si="10"/>
        <v>1</v>
      </c>
      <c r="AJ23">
        <f>LOOKUP(A23,'Over to underbark'!$A$47:$A$48,'Over to underbark'!E$47:E$48)*M23</f>
        <v>73.626000000000005</v>
      </c>
      <c r="AK23" s="22">
        <f>LOOKUP(A23,'Over to underbark'!$A$47:$A$48,'Over to underbark'!$B$47:$B$48)*AJ23</f>
        <v>25.032840000000004</v>
      </c>
      <c r="AL23" s="22">
        <f>LOOKUP(A23,'Over to underbark'!$A$47:$A$48,'Over to underbark'!C$47:C$48)*AJ23</f>
        <v>25.769100000000002</v>
      </c>
      <c r="AM23" s="22">
        <f t="shared" si="11"/>
        <v>98.658840000000012</v>
      </c>
      <c r="AN23" s="36">
        <v>234.9</v>
      </c>
      <c r="AO23" s="23">
        <f t="shared" si="12"/>
        <v>197.31768000000002</v>
      </c>
      <c r="AQ23">
        <f t="shared" si="13"/>
        <v>0.67164179104477606</v>
      </c>
    </row>
    <row r="24" spans="1:43" x14ac:dyDescent="0.35">
      <c r="A24" t="s">
        <v>41</v>
      </c>
      <c r="B24">
        <v>4</v>
      </c>
      <c r="C24">
        <v>2</v>
      </c>
      <c r="D24" t="s">
        <v>42</v>
      </c>
      <c r="E24">
        <v>2</v>
      </c>
      <c r="F24">
        <v>1</v>
      </c>
      <c r="G24" s="8">
        <v>61</v>
      </c>
      <c r="H24" s="8">
        <v>12.832000000000001</v>
      </c>
      <c r="I24" s="8">
        <v>1855</v>
      </c>
      <c r="J24" s="8">
        <v>15.510999999999999</v>
      </c>
      <c r="K24" s="8">
        <v>35.052</v>
      </c>
      <c r="L24" s="8">
        <v>9.8000000000000004E-2</v>
      </c>
      <c r="M24" s="18">
        <v>181.58</v>
      </c>
      <c r="N24" s="8">
        <v>0.59099999999999997</v>
      </c>
      <c r="O24" s="9">
        <v>2.9769999999999999</v>
      </c>
      <c r="P24" s="10">
        <v>61</v>
      </c>
      <c r="Q24" s="10">
        <v>15.510999999999999</v>
      </c>
      <c r="R24" s="10">
        <v>151.48599999999999</v>
      </c>
      <c r="S24" s="10">
        <v>30.094000000000001</v>
      </c>
      <c r="T24" s="10" t="b">
        <f t="shared" si="0"/>
        <v>1</v>
      </c>
      <c r="U24" s="10" t="b">
        <f t="shared" si="1"/>
        <v>1</v>
      </c>
      <c r="V24" s="11">
        <f>VLOOKUP(IF(J24&lt;10, 10, IF(J24&gt;50,50,J24)),'Over to underbark'!$A$3:$C$43,IF(A24="Scots pine",3,IF(A24="Sitka spruce",2, "error")),TRUE)/100</f>
        <v>0.84</v>
      </c>
      <c r="W24">
        <f t="shared" si="2"/>
        <v>114.523416</v>
      </c>
      <c r="X24">
        <f t="shared" si="3"/>
        <v>22.751064</v>
      </c>
      <c r="Y24">
        <f t="shared" si="4"/>
        <v>26.147520000000004</v>
      </c>
      <c r="Z24">
        <f t="shared" si="5"/>
        <v>80.2436600196</v>
      </c>
      <c r="AA24">
        <f t="shared" si="6"/>
        <v>25.671335760000002</v>
      </c>
      <c r="AB24">
        <f t="shared" si="7"/>
        <v>44.948416892399997</v>
      </c>
      <c r="AC24">
        <f t="shared" si="8"/>
        <v>12.558587328</v>
      </c>
      <c r="AD24">
        <f>LOOKUP($A24,'Over to underbark'!$A$47:$A$48,'Over to underbark'!E$47:E$48)*Z24</f>
        <v>33.702337208232002</v>
      </c>
      <c r="AE24">
        <f>LOOKUP($A24,'Over to underbark'!$A$47:$A$48,'Over to underbark'!E$47:E$48)*AA24</f>
        <v>10.781961019200001</v>
      </c>
      <c r="AF24">
        <f>LOOKUP($A24,'Over to underbark'!$A$47:$A$48,'Over to underbark'!E$47:E$48)*AB24</f>
        <v>18.878335094807998</v>
      </c>
      <c r="AG24">
        <f>LOOKUP($A24,'Over to underbark'!$A$47:$A$48,'Over to underbark'!E$47:E$48)*AC24</f>
        <v>5.2746066777599996</v>
      </c>
      <c r="AH24" t="b">
        <f t="shared" si="9"/>
        <v>1</v>
      </c>
      <c r="AI24" t="b">
        <f t="shared" si="10"/>
        <v>1</v>
      </c>
      <c r="AJ24">
        <f>LOOKUP(A24,'Over to underbark'!$A$47:$A$48,'Over to underbark'!E$47:E$48)*M24</f>
        <v>76.263599999999997</v>
      </c>
      <c r="AK24" s="22">
        <f>LOOKUP(A24,'Over to underbark'!$A$47:$A$48,'Over to underbark'!$B$47:$B$48)*AJ24</f>
        <v>25.929624</v>
      </c>
      <c r="AL24" s="22">
        <f>LOOKUP(A24,'Over to underbark'!$A$47:$A$48,'Over to underbark'!C$47:C$48)*AJ24</f>
        <v>26.692259999999997</v>
      </c>
      <c r="AM24" s="22">
        <f t="shared" si="11"/>
        <v>102.193224</v>
      </c>
      <c r="AN24" s="36">
        <v>243.32</v>
      </c>
      <c r="AO24" s="23">
        <f t="shared" si="12"/>
        <v>204.386448</v>
      </c>
      <c r="AQ24">
        <f t="shared" si="13"/>
        <v>0.67164179104477617</v>
      </c>
    </row>
    <row r="25" spans="1:43" x14ac:dyDescent="0.35">
      <c r="A25" t="s">
        <v>41</v>
      </c>
      <c r="B25">
        <v>4</v>
      </c>
      <c r="C25">
        <v>2</v>
      </c>
      <c r="D25" t="s">
        <v>42</v>
      </c>
      <c r="E25">
        <v>2</v>
      </c>
      <c r="F25">
        <v>1</v>
      </c>
      <c r="G25" s="8">
        <v>62</v>
      </c>
      <c r="H25" s="8">
        <v>13.004</v>
      </c>
      <c r="I25" s="8">
        <v>1841</v>
      </c>
      <c r="J25" s="8">
        <v>15.712999999999999</v>
      </c>
      <c r="K25" s="8">
        <v>35.697000000000003</v>
      </c>
      <c r="L25" s="8">
        <v>0.10199999999999999</v>
      </c>
      <c r="M25" s="18">
        <v>187.86</v>
      </c>
      <c r="N25" s="8">
        <v>0.66600000000000004</v>
      </c>
      <c r="O25" s="9">
        <v>3.03</v>
      </c>
      <c r="P25" s="10">
        <v>62</v>
      </c>
      <c r="Q25" s="10">
        <v>15.712999999999999</v>
      </c>
      <c r="R25" s="10">
        <v>154.4</v>
      </c>
      <c r="S25" s="10">
        <v>33.46</v>
      </c>
      <c r="T25" s="10" t="b">
        <f t="shared" si="0"/>
        <v>1</v>
      </c>
      <c r="U25" s="10" t="b">
        <f t="shared" si="1"/>
        <v>1</v>
      </c>
      <c r="V25" s="11">
        <f>VLOOKUP(IF(J25&lt;10, 10, IF(J25&gt;50,50,J25)),'Over to underbark'!$A$3:$C$43,IF(A25="Scots pine",3,IF(A25="Sitka spruce",2, "error")),TRUE)/100</f>
        <v>0.84</v>
      </c>
      <c r="W25">
        <f t="shared" si="2"/>
        <v>116.7264</v>
      </c>
      <c r="X25">
        <f t="shared" si="3"/>
        <v>25.295760000000001</v>
      </c>
      <c r="Y25">
        <f t="shared" si="4"/>
        <v>27.051840000000006</v>
      </c>
      <c r="Z25">
        <f t="shared" si="5"/>
        <v>82.668485520000004</v>
      </c>
      <c r="AA25">
        <f t="shared" si="6"/>
        <v>26.365824000000003</v>
      </c>
      <c r="AB25">
        <f t="shared" si="7"/>
        <v>46.076430959999996</v>
      </c>
      <c r="AC25">
        <f t="shared" si="8"/>
        <v>13.963259519999999</v>
      </c>
      <c r="AD25">
        <f>LOOKUP($A25,'Over to underbark'!$A$47:$A$48,'Over to underbark'!E$47:E$48)*Z25</f>
        <v>34.720763918400003</v>
      </c>
      <c r="AE25">
        <f>LOOKUP($A25,'Over to underbark'!$A$47:$A$48,'Over to underbark'!E$47:E$48)*AA25</f>
        <v>11.073646080000001</v>
      </c>
      <c r="AF25">
        <f>LOOKUP($A25,'Over to underbark'!$A$47:$A$48,'Over to underbark'!E$47:E$48)*AB25</f>
        <v>19.352101003199998</v>
      </c>
      <c r="AG25">
        <f>LOOKUP($A25,'Over to underbark'!$A$47:$A$48,'Over to underbark'!E$47:E$48)*AC25</f>
        <v>5.8645689983999993</v>
      </c>
      <c r="AH25" t="b">
        <f t="shared" si="9"/>
        <v>1</v>
      </c>
      <c r="AI25" t="b">
        <f t="shared" si="10"/>
        <v>1</v>
      </c>
      <c r="AJ25">
        <f>LOOKUP(A25,'Over to underbark'!$A$47:$A$48,'Over to underbark'!E$47:E$48)*M25</f>
        <v>78.901200000000003</v>
      </c>
      <c r="AK25" s="22">
        <f>LOOKUP(A25,'Over to underbark'!$A$47:$A$48,'Over to underbark'!$B$47:$B$48)*AJ25</f>
        <v>26.826408000000004</v>
      </c>
      <c r="AL25" s="22">
        <f>LOOKUP(A25,'Over to underbark'!$A$47:$A$48,'Over to underbark'!C$47:C$48)*AJ25</f>
        <v>27.61542</v>
      </c>
      <c r="AM25" s="22">
        <f t="shared" si="11"/>
        <v>105.727608</v>
      </c>
      <c r="AN25" s="36">
        <v>251.73</v>
      </c>
      <c r="AO25" s="23">
        <f t="shared" si="12"/>
        <v>211.45521600000001</v>
      </c>
      <c r="AQ25">
        <f t="shared" si="13"/>
        <v>0.67164179104477617</v>
      </c>
    </row>
    <row r="26" spans="1:43" x14ac:dyDescent="0.35">
      <c r="A26" t="s">
        <v>41</v>
      </c>
      <c r="B26">
        <v>4</v>
      </c>
      <c r="C26">
        <v>2</v>
      </c>
      <c r="D26" t="s">
        <v>42</v>
      </c>
      <c r="E26">
        <v>2</v>
      </c>
      <c r="F26">
        <v>1</v>
      </c>
      <c r="G26" s="8">
        <v>63</v>
      </c>
      <c r="H26" s="8">
        <v>13.176</v>
      </c>
      <c r="I26" s="8">
        <v>1827</v>
      </c>
      <c r="J26" s="8">
        <v>15.914</v>
      </c>
      <c r="K26" s="8">
        <v>36.341999999999999</v>
      </c>
      <c r="L26" s="8">
        <v>0.106</v>
      </c>
      <c r="M26" s="18">
        <v>194.14</v>
      </c>
      <c r="N26" s="8">
        <v>0.73599999999999999</v>
      </c>
      <c r="O26" s="9">
        <v>3.0819999999999999</v>
      </c>
      <c r="P26" s="10">
        <v>63</v>
      </c>
      <c r="Q26" s="10">
        <v>15.914</v>
      </c>
      <c r="R26" s="10">
        <v>157.167</v>
      </c>
      <c r="S26" s="10">
        <v>36.972999999999999</v>
      </c>
      <c r="T26" s="10" t="b">
        <f t="shared" si="0"/>
        <v>1</v>
      </c>
      <c r="U26" s="10" t="b">
        <f t="shared" si="1"/>
        <v>1</v>
      </c>
      <c r="V26" s="11">
        <f>VLOOKUP(IF(J26&lt;10, 10, IF(J26&gt;50,50,J26)),'Over to underbark'!$A$3:$C$43,IF(A26="Scots pine",3,IF(A26="Sitka spruce",2, "error")),TRUE)/100</f>
        <v>0.84</v>
      </c>
      <c r="W26">
        <f t="shared" si="2"/>
        <v>118.818252</v>
      </c>
      <c r="X26">
        <f t="shared" si="3"/>
        <v>27.951588000000001</v>
      </c>
      <c r="Y26">
        <f t="shared" si="4"/>
        <v>27.956160000000004</v>
      </c>
      <c r="Z26">
        <f t="shared" si="5"/>
        <v>85.071156856199991</v>
      </c>
      <c r="AA26">
        <f t="shared" si="6"/>
        <v>27.048087720000002</v>
      </c>
      <c r="AB26">
        <f t="shared" si="7"/>
        <v>47.177478847800003</v>
      </c>
      <c r="AC26">
        <f t="shared" si="8"/>
        <v>15.429276576000001</v>
      </c>
      <c r="AD26">
        <f>LOOKUP($A26,'Over to underbark'!$A$47:$A$48,'Over to underbark'!E$47:E$48)*Z26</f>
        <v>35.729885879603998</v>
      </c>
      <c r="AE26">
        <f>LOOKUP($A26,'Over to underbark'!$A$47:$A$48,'Over to underbark'!E$47:E$48)*AA26</f>
        <v>11.360196842400001</v>
      </c>
      <c r="AF26">
        <f>LOOKUP($A26,'Over to underbark'!$A$47:$A$48,'Over to underbark'!E$47:E$48)*AB26</f>
        <v>19.814541116076001</v>
      </c>
      <c r="AG26">
        <f>LOOKUP($A26,'Over to underbark'!$A$47:$A$48,'Over to underbark'!E$47:E$48)*AC26</f>
        <v>6.4802961619200001</v>
      </c>
      <c r="AH26" t="b">
        <f t="shared" si="9"/>
        <v>1</v>
      </c>
      <c r="AI26" t="b">
        <f t="shared" si="10"/>
        <v>1</v>
      </c>
      <c r="AJ26">
        <f>LOOKUP(A26,'Over to underbark'!$A$47:$A$48,'Over to underbark'!E$47:E$48)*M26</f>
        <v>81.538799999999995</v>
      </c>
      <c r="AK26" s="22">
        <f>LOOKUP(A26,'Over to underbark'!$A$47:$A$48,'Over to underbark'!$B$47:$B$48)*AJ26</f>
        <v>27.723192000000001</v>
      </c>
      <c r="AL26" s="22">
        <f>LOOKUP(A26,'Over to underbark'!$A$47:$A$48,'Over to underbark'!C$47:C$48)*AJ26</f>
        <v>28.538579999999996</v>
      </c>
      <c r="AM26" s="22">
        <f t="shared" si="11"/>
        <v>109.26199199999999</v>
      </c>
      <c r="AN26" s="36">
        <v>260.14999999999998</v>
      </c>
      <c r="AO26" s="23">
        <f t="shared" si="12"/>
        <v>218.52398399999998</v>
      </c>
      <c r="AQ26">
        <f t="shared" si="13"/>
        <v>0.67164179104477606</v>
      </c>
    </row>
    <row r="27" spans="1:43" x14ac:dyDescent="0.35">
      <c r="A27" t="s">
        <v>41</v>
      </c>
      <c r="B27">
        <v>4</v>
      </c>
      <c r="C27">
        <v>2</v>
      </c>
      <c r="D27" t="s">
        <v>42</v>
      </c>
      <c r="E27">
        <v>2</v>
      </c>
      <c r="F27">
        <v>1</v>
      </c>
      <c r="G27" s="8">
        <v>64</v>
      </c>
      <c r="H27" s="8">
        <v>13.348000000000001</v>
      </c>
      <c r="I27" s="8">
        <v>1813</v>
      </c>
      <c r="J27" s="8">
        <v>16.117000000000001</v>
      </c>
      <c r="K27" s="8">
        <v>36.987000000000002</v>
      </c>
      <c r="L27" s="8">
        <v>0.111</v>
      </c>
      <c r="M27" s="18">
        <v>200.42</v>
      </c>
      <c r="N27" s="8">
        <v>0.80200000000000005</v>
      </c>
      <c r="O27" s="9">
        <v>3.1320000000000001</v>
      </c>
      <c r="P27" s="10">
        <v>64</v>
      </c>
      <c r="Q27" s="10">
        <v>16.117000000000001</v>
      </c>
      <c r="R27" s="10">
        <v>159.75299999999999</v>
      </c>
      <c r="S27" s="10">
        <v>40.667000000000002</v>
      </c>
      <c r="T27" s="10" t="b">
        <f t="shared" si="0"/>
        <v>1</v>
      </c>
      <c r="U27" s="10" t="b">
        <f t="shared" si="1"/>
        <v>1</v>
      </c>
      <c r="V27" s="11">
        <f>VLOOKUP(IF(J27&lt;10, 10, IF(J27&gt;50,50,J27)),'Over to underbark'!$A$3:$C$43,IF(A27="Scots pine",3,IF(A27="Sitka spruce",2, "error")),TRUE)/100</f>
        <v>0.84</v>
      </c>
      <c r="W27">
        <f t="shared" si="2"/>
        <v>120.77326799999997</v>
      </c>
      <c r="X27">
        <f t="shared" si="3"/>
        <v>30.744252000000003</v>
      </c>
      <c r="Y27">
        <f t="shared" si="4"/>
        <v>28.860480000000003</v>
      </c>
      <c r="Z27">
        <f t="shared" si="5"/>
        <v>87.446549935799965</v>
      </c>
      <c r="AA27">
        <f t="shared" si="6"/>
        <v>27.715299479999999</v>
      </c>
      <c r="AB27">
        <f t="shared" si="7"/>
        <v>48.245323480199993</v>
      </c>
      <c r="AC27">
        <f t="shared" si="8"/>
        <v>16.970827104000001</v>
      </c>
      <c r="AD27">
        <f>LOOKUP($A27,'Over to underbark'!$A$47:$A$48,'Over to underbark'!E$47:E$48)*Z27</f>
        <v>36.727550973035981</v>
      </c>
      <c r="AE27">
        <f>LOOKUP($A27,'Over to underbark'!$A$47:$A$48,'Over to underbark'!E$47:E$48)*AA27</f>
        <v>11.640425781599999</v>
      </c>
      <c r="AF27">
        <f>LOOKUP($A27,'Over to underbark'!$A$47:$A$48,'Over to underbark'!E$47:E$48)*AB27</f>
        <v>20.263035861683996</v>
      </c>
      <c r="AG27">
        <f>LOOKUP($A27,'Over to underbark'!$A$47:$A$48,'Over to underbark'!E$47:E$48)*AC27</f>
        <v>7.12774738368</v>
      </c>
      <c r="AH27" t="b">
        <f t="shared" si="9"/>
        <v>1</v>
      </c>
      <c r="AI27" t="b">
        <f t="shared" si="10"/>
        <v>1</v>
      </c>
      <c r="AJ27">
        <f>LOOKUP(A27,'Over to underbark'!$A$47:$A$48,'Over to underbark'!E$47:E$48)*M27</f>
        <v>84.176399999999987</v>
      </c>
      <c r="AK27" s="22">
        <f>LOOKUP(A27,'Over to underbark'!$A$47:$A$48,'Over to underbark'!$B$47:$B$48)*AJ27</f>
        <v>28.619975999999998</v>
      </c>
      <c r="AL27" s="22">
        <f>LOOKUP(A27,'Over to underbark'!$A$47:$A$48,'Over to underbark'!C$47:C$48)*AJ27</f>
        <v>29.461739999999992</v>
      </c>
      <c r="AM27" s="22">
        <f t="shared" si="11"/>
        <v>112.79637599999998</v>
      </c>
      <c r="AN27" s="36">
        <v>268.56</v>
      </c>
      <c r="AO27" s="23">
        <f t="shared" si="12"/>
        <v>225.59275199999996</v>
      </c>
      <c r="AQ27">
        <f t="shared" si="13"/>
        <v>0.67164179104477606</v>
      </c>
    </row>
    <row r="28" spans="1:43" x14ac:dyDescent="0.35">
      <c r="A28" t="s">
        <v>41</v>
      </c>
      <c r="B28">
        <v>4</v>
      </c>
      <c r="C28">
        <v>2</v>
      </c>
      <c r="D28" t="s">
        <v>42</v>
      </c>
      <c r="E28">
        <v>2</v>
      </c>
      <c r="F28">
        <v>1</v>
      </c>
      <c r="G28" s="8">
        <v>65</v>
      </c>
      <c r="H28" s="8">
        <v>13.52</v>
      </c>
      <c r="I28" s="8">
        <v>1799</v>
      </c>
      <c r="J28" s="8">
        <v>16.32</v>
      </c>
      <c r="K28" s="8">
        <v>37.631999999999998</v>
      </c>
      <c r="L28" s="8">
        <v>0.115</v>
      </c>
      <c r="M28" s="18">
        <v>206.7</v>
      </c>
      <c r="N28" s="8">
        <v>0.86299999999999999</v>
      </c>
      <c r="O28" s="9">
        <v>3.18</v>
      </c>
      <c r="P28" s="10">
        <v>65</v>
      </c>
      <c r="Q28" s="10">
        <v>16.32</v>
      </c>
      <c r="R28" s="10">
        <v>162.18299999999999</v>
      </c>
      <c r="S28" s="10">
        <v>44.517000000000003</v>
      </c>
      <c r="T28" s="10" t="b">
        <f t="shared" si="0"/>
        <v>1</v>
      </c>
      <c r="U28" s="10" t="b">
        <f t="shared" si="1"/>
        <v>1</v>
      </c>
      <c r="V28" s="11">
        <f>VLOOKUP(IF(J28&lt;10, 10, IF(J28&gt;50,50,J28)),'Over to underbark'!$A$3:$C$43,IF(A28="Scots pine",3,IF(A28="Sitka spruce",2, "error")),TRUE)/100</f>
        <v>0.84</v>
      </c>
      <c r="W28">
        <f t="shared" si="2"/>
        <v>122.61034799999999</v>
      </c>
      <c r="X28">
        <f t="shared" si="3"/>
        <v>33.654851999999998</v>
      </c>
      <c r="Y28">
        <f t="shared" si="4"/>
        <v>29.764800000000005</v>
      </c>
      <c r="Z28">
        <f t="shared" si="5"/>
        <v>89.798432473799991</v>
      </c>
      <c r="AA28">
        <f t="shared" si="6"/>
        <v>28.36953828</v>
      </c>
      <c r="AB28">
        <f t="shared" si="7"/>
        <v>49.284550942199999</v>
      </c>
      <c r="AC28">
        <f t="shared" si="8"/>
        <v>18.577478304</v>
      </c>
      <c r="AD28">
        <f>LOOKUP($A28,'Over to underbark'!$A$47:$A$48,'Over to underbark'!E$47:E$48)*Z28</f>
        <v>37.715341638995994</v>
      </c>
      <c r="AE28">
        <f>LOOKUP($A28,'Over to underbark'!$A$47:$A$48,'Over to underbark'!E$47:E$48)*AA28</f>
        <v>11.915206077600001</v>
      </c>
      <c r="AF28">
        <f>LOOKUP($A28,'Over to underbark'!$A$47:$A$48,'Over to underbark'!E$47:E$48)*AB28</f>
        <v>20.699511395723999</v>
      </c>
      <c r="AG28">
        <f>LOOKUP($A28,'Over to underbark'!$A$47:$A$48,'Over to underbark'!E$47:E$48)*AC28</f>
        <v>7.8025408876799993</v>
      </c>
      <c r="AH28" t="b">
        <f t="shared" si="9"/>
        <v>1</v>
      </c>
      <c r="AI28" t="b">
        <f t="shared" si="10"/>
        <v>1</v>
      </c>
      <c r="AJ28">
        <f>LOOKUP(A28,'Over to underbark'!$A$47:$A$48,'Over to underbark'!E$47:E$48)*M28</f>
        <v>86.813999999999993</v>
      </c>
      <c r="AK28" s="22">
        <f>LOOKUP(A28,'Over to underbark'!$A$47:$A$48,'Over to underbark'!$B$47:$B$48)*AJ28</f>
        <v>29.516760000000001</v>
      </c>
      <c r="AL28" s="22">
        <f>LOOKUP(A28,'Over to underbark'!$A$47:$A$48,'Over to underbark'!C$47:C$48)*AJ28</f>
        <v>30.384899999999995</v>
      </c>
      <c r="AM28" s="22">
        <f t="shared" si="11"/>
        <v>116.33076</v>
      </c>
      <c r="AN28" s="36">
        <v>276.98</v>
      </c>
      <c r="AO28" s="23">
        <f t="shared" si="12"/>
        <v>232.66152</v>
      </c>
      <c r="AQ28">
        <f t="shared" si="13"/>
        <v>0.67164179104477606</v>
      </c>
    </row>
    <row r="29" spans="1:43" x14ac:dyDescent="0.35">
      <c r="A29" t="s">
        <v>41</v>
      </c>
      <c r="B29">
        <v>4</v>
      </c>
      <c r="C29">
        <v>2</v>
      </c>
      <c r="D29" t="s">
        <v>42</v>
      </c>
      <c r="E29">
        <v>2</v>
      </c>
      <c r="F29">
        <v>1</v>
      </c>
      <c r="G29" s="8">
        <v>66</v>
      </c>
      <c r="H29" s="8">
        <v>13.672000000000001</v>
      </c>
      <c r="I29" s="8">
        <v>1785</v>
      </c>
      <c r="J29" s="8">
        <v>16.501000000000001</v>
      </c>
      <c r="K29" s="8">
        <v>38.173000000000002</v>
      </c>
      <c r="L29" s="8">
        <v>0.11899999999999999</v>
      </c>
      <c r="M29" s="18">
        <v>212.54</v>
      </c>
      <c r="N29" s="8">
        <v>0.94099999999999995</v>
      </c>
      <c r="O29" s="9">
        <v>3.22</v>
      </c>
      <c r="P29" s="10">
        <v>66</v>
      </c>
      <c r="Q29" s="10">
        <v>16.501000000000001</v>
      </c>
      <c r="R29" s="10">
        <v>164.405</v>
      </c>
      <c r="S29" s="10">
        <v>48.134999999999998</v>
      </c>
      <c r="T29" s="10" t="b">
        <f t="shared" si="0"/>
        <v>1</v>
      </c>
      <c r="U29" s="10" t="b">
        <f t="shared" si="1"/>
        <v>1</v>
      </c>
      <c r="V29" s="11">
        <f>VLOOKUP(IF(J29&lt;10, 10, IF(J29&gt;50,50,J29)),'Over to underbark'!$A$3:$C$43,IF(A29="Scots pine",3,IF(A29="Sitka spruce",2, "error")),TRUE)/100</f>
        <v>0.84</v>
      </c>
      <c r="W29">
        <f t="shared" si="2"/>
        <v>124.29018000000001</v>
      </c>
      <c r="X29">
        <f t="shared" si="3"/>
        <v>36.390059999999998</v>
      </c>
      <c r="Y29">
        <f t="shared" si="4"/>
        <v>30.605760000000007</v>
      </c>
      <c r="Z29">
        <f t="shared" si="5"/>
        <v>91.979844902999986</v>
      </c>
      <c r="AA29">
        <f t="shared" si="6"/>
        <v>28.974799800000007</v>
      </c>
      <c r="AB29">
        <f t="shared" si="7"/>
        <v>50.244042176999997</v>
      </c>
      <c r="AC29">
        <f t="shared" si="8"/>
        <v>20.087313119999997</v>
      </c>
      <c r="AD29">
        <f>LOOKUP($A29,'Over to underbark'!$A$47:$A$48,'Over to underbark'!E$47:E$48)*Z29</f>
        <v>38.631534859259993</v>
      </c>
      <c r="AE29">
        <f>LOOKUP($A29,'Over to underbark'!$A$47:$A$48,'Over to underbark'!E$47:E$48)*AA29</f>
        <v>12.169415916000002</v>
      </c>
      <c r="AF29">
        <f>LOOKUP($A29,'Over to underbark'!$A$47:$A$48,'Over to underbark'!E$47:E$48)*AB29</f>
        <v>21.102497714339997</v>
      </c>
      <c r="AG29">
        <f>LOOKUP($A29,'Over to underbark'!$A$47:$A$48,'Over to underbark'!E$47:E$48)*AC29</f>
        <v>8.4366715103999983</v>
      </c>
      <c r="AH29" t="b">
        <f t="shared" si="9"/>
        <v>1</v>
      </c>
      <c r="AI29" t="b">
        <f t="shared" si="10"/>
        <v>1</v>
      </c>
      <c r="AJ29">
        <f>LOOKUP(A29,'Over to underbark'!$A$47:$A$48,'Over to underbark'!E$47:E$48)*M29</f>
        <v>89.266799999999989</v>
      </c>
      <c r="AK29" s="22">
        <f>LOOKUP(A29,'Over to underbark'!$A$47:$A$48,'Over to underbark'!$B$47:$B$48)*AJ29</f>
        <v>30.350711999999998</v>
      </c>
      <c r="AL29" s="22">
        <f>LOOKUP(A29,'Over to underbark'!$A$47:$A$48,'Over to underbark'!C$47:C$48)*AJ29</f>
        <v>31.243379999999995</v>
      </c>
      <c r="AM29" s="22">
        <f t="shared" si="11"/>
        <v>119.61751199999999</v>
      </c>
      <c r="AN29" s="36">
        <v>284.8</v>
      </c>
      <c r="AO29" s="23">
        <f t="shared" si="12"/>
        <v>239.23502399999998</v>
      </c>
      <c r="AQ29">
        <f t="shared" si="13"/>
        <v>0.67164179104477606</v>
      </c>
    </row>
    <row r="30" spans="1:43" x14ac:dyDescent="0.35">
      <c r="A30" t="s">
        <v>41</v>
      </c>
      <c r="B30">
        <v>4</v>
      </c>
      <c r="C30">
        <v>2</v>
      </c>
      <c r="D30" t="s">
        <v>42</v>
      </c>
      <c r="E30">
        <v>2</v>
      </c>
      <c r="F30">
        <v>1</v>
      </c>
      <c r="G30" s="8">
        <v>67</v>
      </c>
      <c r="H30" s="8">
        <v>13.824</v>
      </c>
      <c r="I30" s="8">
        <v>1772</v>
      </c>
      <c r="J30" s="8">
        <v>16.678999999999998</v>
      </c>
      <c r="K30" s="8">
        <v>38.713999999999999</v>
      </c>
      <c r="L30" s="8">
        <v>0.123</v>
      </c>
      <c r="M30" s="18">
        <v>218.38</v>
      </c>
      <c r="N30" s="8">
        <v>1.0149999999999999</v>
      </c>
      <c r="O30" s="9">
        <v>3.2589999999999999</v>
      </c>
      <c r="P30" s="10">
        <v>67</v>
      </c>
      <c r="Q30" s="10">
        <v>16.678999999999998</v>
      </c>
      <c r="R30" s="10">
        <v>166.541</v>
      </c>
      <c r="S30" s="10">
        <v>51.838999999999999</v>
      </c>
      <c r="T30" s="10" t="b">
        <f t="shared" si="0"/>
        <v>1</v>
      </c>
      <c r="U30" s="10" t="b">
        <f t="shared" si="1"/>
        <v>1</v>
      </c>
      <c r="V30" s="11">
        <f>VLOOKUP(IF(J30&lt;10, 10, IF(J30&gt;50,50,J30)),'Over to underbark'!$A$3:$C$43,IF(A30="Scots pine",3,IF(A30="Sitka spruce",2, "error")),TRUE)/100</f>
        <v>0.84</v>
      </c>
      <c r="W30">
        <f t="shared" si="2"/>
        <v>125.904996</v>
      </c>
      <c r="X30">
        <f t="shared" si="3"/>
        <v>39.190283999999998</v>
      </c>
      <c r="Y30">
        <f t="shared" si="4"/>
        <v>31.446720000000006</v>
      </c>
      <c r="Z30">
        <f t="shared" si="5"/>
        <v>94.148296392600017</v>
      </c>
      <c r="AA30">
        <f t="shared" si="6"/>
        <v>29.572909560000003</v>
      </c>
      <c r="AB30">
        <f t="shared" si="7"/>
        <v>51.187757279400003</v>
      </c>
      <c r="AC30">
        <f t="shared" si="8"/>
        <v>21.633036768</v>
      </c>
      <c r="AD30">
        <f>LOOKUP($A30,'Over to underbark'!$A$47:$A$48,'Over to underbark'!E$47:E$48)*Z30</f>
        <v>39.542284484892008</v>
      </c>
      <c r="AE30">
        <f>LOOKUP($A30,'Over to underbark'!$A$47:$A$48,'Over to underbark'!E$47:E$48)*AA30</f>
        <v>12.420622015200001</v>
      </c>
      <c r="AF30">
        <f>LOOKUP($A30,'Over to underbark'!$A$47:$A$48,'Over to underbark'!E$47:E$48)*AB30</f>
        <v>21.498858057348002</v>
      </c>
      <c r="AG30">
        <f>LOOKUP($A30,'Over to underbark'!$A$47:$A$48,'Over to underbark'!E$47:E$48)*AC30</f>
        <v>9.085875442559999</v>
      </c>
      <c r="AH30" t="b">
        <f t="shared" si="9"/>
        <v>1</v>
      </c>
      <c r="AI30" t="b">
        <f t="shared" si="10"/>
        <v>1</v>
      </c>
      <c r="AJ30">
        <f>LOOKUP(A30,'Over to underbark'!$A$47:$A$48,'Over to underbark'!E$47:E$48)*M30</f>
        <v>91.7196</v>
      </c>
      <c r="AK30" s="22">
        <f>LOOKUP(A30,'Over to underbark'!$A$47:$A$48,'Over to underbark'!$B$47:$B$48)*AJ30</f>
        <v>31.184664000000001</v>
      </c>
      <c r="AL30" s="22">
        <f>LOOKUP(A30,'Over to underbark'!$A$47:$A$48,'Over to underbark'!C$47:C$48)*AJ30</f>
        <v>32.101859999999995</v>
      </c>
      <c r="AM30" s="22">
        <f t="shared" si="11"/>
        <v>122.904264</v>
      </c>
      <c r="AN30" s="36">
        <v>292.63</v>
      </c>
      <c r="AO30" s="23">
        <f t="shared" si="12"/>
        <v>245.808528</v>
      </c>
      <c r="AQ30">
        <f t="shared" si="13"/>
        <v>0.67164179104477617</v>
      </c>
    </row>
    <row r="31" spans="1:43" x14ac:dyDescent="0.35">
      <c r="A31" t="s">
        <v>41</v>
      </c>
      <c r="B31">
        <v>4</v>
      </c>
      <c r="C31">
        <v>2</v>
      </c>
      <c r="D31" t="s">
        <v>42</v>
      </c>
      <c r="E31">
        <v>2</v>
      </c>
      <c r="F31">
        <v>1</v>
      </c>
      <c r="G31" s="8">
        <v>68</v>
      </c>
      <c r="H31" s="8">
        <v>13.976000000000001</v>
      </c>
      <c r="I31" s="8">
        <v>1758</v>
      </c>
      <c r="J31" s="8">
        <v>16.861000000000001</v>
      </c>
      <c r="K31" s="8">
        <v>39.255000000000003</v>
      </c>
      <c r="L31" s="8">
        <v>0.128</v>
      </c>
      <c r="M31" s="18">
        <v>224.22</v>
      </c>
      <c r="N31" s="8">
        <v>1.085</v>
      </c>
      <c r="O31" s="9">
        <v>3.2970000000000002</v>
      </c>
      <c r="P31" s="10">
        <v>68</v>
      </c>
      <c r="Q31" s="10">
        <v>16.861000000000001</v>
      </c>
      <c r="R31" s="10">
        <v>168.499</v>
      </c>
      <c r="S31" s="10">
        <v>55.720999999999997</v>
      </c>
      <c r="T31" s="10" t="b">
        <f t="shared" si="0"/>
        <v>1</v>
      </c>
      <c r="U31" s="10" t="b">
        <f t="shared" si="1"/>
        <v>1</v>
      </c>
      <c r="V31" s="11">
        <f>VLOOKUP(IF(J31&lt;10, 10, IF(J31&gt;50,50,J31)),'Over to underbark'!$A$3:$C$43,IF(A31="Scots pine",3,IF(A31="Sitka spruce",2, "error")),TRUE)/100</f>
        <v>0.84</v>
      </c>
      <c r="W31">
        <f t="shared" si="2"/>
        <v>127.385244</v>
      </c>
      <c r="X31">
        <f t="shared" si="3"/>
        <v>42.125076</v>
      </c>
      <c r="Y31">
        <f t="shared" si="4"/>
        <v>32.287680000000009</v>
      </c>
      <c r="Z31">
        <f t="shared" si="5"/>
        <v>96.289921751400016</v>
      </c>
      <c r="AA31">
        <f t="shared" si="6"/>
        <v>30.156216840000006</v>
      </c>
      <c r="AB31">
        <f t="shared" si="7"/>
        <v>52.098819456599998</v>
      </c>
      <c r="AC31">
        <f t="shared" si="8"/>
        <v>23.253041952</v>
      </c>
      <c r="AD31">
        <f>LOOKUP($A31,'Over to underbark'!$A$47:$A$48,'Over to underbark'!E$47:E$48)*Z31</f>
        <v>40.441767135588002</v>
      </c>
      <c r="AE31">
        <f>LOOKUP($A31,'Over to underbark'!$A$47:$A$48,'Over to underbark'!E$47:E$48)*AA31</f>
        <v>12.665611072800003</v>
      </c>
      <c r="AF31">
        <f>LOOKUP($A31,'Over to underbark'!$A$47:$A$48,'Over to underbark'!E$47:E$48)*AB31</f>
        <v>21.881504171771997</v>
      </c>
      <c r="AG31">
        <f>LOOKUP($A31,'Over to underbark'!$A$47:$A$48,'Over to underbark'!E$47:E$48)*AC31</f>
        <v>9.7662776198400003</v>
      </c>
      <c r="AH31" t="b">
        <f t="shared" si="9"/>
        <v>1</v>
      </c>
      <c r="AI31" t="b">
        <f t="shared" si="10"/>
        <v>1</v>
      </c>
      <c r="AJ31">
        <f>LOOKUP(A31,'Over to underbark'!$A$47:$A$48,'Over to underbark'!E$47:E$48)*M31</f>
        <v>94.172399999999996</v>
      </c>
      <c r="AK31" s="22">
        <f>LOOKUP(A31,'Over to underbark'!$A$47:$A$48,'Over to underbark'!$B$47:$B$48)*AJ31</f>
        <v>32.018616000000002</v>
      </c>
      <c r="AL31" s="22">
        <f>LOOKUP(A31,'Over to underbark'!$A$47:$A$48,'Over to underbark'!C$47:C$48)*AJ31</f>
        <v>32.960339999999995</v>
      </c>
      <c r="AM31" s="22">
        <f t="shared" si="11"/>
        <v>126.19101599999999</v>
      </c>
      <c r="AN31" s="36">
        <v>300.45</v>
      </c>
      <c r="AO31" s="23">
        <f t="shared" si="12"/>
        <v>252.38203199999998</v>
      </c>
      <c r="AQ31">
        <f t="shared" si="13"/>
        <v>0.67164179104477617</v>
      </c>
    </row>
    <row r="32" spans="1:43" x14ac:dyDescent="0.35">
      <c r="A32" t="s">
        <v>41</v>
      </c>
      <c r="B32">
        <v>4</v>
      </c>
      <c r="C32">
        <v>2</v>
      </c>
      <c r="D32" t="s">
        <v>42</v>
      </c>
      <c r="E32">
        <v>2</v>
      </c>
      <c r="F32">
        <v>1</v>
      </c>
      <c r="G32" s="8">
        <v>69</v>
      </c>
      <c r="H32" s="8">
        <v>14.128</v>
      </c>
      <c r="I32" s="8">
        <v>1745</v>
      </c>
      <c r="J32" s="8">
        <v>17.04</v>
      </c>
      <c r="K32" s="8">
        <v>39.795999999999999</v>
      </c>
      <c r="L32" s="8">
        <v>0.13200000000000001</v>
      </c>
      <c r="M32" s="18">
        <v>230.06</v>
      </c>
      <c r="N32" s="8">
        <v>1.151</v>
      </c>
      <c r="O32" s="9">
        <v>3.3340000000000001</v>
      </c>
      <c r="P32" s="10">
        <v>69</v>
      </c>
      <c r="Q32" s="10">
        <v>17.04</v>
      </c>
      <c r="R32" s="10">
        <v>170.375</v>
      </c>
      <c r="S32" s="10">
        <v>59.685000000000002</v>
      </c>
      <c r="T32" s="10" t="b">
        <f t="shared" si="0"/>
        <v>1</v>
      </c>
      <c r="U32" s="10" t="b">
        <f t="shared" si="1"/>
        <v>1</v>
      </c>
      <c r="V32" s="11">
        <f>VLOOKUP(IF(J32&lt;10, 10, IF(J32&gt;50,50,J32)),'Over to underbark'!$A$3:$C$43,IF(A32="Scots pine",3,IF(A32="Sitka spruce",2, "error")),TRUE)/100</f>
        <v>0.84</v>
      </c>
      <c r="W32">
        <f t="shared" si="2"/>
        <v>128.80350000000001</v>
      </c>
      <c r="X32">
        <f t="shared" si="3"/>
        <v>45.121859999999998</v>
      </c>
      <c r="Y32">
        <f t="shared" si="4"/>
        <v>33.128640000000004</v>
      </c>
      <c r="Z32">
        <f t="shared" si="5"/>
        <v>98.419189005000007</v>
      </c>
      <c r="AA32">
        <f t="shared" si="6"/>
        <v>30.732705000000003</v>
      </c>
      <c r="AB32">
        <f t="shared" si="7"/>
        <v>52.994839275000004</v>
      </c>
      <c r="AC32">
        <f t="shared" si="8"/>
        <v>24.907266719999999</v>
      </c>
      <c r="AD32">
        <f>LOOKUP($A32,'Over to underbark'!$A$47:$A$48,'Over to underbark'!E$47:E$48)*Z32</f>
        <v>41.336059382100004</v>
      </c>
      <c r="AE32">
        <f>LOOKUP($A32,'Over to underbark'!$A$47:$A$48,'Over to underbark'!E$47:E$48)*AA32</f>
        <v>12.907736100000001</v>
      </c>
      <c r="AF32">
        <f>LOOKUP($A32,'Over to underbark'!$A$47:$A$48,'Over to underbark'!E$47:E$48)*AB32</f>
        <v>22.257832495500001</v>
      </c>
      <c r="AG32">
        <f>LOOKUP($A32,'Over to underbark'!$A$47:$A$48,'Over to underbark'!E$47:E$48)*AC32</f>
        <v>10.461052022399999</v>
      </c>
      <c r="AH32" t="b">
        <f t="shared" si="9"/>
        <v>1</v>
      </c>
      <c r="AI32" t="b">
        <f t="shared" si="10"/>
        <v>1</v>
      </c>
      <c r="AJ32">
        <f>LOOKUP(A32,'Over to underbark'!$A$47:$A$48,'Over to underbark'!E$47:E$48)*M32</f>
        <v>96.625199999999992</v>
      </c>
      <c r="AK32" s="22">
        <f>LOOKUP(A32,'Over to underbark'!$A$47:$A$48,'Over to underbark'!$B$47:$B$48)*AJ32</f>
        <v>32.852567999999998</v>
      </c>
      <c r="AL32" s="22">
        <f>LOOKUP(A32,'Over to underbark'!$A$47:$A$48,'Over to underbark'!C$47:C$48)*AJ32</f>
        <v>33.818819999999995</v>
      </c>
      <c r="AM32" s="22">
        <f t="shared" si="11"/>
        <v>129.477768</v>
      </c>
      <c r="AN32" s="36">
        <v>308.27999999999997</v>
      </c>
      <c r="AO32" s="23">
        <f t="shared" si="12"/>
        <v>258.955536</v>
      </c>
      <c r="AQ32">
        <f t="shared" si="13"/>
        <v>0.67164179104477617</v>
      </c>
    </row>
    <row r="33" spans="1:43" x14ac:dyDescent="0.35">
      <c r="A33" t="s">
        <v>41</v>
      </c>
      <c r="B33">
        <v>4</v>
      </c>
      <c r="C33">
        <v>2</v>
      </c>
      <c r="D33" t="s">
        <v>42</v>
      </c>
      <c r="E33">
        <v>2</v>
      </c>
      <c r="F33">
        <v>1</v>
      </c>
      <c r="G33" s="8">
        <v>70</v>
      </c>
      <c r="H33" s="8">
        <v>14.28</v>
      </c>
      <c r="I33" s="8">
        <v>1732</v>
      </c>
      <c r="J33" s="8">
        <v>17.22</v>
      </c>
      <c r="K33" s="8">
        <v>40.337000000000003</v>
      </c>
      <c r="L33" s="8">
        <v>0.13600000000000001</v>
      </c>
      <c r="M33" s="18">
        <v>235.9</v>
      </c>
      <c r="N33" s="8">
        <v>1.214</v>
      </c>
      <c r="O33" s="9">
        <v>3.37</v>
      </c>
      <c r="P33" s="10">
        <v>70</v>
      </c>
      <c r="Q33" s="10">
        <v>17.22</v>
      </c>
      <c r="R33" s="10">
        <v>172.11600000000001</v>
      </c>
      <c r="S33" s="10">
        <v>63.783999999999999</v>
      </c>
      <c r="T33" s="10" t="b">
        <f t="shared" si="0"/>
        <v>1</v>
      </c>
      <c r="U33" s="10" t="b">
        <f t="shared" si="1"/>
        <v>1</v>
      </c>
      <c r="V33" s="11">
        <f>VLOOKUP(IF(J33&lt;10, 10, IF(J33&gt;50,50,J33)),'Over to underbark'!$A$3:$C$43,IF(A33="Scots pine",3,IF(A33="Sitka spruce",2, "error")),TRUE)/100</f>
        <v>0.84</v>
      </c>
      <c r="W33">
        <f t="shared" si="2"/>
        <v>130.119696</v>
      </c>
      <c r="X33">
        <f t="shared" si="3"/>
        <v>48.220703999999998</v>
      </c>
      <c r="Y33">
        <f t="shared" si="4"/>
        <v>33.969600000000007</v>
      </c>
      <c r="Z33">
        <f t="shared" si="5"/>
        <v>100.52811059760002</v>
      </c>
      <c r="AA33">
        <f t="shared" si="6"/>
        <v>31.297966560000006</v>
      </c>
      <c r="AB33">
        <f t="shared" si="7"/>
        <v>53.866094234400002</v>
      </c>
      <c r="AC33">
        <f t="shared" si="8"/>
        <v>26.617828607999996</v>
      </c>
      <c r="AD33">
        <f>LOOKUP($A33,'Over to underbark'!$A$47:$A$48,'Over to underbark'!E$47:E$48)*Z33</f>
        <v>42.221806450992005</v>
      </c>
      <c r="AE33">
        <f>LOOKUP($A33,'Over to underbark'!$A$47:$A$48,'Over to underbark'!E$47:E$48)*AA33</f>
        <v>13.145145955200002</v>
      </c>
      <c r="AF33">
        <f>LOOKUP($A33,'Over to underbark'!$A$47:$A$48,'Over to underbark'!E$47:E$48)*AB33</f>
        <v>22.623759578447999</v>
      </c>
      <c r="AG33">
        <f>LOOKUP($A33,'Over to underbark'!$A$47:$A$48,'Over to underbark'!E$47:E$48)*AC33</f>
        <v>11.179488015359999</v>
      </c>
      <c r="AH33" t="b">
        <f t="shared" si="9"/>
        <v>1</v>
      </c>
      <c r="AI33" t="b">
        <f t="shared" si="10"/>
        <v>1</v>
      </c>
      <c r="AJ33">
        <f>LOOKUP(A33,'Over to underbark'!$A$47:$A$48,'Over to underbark'!E$47:E$48)*M33</f>
        <v>99.078000000000003</v>
      </c>
      <c r="AK33" s="22">
        <f>LOOKUP(A33,'Over to underbark'!$A$47:$A$48,'Over to underbark'!$B$47:$B$48)*AJ33</f>
        <v>33.686520000000002</v>
      </c>
      <c r="AL33" s="22">
        <f>LOOKUP(A33,'Over to underbark'!$A$47:$A$48,'Over to underbark'!C$47:C$48)*AJ33</f>
        <v>34.677299999999995</v>
      </c>
      <c r="AM33" s="22">
        <f t="shared" si="11"/>
        <v>132.76452</v>
      </c>
      <c r="AN33" s="36">
        <v>316.11</v>
      </c>
      <c r="AO33" s="23">
        <f t="shared" si="12"/>
        <v>265.52904000000001</v>
      </c>
      <c r="AQ33">
        <f t="shared" si="13"/>
        <v>0.67164179104477606</v>
      </c>
    </row>
    <row r="34" spans="1:43" x14ac:dyDescent="0.35">
      <c r="A34" t="s">
        <v>41</v>
      </c>
      <c r="B34">
        <v>4</v>
      </c>
      <c r="C34">
        <v>2</v>
      </c>
      <c r="D34" t="s">
        <v>42</v>
      </c>
      <c r="E34">
        <v>2</v>
      </c>
      <c r="F34">
        <v>1</v>
      </c>
      <c r="G34" s="8">
        <v>71</v>
      </c>
      <c r="H34" s="8">
        <v>14.414</v>
      </c>
      <c r="I34" s="8">
        <v>1719</v>
      </c>
      <c r="J34" s="8">
        <v>17.384</v>
      </c>
      <c r="K34" s="8">
        <v>40.802</v>
      </c>
      <c r="L34" s="8">
        <v>0.14000000000000001</v>
      </c>
      <c r="M34" s="18">
        <v>241.18</v>
      </c>
      <c r="N34" s="8">
        <v>1.3009999999999999</v>
      </c>
      <c r="O34" s="9">
        <v>3.3969999999999998</v>
      </c>
      <c r="P34" s="10">
        <v>71</v>
      </c>
      <c r="Q34" s="10">
        <v>17.384</v>
      </c>
      <c r="R34" s="10">
        <v>173.56899999999999</v>
      </c>
      <c r="S34" s="10">
        <v>67.611000000000004</v>
      </c>
      <c r="T34" s="10" t="b">
        <f t="shared" si="0"/>
        <v>1</v>
      </c>
      <c r="U34" s="10" t="b">
        <f t="shared" si="1"/>
        <v>1</v>
      </c>
      <c r="V34" s="11">
        <f>VLOOKUP(IF(J34&lt;10, 10, IF(J34&gt;50,50,J34)),'Over to underbark'!$A$3:$C$43,IF(A34="Scots pine",3,IF(A34="Sitka spruce",2, "error")),TRUE)/100</f>
        <v>0.84</v>
      </c>
      <c r="W34">
        <f t="shared" si="2"/>
        <v>131.218164</v>
      </c>
      <c r="X34">
        <f t="shared" si="3"/>
        <v>51.113916000000003</v>
      </c>
      <c r="Y34">
        <f t="shared" si="4"/>
        <v>34.729920000000007</v>
      </c>
      <c r="Z34">
        <f t="shared" si="5"/>
        <v>102.41656283340001</v>
      </c>
      <c r="AA34">
        <f t="shared" si="6"/>
        <v>31.798958040000002</v>
      </c>
      <c r="AB34">
        <f t="shared" si="7"/>
        <v>54.631597494600001</v>
      </c>
      <c r="AC34">
        <f t="shared" si="8"/>
        <v>28.214881632000001</v>
      </c>
      <c r="AD34">
        <f>LOOKUP($A34,'Over to underbark'!$A$47:$A$48,'Over to underbark'!E$47:E$48)*Z34</f>
        <v>43.014956390028004</v>
      </c>
      <c r="AE34">
        <f>LOOKUP($A34,'Over to underbark'!$A$47:$A$48,'Over to underbark'!E$47:E$48)*AA34</f>
        <v>13.3555623768</v>
      </c>
      <c r="AF34">
        <f>LOOKUP($A34,'Over to underbark'!$A$47:$A$48,'Over to underbark'!E$47:E$48)*AB34</f>
        <v>22.945270947731998</v>
      </c>
      <c r="AG34">
        <f>LOOKUP($A34,'Over to underbark'!$A$47:$A$48,'Over to underbark'!E$47:E$48)*AC34</f>
        <v>11.85025028544</v>
      </c>
      <c r="AH34" t="b">
        <f t="shared" si="9"/>
        <v>1</v>
      </c>
      <c r="AI34" t="b">
        <f t="shared" si="10"/>
        <v>1</v>
      </c>
      <c r="AJ34">
        <f>LOOKUP(A34,'Over to underbark'!$A$47:$A$48,'Over to underbark'!E$47:E$48)*M34</f>
        <v>101.29559999999999</v>
      </c>
      <c r="AK34" s="22">
        <f>LOOKUP(A34,'Over to underbark'!$A$47:$A$48,'Over to underbark'!$B$47:$B$48)*AJ34</f>
        <v>34.440503999999997</v>
      </c>
      <c r="AL34" s="22">
        <f>LOOKUP(A34,'Over to underbark'!$A$47:$A$48,'Over to underbark'!C$47:C$48)*AJ34</f>
        <v>35.453459999999993</v>
      </c>
      <c r="AM34" s="22">
        <f t="shared" si="11"/>
        <v>135.73610399999998</v>
      </c>
      <c r="AN34" s="36">
        <v>323.18</v>
      </c>
      <c r="AO34" s="23">
        <f t="shared" si="12"/>
        <v>271.47220799999997</v>
      </c>
      <c r="AQ34">
        <f t="shared" si="13"/>
        <v>0.67164179104477617</v>
      </c>
    </row>
    <row r="35" spans="1:43" x14ac:dyDescent="0.35">
      <c r="A35" t="s">
        <v>41</v>
      </c>
      <c r="B35">
        <v>4</v>
      </c>
      <c r="C35">
        <v>2</v>
      </c>
      <c r="D35" t="s">
        <v>42</v>
      </c>
      <c r="E35">
        <v>2</v>
      </c>
      <c r="F35">
        <v>1</v>
      </c>
      <c r="G35" s="8">
        <v>72</v>
      </c>
      <c r="H35" s="8">
        <v>14.548</v>
      </c>
      <c r="I35" s="8">
        <v>1707</v>
      </c>
      <c r="J35" s="8">
        <v>17.545000000000002</v>
      </c>
      <c r="K35" s="8">
        <v>41.268000000000001</v>
      </c>
      <c r="L35" s="8">
        <v>0.14399999999999999</v>
      </c>
      <c r="M35" s="18">
        <v>246.46</v>
      </c>
      <c r="N35" s="8">
        <v>1.3839999999999999</v>
      </c>
      <c r="O35" s="9">
        <v>3.423</v>
      </c>
      <c r="P35" s="10">
        <v>72</v>
      </c>
      <c r="Q35" s="10">
        <v>17.545000000000002</v>
      </c>
      <c r="R35" s="10">
        <v>174.97</v>
      </c>
      <c r="S35" s="10">
        <v>71.489999999999995</v>
      </c>
      <c r="T35" s="10" t="b">
        <f t="shared" si="0"/>
        <v>1</v>
      </c>
      <c r="U35" s="10" t="b">
        <f t="shared" si="1"/>
        <v>1</v>
      </c>
      <c r="V35" s="11">
        <f>VLOOKUP(IF(J35&lt;10, 10, IF(J35&gt;50,50,J35)),'Over to underbark'!$A$3:$C$43,IF(A35="Scots pine",3,IF(A35="Sitka spruce",2, "error")),TRUE)/100</f>
        <v>0.84</v>
      </c>
      <c r="W35">
        <f t="shared" si="2"/>
        <v>132.27732</v>
      </c>
      <c r="X35">
        <f t="shared" si="3"/>
        <v>54.04643999999999</v>
      </c>
      <c r="Y35">
        <f t="shared" si="4"/>
        <v>35.490240000000007</v>
      </c>
      <c r="Z35">
        <f t="shared" si="5"/>
        <v>104.297178222</v>
      </c>
      <c r="AA35">
        <f t="shared" si="6"/>
        <v>32.295625200000003</v>
      </c>
      <c r="AB35">
        <f t="shared" si="7"/>
        <v>55.387561697999999</v>
      </c>
      <c r="AC35">
        <f t="shared" si="8"/>
        <v>29.833634879999995</v>
      </c>
      <c r="AD35">
        <f>LOOKUP($A35,'Over to underbark'!$A$47:$A$48,'Over to underbark'!E$47:E$48)*Z35</f>
        <v>43.804814853239996</v>
      </c>
      <c r="AE35">
        <f>LOOKUP($A35,'Over to underbark'!$A$47:$A$48,'Over to underbark'!E$47:E$48)*AA35</f>
        <v>13.564162584000002</v>
      </c>
      <c r="AF35">
        <f>LOOKUP($A35,'Over to underbark'!$A$47:$A$48,'Over to underbark'!E$47:E$48)*AB35</f>
        <v>23.262775913159999</v>
      </c>
      <c r="AG35">
        <f>LOOKUP($A35,'Over to underbark'!$A$47:$A$48,'Over to underbark'!E$47:E$48)*AC35</f>
        <v>12.530126649599998</v>
      </c>
      <c r="AH35" t="b">
        <f t="shared" si="9"/>
        <v>1</v>
      </c>
      <c r="AI35" t="b">
        <f t="shared" si="10"/>
        <v>1</v>
      </c>
      <c r="AJ35">
        <f>LOOKUP(A35,'Over to underbark'!$A$47:$A$48,'Over to underbark'!E$47:E$48)*M35</f>
        <v>103.5132</v>
      </c>
      <c r="AK35" s="22">
        <f>LOOKUP(A35,'Over to underbark'!$A$47:$A$48,'Over to underbark'!$B$47:$B$48)*AJ35</f>
        <v>35.194488</v>
      </c>
      <c r="AL35" s="22">
        <f>LOOKUP(A35,'Over to underbark'!$A$47:$A$48,'Over to underbark'!C$47:C$48)*AJ35</f>
        <v>36.229619999999997</v>
      </c>
      <c r="AM35" s="22">
        <f t="shared" si="11"/>
        <v>138.70768799999999</v>
      </c>
      <c r="AN35" s="36">
        <v>330.26</v>
      </c>
      <c r="AO35" s="23">
        <f t="shared" si="12"/>
        <v>277.41537599999998</v>
      </c>
      <c r="AQ35">
        <f t="shared" si="13"/>
        <v>0.67164179104477617</v>
      </c>
    </row>
    <row r="36" spans="1:43" x14ac:dyDescent="0.35">
      <c r="A36" t="s">
        <v>41</v>
      </c>
      <c r="B36">
        <v>4</v>
      </c>
      <c r="C36">
        <v>2</v>
      </c>
      <c r="D36" t="s">
        <v>42</v>
      </c>
      <c r="E36">
        <v>2</v>
      </c>
      <c r="F36">
        <v>1</v>
      </c>
      <c r="G36" s="8">
        <v>73</v>
      </c>
      <c r="H36" s="8">
        <v>14.682</v>
      </c>
      <c r="I36" s="8">
        <v>1695</v>
      </c>
      <c r="J36" s="8">
        <v>17.706</v>
      </c>
      <c r="K36" s="8">
        <v>41.732999999999997</v>
      </c>
      <c r="L36" s="8">
        <v>0.14899999999999999</v>
      </c>
      <c r="M36" s="18">
        <v>251.74</v>
      </c>
      <c r="N36" s="8">
        <v>1.464</v>
      </c>
      <c r="O36" s="9">
        <v>3.448</v>
      </c>
      <c r="P36" s="10">
        <v>73</v>
      </c>
      <c r="Q36" s="10">
        <v>17.706</v>
      </c>
      <c r="R36" s="10">
        <v>176.27799999999999</v>
      </c>
      <c r="S36" s="10">
        <v>75.462000000000003</v>
      </c>
      <c r="T36" s="10" t="b">
        <f t="shared" si="0"/>
        <v>1</v>
      </c>
      <c r="U36" s="10" t="b">
        <f t="shared" si="1"/>
        <v>1</v>
      </c>
      <c r="V36" s="11">
        <f>VLOOKUP(IF(J36&lt;10, 10, IF(J36&gt;50,50,J36)),'Over to underbark'!$A$3:$C$43,IF(A36="Scots pine",3,IF(A36="Sitka spruce",2, "error")),TRUE)/100</f>
        <v>0.84</v>
      </c>
      <c r="W36">
        <f t="shared" si="2"/>
        <v>133.26616799999999</v>
      </c>
      <c r="X36">
        <f t="shared" si="3"/>
        <v>57.049272000000002</v>
      </c>
      <c r="Y36">
        <f t="shared" si="4"/>
        <v>36.250560000000007</v>
      </c>
      <c r="Z36">
        <f t="shared" si="5"/>
        <v>106.16377771080001</v>
      </c>
      <c r="AA36">
        <f t="shared" si="6"/>
        <v>32.784558480000001</v>
      </c>
      <c r="AB36">
        <f t="shared" si="7"/>
        <v>56.126465665199987</v>
      </c>
      <c r="AC36">
        <f t="shared" si="8"/>
        <v>31.491198144000002</v>
      </c>
      <c r="AD36">
        <f>LOOKUP($A36,'Over to underbark'!$A$47:$A$48,'Over to underbark'!E$47:E$48)*Z36</f>
        <v>44.588786638536</v>
      </c>
      <c r="AE36">
        <f>LOOKUP($A36,'Over to underbark'!$A$47:$A$48,'Over to underbark'!E$47:E$48)*AA36</f>
        <v>13.769514561599999</v>
      </c>
      <c r="AF36">
        <f>LOOKUP($A36,'Over to underbark'!$A$47:$A$48,'Over to underbark'!E$47:E$48)*AB36</f>
        <v>23.573115579383995</v>
      </c>
      <c r="AG36">
        <f>LOOKUP($A36,'Over to underbark'!$A$47:$A$48,'Over to underbark'!E$47:E$48)*AC36</f>
        <v>13.22630322048</v>
      </c>
      <c r="AH36" t="b">
        <f t="shared" si="9"/>
        <v>1</v>
      </c>
      <c r="AI36" t="b">
        <f t="shared" si="10"/>
        <v>1</v>
      </c>
      <c r="AJ36">
        <f>LOOKUP(A36,'Over to underbark'!$A$47:$A$48,'Over to underbark'!E$47:E$48)*M36</f>
        <v>105.7308</v>
      </c>
      <c r="AK36" s="22">
        <f>LOOKUP(A36,'Over to underbark'!$A$47:$A$48,'Over to underbark'!$B$47:$B$48)*AJ36</f>
        <v>35.948472000000002</v>
      </c>
      <c r="AL36" s="22">
        <f>LOOKUP(A36,'Over to underbark'!$A$47:$A$48,'Over to underbark'!C$47:C$48)*AJ36</f>
        <v>37.005780000000001</v>
      </c>
      <c r="AM36" s="22">
        <f t="shared" si="11"/>
        <v>141.679272</v>
      </c>
      <c r="AN36" s="36">
        <v>337.33</v>
      </c>
      <c r="AO36" s="23">
        <f t="shared" si="12"/>
        <v>283.35854399999999</v>
      </c>
      <c r="AQ36">
        <f t="shared" si="13"/>
        <v>0.67164179104477606</v>
      </c>
    </row>
    <row r="37" spans="1:43" x14ac:dyDescent="0.35">
      <c r="A37" t="s">
        <v>41</v>
      </c>
      <c r="B37">
        <v>4</v>
      </c>
      <c r="C37">
        <v>2</v>
      </c>
      <c r="D37" t="s">
        <v>42</v>
      </c>
      <c r="E37">
        <v>2</v>
      </c>
      <c r="F37">
        <v>1</v>
      </c>
      <c r="G37" s="8">
        <v>74</v>
      </c>
      <c r="H37" s="8">
        <v>14.816000000000001</v>
      </c>
      <c r="I37" s="8">
        <v>1683</v>
      </c>
      <c r="J37" s="8">
        <v>17.867000000000001</v>
      </c>
      <c r="K37" s="8">
        <v>42.198</v>
      </c>
      <c r="L37" s="8">
        <v>0.153</v>
      </c>
      <c r="M37" s="18">
        <v>257.02</v>
      </c>
      <c r="N37" s="8">
        <v>1.54</v>
      </c>
      <c r="O37" s="9">
        <v>3.4729999999999999</v>
      </c>
      <c r="P37" s="10">
        <v>74</v>
      </c>
      <c r="Q37" s="10">
        <v>17.867000000000001</v>
      </c>
      <c r="R37" s="10">
        <v>177.49299999999999</v>
      </c>
      <c r="S37" s="10">
        <v>79.527000000000001</v>
      </c>
      <c r="T37" s="10" t="b">
        <f t="shared" si="0"/>
        <v>1</v>
      </c>
      <c r="U37" s="10" t="b">
        <f t="shared" si="1"/>
        <v>1</v>
      </c>
      <c r="V37" s="11">
        <f>VLOOKUP(IF(J37&lt;10, 10, IF(J37&gt;50,50,J37)),'Over to underbark'!$A$3:$C$43,IF(A37="Scots pine",3,IF(A37="Sitka spruce",2, "error")),TRUE)/100</f>
        <v>0.84</v>
      </c>
      <c r="W37">
        <f t="shared" si="2"/>
        <v>134.184708</v>
      </c>
      <c r="X37">
        <f t="shared" si="3"/>
        <v>60.122412000000004</v>
      </c>
      <c r="Y37">
        <f t="shared" si="4"/>
        <v>37.010880000000007</v>
      </c>
      <c r="Z37">
        <f t="shared" si="5"/>
        <v>108.01636129980001</v>
      </c>
      <c r="AA37">
        <f t="shared" si="6"/>
        <v>33.265757880000002</v>
      </c>
      <c r="AB37">
        <f t="shared" si="7"/>
        <v>56.848309396199994</v>
      </c>
      <c r="AC37">
        <f t="shared" si="8"/>
        <v>33.187571424000005</v>
      </c>
      <c r="AD37">
        <f>LOOKUP($A37,'Over to underbark'!$A$47:$A$48,'Over to underbark'!E$47:E$48)*Z37</f>
        <v>45.366871745916001</v>
      </c>
      <c r="AE37">
        <f>LOOKUP($A37,'Over to underbark'!$A$47:$A$48,'Over to underbark'!E$47:E$48)*AA37</f>
        <v>13.9716183096</v>
      </c>
      <c r="AF37">
        <f>LOOKUP($A37,'Over to underbark'!$A$47:$A$48,'Over to underbark'!E$47:E$48)*AB37</f>
        <v>23.876289946403997</v>
      </c>
      <c r="AG37">
        <f>LOOKUP($A37,'Over to underbark'!$A$47:$A$48,'Over to underbark'!E$47:E$48)*AC37</f>
        <v>13.938779998080001</v>
      </c>
      <c r="AH37" t="b">
        <f t="shared" si="9"/>
        <v>1</v>
      </c>
      <c r="AI37" t="b">
        <f t="shared" si="10"/>
        <v>1</v>
      </c>
      <c r="AJ37">
        <f>LOOKUP(A37,'Over to underbark'!$A$47:$A$48,'Over to underbark'!E$47:E$48)*M37</f>
        <v>107.94839999999999</v>
      </c>
      <c r="AK37" s="22">
        <f>LOOKUP(A37,'Over to underbark'!$A$47:$A$48,'Over to underbark'!$B$47:$B$48)*AJ37</f>
        <v>36.702455999999998</v>
      </c>
      <c r="AL37" s="22">
        <f>LOOKUP(A37,'Over to underbark'!$A$47:$A$48,'Over to underbark'!C$47:C$48)*AJ37</f>
        <v>37.781939999999992</v>
      </c>
      <c r="AM37" s="22">
        <f t="shared" si="11"/>
        <v>144.65085599999998</v>
      </c>
      <c r="AN37" s="36">
        <v>344.41</v>
      </c>
      <c r="AO37" s="23">
        <f t="shared" si="12"/>
        <v>289.30171199999995</v>
      </c>
      <c r="AQ37">
        <f t="shared" si="13"/>
        <v>0.67164179104477617</v>
      </c>
    </row>
    <row r="38" spans="1:43" x14ac:dyDescent="0.35">
      <c r="A38" t="s">
        <v>41</v>
      </c>
      <c r="B38">
        <v>4</v>
      </c>
      <c r="C38">
        <v>2</v>
      </c>
      <c r="D38" t="s">
        <v>42</v>
      </c>
      <c r="E38">
        <v>2</v>
      </c>
      <c r="F38">
        <v>1</v>
      </c>
      <c r="G38" s="8">
        <v>75</v>
      </c>
      <c r="H38" s="8">
        <v>14.95</v>
      </c>
      <c r="I38" s="8">
        <v>1671</v>
      </c>
      <c r="J38" s="8">
        <v>18.03</v>
      </c>
      <c r="K38" s="8">
        <v>42.664000000000001</v>
      </c>
      <c r="L38" s="8">
        <v>0.157</v>
      </c>
      <c r="M38" s="18">
        <v>262.3</v>
      </c>
      <c r="N38" s="8">
        <v>1.613</v>
      </c>
      <c r="O38" s="9">
        <v>3.4969999999999999</v>
      </c>
      <c r="P38" s="10">
        <v>75</v>
      </c>
      <c r="Q38" s="10">
        <v>18.03</v>
      </c>
      <c r="R38" s="10">
        <v>178.58600000000001</v>
      </c>
      <c r="S38" s="10">
        <v>83.713999999999999</v>
      </c>
      <c r="T38" s="10" t="b">
        <f t="shared" si="0"/>
        <v>1</v>
      </c>
      <c r="U38" s="10" t="b">
        <f t="shared" si="1"/>
        <v>1</v>
      </c>
      <c r="V38" s="11">
        <f>VLOOKUP(IF(J38&lt;10, 10, IF(J38&gt;50,50,J38)),'Over to underbark'!$A$3:$C$43,IF(A38="Scots pine",3,IF(A38="Sitka spruce",2, "error")),TRUE)/100</f>
        <v>0.84</v>
      </c>
      <c r="W38">
        <f t="shared" si="2"/>
        <v>135.01101600000001</v>
      </c>
      <c r="X38">
        <f t="shared" si="3"/>
        <v>63.287784000000002</v>
      </c>
      <c r="Y38">
        <f t="shared" si="4"/>
        <v>37.771200000000007</v>
      </c>
      <c r="Z38">
        <f t="shared" si="5"/>
        <v>109.85055843959999</v>
      </c>
      <c r="AA38">
        <f t="shared" si="6"/>
        <v>33.736811760000009</v>
      </c>
      <c r="AB38">
        <f t="shared" si="7"/>
        <v>57.547773032400002</v>
      </c>
      <c r="AC38">
        <f t="shared" si="8"/>
        <v>34.934856768000003</v>
      </c>
      <c r="AD38">
        <f>LOOKUP($A38,'Over to underbark'!$A$47:$A$48,'Over to underbark'!E$47:E$48)*Z38</f>
        <v>46.137234544631994</v>
      </c>
      <c r="AE38">
        <f>LOOKUP($A38,'Over to underbark'!$A$47:$A$48,'Over to underbark'!E$47:E$48)*AA38</f>
        <v>14.169460939200004</v>
      </c>
      <c r="AF38">
        <f>LOOKUP($A38,'Over to underbark'!$A$47:$A$48,'Over to underbark'!E$47:E$48)*AB38</f>
        <v>24.170064673608</v>
      </c>
      <c r="AG38">
        <f>LOOKUP($A38,'Over to underbark'!$A$47:$A$48,'Over to underbark'!E$47:E$48)*AC38</f>
        <v>14.672639842560001</v>
      </c>
      <c r="AH38" t="b">
        <f t="shared" si="9"/>
        <v>1</v>
      </c>
      <c r="AI38" t="b">
        <f t="shared" si="10"/>
        <v>1</v>
      </c>
      <c r="AJ38">
        <f>LOOKUP(A38,'Over to underbark'!$A$47:$A$48,'Over to underbark'!E$47:E$48)*M38</f>
        <v>110.166</v>
      </c>
      <c r="AK38" s="22">
        <f>LOOKUP(A38,'Over to underbark'!$A$47:$A$48,'Over to underbark'!$B$47:$B$48)*AJ38</f>
        <v>37.456440000000001</v>
      </c>
      <c r="AL38" s="22">
        <f>LOOKUP(A38,'Over to underbark'!$A$47:$A$48,'Over to underbark'!C$47:C$48)*AJ38</f>
        <v>38.558099999999996</v>
      </c>
      <c r="AM38" s="22">
        <f t="shared" si="11"/>
        <v>147.62243999999998</v>
      </c>
      <c r="AN38" s="36">
        <v>351.48</v>
      </c>
      <c r="AO38" s="23">
        <f t="shared" si="12"/>
        <v>295.24487999999997</v>
      </c>
      <c r="AQ38">
        <f t="shared" si="13"/>
        <v>0.67164179104477617</v>
      </c>
    </row>
    <row r="39" spans="1:43" x14ac:dyDescent="0.35">
      <c r="A39" t="s">
        <v>41</v>
      </c>
      <c r="B39">
        <v>4</v>
      </c>
      <c r="C39">
        <v>2</v>
      </c>
      <c r="D39" t="s">
        <v>42</v>
      </c>
      <c r="E39">
        <v>2</v>
      </c>
      <c r="F39">
        <v>1</v>
      </c>
      <c r="G39" s="8">
        <v>76</v>
      </c>
      <c r="H39" s="8">
        <v>15.061999999999999</v>
      </c>
      <c r="I39" s="8">
        <v>1660</v>
      </c>
      <c r="J39" s="8">
        <v>18.178999999999998</v>
      </c>
      <c r="K39" s="8">
        <v>43.087000000000003</v>
      </c>
      <c r="L39" s="8">
        <v>0.161</v>
      </c>
      <c r="M39" s="18">
        <v>267.06</v>
      </c>
      <c r="N39" s="8">
        <v>1.7010000000000001</v>
      </c>
      <c r="O39" s="9">
        <v>3.5139999999999998</v>
      </c>
      <c r="P39" s="10">
        <v>76</v>
      </c>
      <c r="Q39" s="10">
        <v>18.178999999999998</v>
      </c>
      <c r="R39" s="10">
        <v>179.46199999999999</v>
      </c>
      <c r="S39" s="10">
        <v>87.597999999999999</v>
      </c>
      <c r="T39" s="10" t="b">
        <f t="shared" si="0"/>
        <v>1</v>
      </c>
      <c r="U39" s="10" t="b">
        <f t="shared" si="1"/>
        <v>1</v>
      </c>
      <c r="V39" s="11">
        <f>VLOOKUP(IF(J39&lt;10, 10, IF(J39&gt;50,50,J39)),'Over to underbark'!$A$3:$C$43,IF(A39="Scots pine",3,IF(A39="Sitka spruce",2, "error")),TRUE)/100</f>
        <v>0.84</v>
      </c>
      <c r="W39">
        <f t="shared" si="2"/>
        <v>135.67327199999997</v>
      </c>
      <c r="X39">
        <f t="shared" si="3"/>
        <v>66.224087999999995</v>
      </c>
      <c r="Y39">
        <f t="shared" si="4"/>
        <v>38.456640000000007</v>
      </c>
      <c r="Z39">
        <f t="shared" si="5"/>
        <v>111.48763405319998</v>
      </c>
      <c r="AA39">
        <f t="shared" si="6"/>
        <v>34.152379920000001</v>
      </c>
      <c r="AB39">
        <f t="shared" si="7"/>
        <v>58.158289450799991</v>
      </c>
      <c r="AC39">
        <f t="shared" si="8"/>
        <v>36.555696575999995</v>
      </c>
      <c r="AD39">
        <f>LOOKUP($A39,'Over to underbark'!$A$47:$A$48,'Over to underbark'!E$47:E$48)*Z39</f>
        <v>46.824806302343994</v>
      </c>
      <c r="AE39">
        <f>LOOKUP($A39,'Over to underbark'!$A$47:$A$48,'Over to underbark'!E$47:E$48)*AA39</f>
        <v>14.343999566400001</v>
      </c>
      <c r="AF39">
        <f>LOOKUP($A39,'Over to underbark'!$A$47:$A$48,'Over to underbark'!E$47:E$48)*AB39</f>
        <v>24.426481569335994</v>
      </c>
      <c r="AG39">
        <f>LOOKUP($A39,'Over to underbark'!$A$47:$A$48,'Over to underbark'!E$47:E$48)*AC39</f>
        <v>15.353392561919998</v>
      </c>
      <c r="AH39" t="b">
        <f t="shared" si="9"/>
        <v>1</v>
      </c>
      <c r="AI39" t="b">
        <f t="shared" si="10"/>
        <v>1</v>
      </c>
      <c r="AJ39">
        <f>LOOKUP(A39,'Over to underbark'!$A$47:$A$48,'Over to underbark'!E$47:E$48)*M39</f>
        <v>112.1652</v>
      </c>
      <c r="AK39" s="22">
        <f>LOOKUP(A39,'Over to underbark'!$A$47:$A$48,'Over to underbark'!$B$47:$B$48)*AJ39</f>
        <v>38.136168000000005</v>
      </c>
      <c r="AL39" s="22">
        <f>LOOKUP(A39,'Over to underbark'!$A$47:$A$48,'Over to underbark'!C$47:C$48)*AJ39</f>
        <v>39.257819999999995</v>
      </c>
      <c r="AM39" s="22">
        <f t="shared" si="11"/>
        <v>150.301368</v>
      </c>
      <c r="AN39" s="36">
        <v>357.86</v>
      </c>
      <c r="AO39" s="23">
        <f t="shared" si="12"/>
        <v>300.60273599999999</v>
      </c>
      <c r="AQ39">
        <f t="shared" si="13"/>
        <v>0.67164179104477606</v>
      </c>
    </row>
    <row r="40" spans="1:43" x14ac:dyDescent="0.35">
      <c r="A40" t="s">
        <v>41</v>
      </c>
      <c r="B40">
        <v>4</v>
      </c>
      <c r="C40">
        <v>2</v>
      </c>
      <c r="D40" t="s">
        <v>42</v>
      </c>
      <c r="E40">
        <v>2</v>
      </c>
      <c r="F40">
        <v>1</v>
      </c>
      <c r="G40" s="8">
        <v>77</v>
      </c>
      <c r="H40" s="8">
        <v>15.173999999999999</v>
      </c>
      <c r="I40" s="8">
        <v>1650</v>
      </c>
      <c r="J40" s="8">
        <v>18.323</v>
      </c>
      <c r="K40" s="8">
        <v>43.51</v>
      </c>
      <c r="L40" s="8">
        <v>0.16500000000000001</v>
      </c>
      <c r="M40" s="18">
        <v>271.82</v>
      </c>
      <c r="N40" s="8">
        <v>1.7849999999999999</v>
      </c>
      <c r="O40" s="9">
        <v>3.53</v>
      </c>
      <c r="P40" s="10">
        <v>77</v>
      </c>
      <c r="Q40" s="10">
        <v>18.323</v>
      </c>
      <c r="R40" s="10">
        <v>180.345</v>
      </c>
      <c r="S40" s="10">
        <v>91.474999999999994</v>
      </c>
      <c r="T40" s="10" t="b">
        <f t="shared" si="0"/>
        <v>1</v>
      </c>
      <c r="U40" s="10" t="b">
        <f t="shared" si="1"/>
        <v>1</v>
      </c>
      <c r="V40" s="11">
        <f>VLOOKUP(IF(J40&lt;10, 10, IF(J40&gt;50,50,J40)),'Over to underbark'!$A$3:$C$43,IF(A40="Scots pine",3,IF(A40="Sitka spruce",2, "error")),TRUE)/100</f>
        <v>0.84</v>
      </c>
      <c r="W40">
        <f t="shared" si="2"/>
        <v>136.34081999999998</v>
      </c>
      <c r="X40">
        <f t="shared" si="3"/>
        <v>69.155100000000004</v>
      </c>
      <c r="Y40">
        <f t="shared" si="4"/>
        <v>39.142080000000007</v>
      </c>
      <c r="Z40">
        <f t="shared" si="5"/>
        <v>113.12576462700001</v>
      </c>
      <c r="AA40">
        <f t="shared" si="6"/>
        <v>34.568530199999998</v>
      </c>
      <c r="AB40">
        <f t="shared" si="7"/>
        <v>58.77008997299999</v>
      </c>
      <c r="AC40">
        <f t="shared" si="8"/>
        <v>38.1736152</v>
      </c>
      <c r="AD40">
        <f>LOOKUP($A40,'Over to underbark'!$A$47:$A$48,'Over to underbark'!E$47:E$48)*Z40</f>
        <v>47.512821143340005</v>
      </c>
      <c r="AE40">
        <f>LOOKUP($A40,'Over to underbark'!$A$47:$A$48,'Over to underbark'!E$47:E$48)*AA40</f>
        <v>14.518782683999998</v>
      </c>
      <c r="AF40">
        <f>LOOKUP($A40,'Over to underbark'!$A$47:$A$48,'Over to underbark'!E$47:E$48)*AB40</f>
        <v>24.683437788659994</v>
      </c>
      <c r="AG40">
        <f>LOOKUP($A40,'Over to underbark'!$A$47:$A$48,'Over to underbark'!E$47:E$48)*AC40</f>
        <v>16.032918383999998</v>
      </c>
      <c r="AH40" t="b">
        <f t="shared" si="9"/>
        <v>1</v>
      </c>
      <c r="AI40" t="b">
        <f t="shared" si="10"/>
        <v>1</v>
      </c>
      <c r="AJ40">
        <f>LOOKUP(A40,'Over to underbark'!$A$47:$A$48,'Over to underbark'!E$47:E$48)*M40</f>
        <v>114.16439999999999</v>
      </c>
      <c r="AK40" s="22">
        <f>LOOKUP(A40,'Over to underbark'!$A$47:$A$48,'Over to underbark'!$B$47:$B$48)*AJ40</f>
        <v>38.815895999999995</v>
      </c>
      <c r="AL40" s="22">
        <f>LOOKUP(A40,'Over to underbark'!$A$47:$A$48,'Over to underbark'!C$47:C$48)*AJ40</f>
        <v>39.957539999999995</v>
      </c>
      <c r="AM40" s="22">
        <f t="shared" si="11"/>
        <v>152.98029599999998</v>
      </c>
      <c r="AN40" s="36">
        <v>364.24</v>
      </c>
      <c r="AO40" s="23">
        <f t="shared" si="12"/>
        <v>305.96059199999996</v>
      </c>
      <c r="AQ40">
        <f t="shared" si="13"/>
        <v>0.67164179104477628</v>
      </c>
    </row>
    <row r="41" spans="1:43" x14ac:dyDescent="0.35">
      <c r="A41" t="s">
        <v>41</v>
      </c>
      <c r="B41">
        <v>4</v>
      </c>
      <c r="C41">
        <v>2</v>
      </c>
      <c r="D41" t="s">
        <v>42</v>
      </c>
      <c r="E41">
        <v>2</v>
      </c>
      <c r="F41">
        <v>1</v>
      </c>
      <c r="G41" s="8">
        <v>78</v>
      </c>
      <c r="H41" s="8">
        <v>15.286</v>
      </c>
      <c r="I41" s="8">
        <v>1640</v>
      </c>
      <c r="J41" s="8">
        <v>18.468</v>
      </c>
      <c r="K41" s="8">
        <v>43.933</v>
      </c>
      <c r="L41" s="8">
        <v>0.16900000000000001</v>
      </c>
      <c r="M41" s="18">
        <v>276.58</v>
      </c>
      <c r="N41" s="8">
        <v>1.8660000000000001</v>
      </c>
      <c r="O41" s="9">
        <v>3.5459999999999998</v>
      </c>
      <c r="P41" s="10">
        <v>78</v>
      </c>
      <c r="Q41" s="10">
        <v>18.468</v>
      </c>
      <c r="R41" s="10">
        <v>181.142</v>
      </c>
      <c r="S41" s="10">
        <v>95.438000000000002</v>
      </c>
      <c r="T41" s="10" t="b">
        <f t="shared" si="0"/>
        <v>1</v>
      </c>
      <c r="U41" s="10" t="b">
        <f t="shared" si="1"/>
        <v>1</v>
      </c>
      <c r="V41" s="11">
        <f>VLOOKUP(IF(J41&lt;10, 10, IF(J41&gt;50,50,J41)),'Over to underbark'!$A$3:$C$43,IF(A41="Scots pine",3,IF(A41="Sitka spruce",2, "error")),TRUE)/100</f>
        <v>0.84</v>
      </c>
      <c r="W41">
        <f t="shared" si="2"/>
        <v>136.943352</v>
      </c>
      <c r="X41">
        <f t="shared" si="3"/>
        <v>72.151128</v>
      </c>
      <c r="Y41">
        <f t="shared" si="4"/>
        <v>39.827520000000007</v>
      </c>
      <c r="Z41">
        <f t="shared" si="5"/>
        <v>114.7509342612</v>
      </c>
      <c r="AA41">
        <f t="shared" si="6"/>
        <v>34.977528720000002</v>
      </c>
      <c r="AB41">
        <f t="shared" si="7"/>
        <v>59.366114362800005</v>
      </c>
      <c r="AC41">
        <f t="shared" si="8"/>
        <v>39.827422656000003</v>
      </c>
      <c r="AD41">
        <f>LOOKUP($A41,'Over to underbark'!$A$47:$A$48,'Over to underbark'!E$47:E$48)*Z41</f>
        <v>48.195392389703997</v>
      </c>
      <c r="AE41">
        <f>LOOKUP($A41,'Over to underbark'!$A$47:$A$48,'Over to underbark'!E$47:E$48)*AA41</f>
        <v>14.6905620624</v>
      </c>
      <c r="AF41">
        <f>LOOKUP($A41,'Over to underbark'!$A$47:$A$48,'Over to underbark'!E$47:E$48)*AB41</f>
        <v>24.933768032376001</v>
      </c>
      <c r="AG41">
        <f>LOOKUP($A41,'Over to underbark'!$A$47:$A$48,'Over to underbark'!E$47:E$48)*AC41</f>
        <v>16.727517515520002</v>
      </c>
      <c r="AH41" t="b">
        <f t="shared" si="9"/>
        <v>1</v>
      </c>
      <c r="AI41" t="b">
        <f t="shared" si="10"/>
        <v>1</v>
      </c>
      <c r="AJ41">
        <f>LOOKUP(A41,'Over to underbark'!$A$47:$A$48,'Over to underbark'!E$47:E$48)*M41</f>
        <v>116.16359999999999</v>
      </c>
      <c r="AK41" s="22">
        <f>LOOKUP(A41,'Over to underbark'!$A$47:$A$48,'Over to underbark'!$B$47:$B$48)*AJ41</f>
        <v>39.495623999999999</v>
      </c>
      <c r="AL41" s="22">
        <f>LOOKUP(A41,'Over to underbark'!$A$47:$A$48,'Over to underbark'!C$47:C$48)*AJ41</f>
        <v>40.657259999999994</v>
      </c>
      <c r="AM41" s="22">
        <f t="shared" si="11"/>
        <v>155.65922399999999</v>
      </c>
      <c r="AN41" s="36">
        <v>370.62</v>
      </c>
      <c r="AO41" s="23">
        <f t="shared" si="12"/>
        <v>311.31844799999999</v>
      </c>
      <c r="AQ41">
        <f t="shared" si="13"/>
        <v>0.67164179104477617</v>
      </c>
    </row>
    <row r="42" spans="1:43" x14ac:dyDescent="0.35">
      <c r="A42" t="s">
        <v>41</v>
      </c>
      <c r="B42">
        <v>4</v>
      </c>
      <c r="C42">
        <v>2</v>
      </c>
      <c r="D42" t="s">
        <v>42</v>
      </c>
      <c r="E42">
        <v>2</v>
      </c>
      <c r="F42">
        <v>1</v>
      </c>
      <c r="G42" s="8">
        <v>79</v>
      </c>
      <c r="H42" s="8">
        <v>15.398</v>
      </c>
      <c r="I42" s="8">
        <v>1630</v>
      </c>
      <c r="J42" s="8">
        <v>18.614000000000001</v>
      </c>
      <c r="K42" s="8">
        <v>44.356000000000002</v>
      </c>
      <c r="L42" s="8">
        <v>0.17299999999999999</v>
      </c>
      <c r="M42" s="18">
        <v>281.33999999999997</v>
      </c>
      <c r="N42" s="8">
        <v>1.9450000000000001</v>
      </c>
      <c r="O42" s="9">
        <v>3.5609999999999999</v>
      </c>
      <c r="P42" s="10">
        <v>79</v>
      </c>
      <c r="Q42" s="10">
        <v>18.614000000000001</v>
      </c>
      <c r="R42" s="10">
        <v>181.85300000000001</v>
      </c>
      <c r="S42" s="10">
        <v>99.486999999999995</v>
      </c>
      <c r="T42" s="10" t="b">
        <f t="shared" si="0"/>
        <v>1</v>
      </c>
      <c r="U42" s="10" t="b">
        <f t="shared" si="1"/>
        <v>1</v>
      </c>
      <c r="V42" s="11">
        <f>VLOOKUP(IF(J42&lt;10, 10, IF(J42&gt;50,50,J42)),'Over to underbark'!$A$3:$C$43,IF(A42="Scots pine",3,IF(A42="Sitka spruce",2, "error")),TRUE)/100</f>
        <v>0.84</v>
      </c>
      <c r="W42">
        <f t="shared" si="2"/>
        <v>137.48086800000002</v>
      </c>
      <c r="X42">
        <f t="shared" si="3"/>
        <v>75.212171999999995</v>
      </c>
      <c r="Y42">
        <f t="shared" si="4"/>
        <v>40.512960000000014</v>
      </c>
      <c r="Z42">
        <f t="shared" si="5"/>
        <v>116.3631429558</v>
      </c>
      <c r="AA42">
        <f t="shared" si="6"/>
        <v>35.379375480000007</v>
      </c>
      <c r="AB42">
        <f t="shared" si="7"/>
        <v>59.946362620200006</v>
      </c>
      <c r="AC42">
        <f t="shared" si="8"/>
        <v>41.517118943999996</v>
      </c>
      <c r="AD42">
        <f>LOOKUP($A42,'Over to underbark'!$A$47:$A$48,'Over to underbark'!E$47:E$48)*Z42</f>
        <v>48.872520041435997</v>
      </c>
      <c r="AE42">
        <f>LOOKUP($A42,'Over to underbark'!$A$47:$A$48,'Over to underbark'!E$47:E$48)*AA42</f>
        <v>14.859337701600003</v>
      </c>
      <c r="AF42">
        <f>LOOKUP($A42,'Over to underbark'!$A$47:$A$48,'Over to underbark'!E$47:E$48)*AB42</f>
        <v>25.177472300484002</v>
      </c>
      <c r="AG42">
        <f>LOOKUP($A42,'Over to underbark'!$A$47:$A$48,'Over to underbark'!E$47:E$48)*AC42</f>
        <v>17.437189956479997</v>
      </c>
      <c r="AH42" t="b">
        <f t="shared" si="9"/>
        <v>1</v>
      </c>
      <c r="AI42" t="b">
        <f t="shared" si="10"/>
        <v>1</v>
      </c>
      <c r="AJ42">
        <f>LOOKUP(A42,'Over to underbark'!$A$47:$A$48,'Over to underbark'!E$47:E$48)*M42</f>
        <v>118.16279999999999</v>
      </c>
      <c r="AK42" s="22">
        <f>LOOKUP(A42,'Over to underbark'!$A$47:$A$48,'Over to underbark'!$B$47:$B$48)*AJ42</f>
        <v>40.175351999999997</v>
      </c>
      <c r="AL42" s="22">
        <f>LOOKUP(A42,'Over to underbark'!$A$47:$A$48,'Over to underbark'!C$47:C$48)*AJ42</f>
        <v>41.356979999999993</v>
      </c>
      <c r="AM42" s="22">
        <f t="shared" si="11"/>
        <v>158.33815199999998</v>
      </c>
      <c r="AN42" s="36">
        <v>377</v>
      </c>
      <c r="AO42" s="23">
        <f t="shared" si="12"/>
        <v>316.67630399999996</v>
      </c>
      <c r="AQ42">
        <f t="shared" si="13"/>
        <v>0.67164179104477617</v>
      </c>
    </row>
    <row r="43" spans="1:43" x14ac:dyDescent="0.35">
      <c r="A43" t="s">
        <v>41</v>
      </c>
      <c r="B43">
        <v>4</v>
      </c>
      <c r="C43">
        <v>2</v>
      </c>
      <c r="D43" t="s">
        <v>42</v>
      </c>
      <c r="E43">
        <v>2</v>
      </c>
      <c r="F43">
        <v>1</v>
      </c>
      <c r="G43" s="8">
        <v>80</v>
      </c>
      <c r="H43" s="8">
        <v>15.51</v>
      </c>
      <c r="I43" s="8">
        <v>1620</v>
      </c>
      <c r="J43" s="8">
        <v>18.760000000000002</v>
      </c>
      <c r="K43" s="8">
        <v>44.779000000000003</v>
      </c>
      <c r="L43" s="8">
        <v>0.17699999999999999</v>
      </c>
      <c r="M43" s="18">
        <v>286.10000000000002</v>
      </c>
      <c r="N43" s="8">
        <v>2.0209999999999999</v>
      </c>
      <c r="O43" s="9">
        <v>3.5760000000000001</v>
      </c>
      <c r="P43" s="10">
        <v>80</v>
      </c>
      <c r="Q43" s="10">
        <v>18.760000000000002</v>
      </c>
      <c r="R43" s="10">
        <v>182.49700000000001</v>
      </c>
      <c r="S43" s="10">
        <v>103.60299999999999</v>
      </c>
      <c r="T43" s="10" t="b">
        <f t="shared" si="0"/>
        <v>1</v>
      </c>
      <c r="U43" s="10" t="b">
        <f t="shared" si="1"/>
        <v>1</v>
      </c>
      <c r="V43" s="11">
        <f>VLOOKUP(IF(J43&lt;10, 10, IF(J43&gt;50,50,J43)),'Over to underbark'!$A$3:$C$43,IF(A43="Scots pine",3,IF(A43="Sitka spruce",2, "error")),TRUE)/100</f>
        <v>0.84</v>
      </c>
      <c r="W43">
        <f t="shared" si="2"/>
        <v>137.96773200000001</v>
      </c>
      <c r="X43">
        <f t="shared" si="3"/>
        <v>78.32386799999999</v>
      </c>
      <c r="Y43">
        <f t="shared" si="4"/>
        <v>41.198400000000007</v>
      </c>
      <c r="Z43">
        <f t="shared" si="5"/>
        <v>117.9652541742</v>
      </c>
      <c r="AA43">
        <f t="shared" si="6"/>
        <v>35.775650520000006</v>
      </c>
      <c r="AB43">
        <f t="shared" si="7"/>
        <v>60.514320169800001</v>
      </c>
      <c r="AC43">
        <f t="shared" si="8"/>
        <v>43.234775135999996</v>
      </c>
      <c r="AD43">
        <f>LOOKUP($A43,'Over to underbark'!$A$47:$A$48,'Over to underbark'!E$47:E$48)*Z43</f>
        <v>49.545406753163995</v>
      </c>
      <c r="AE43">
        <f>LOOKUP($A43,'Over to underbark'!$A$47:$A$48,'Over to underbark'!E$47:E$48)*AA43</f>
        <v>15.025773218400001</v>
      </c>
      <c r="AF43">
        <f>LOOKUP($A43,'Over to underbark'!$A$47:$A$48,'Over to underbark'!E$47:E$48)*AB43</f>
        <v>25.416014471316</v>
      </c>
      <c r="AG43">
        <f>LOOKUP($A43,'Over to underbark'!$A$47:$A$48,'Over to underbark'!E$47:E$48)*AC43</f>
        <v>18.158605557119998</v>
      </c>
      <c r="AH43" t="b">
        <f t="shared" si="9"/>
        <v>1</v>
      </c>
      <c r="AI43" t="b">
        <f t="shared" si="10"/>
        <v>1</v>
      </c>
      <c r="AJ43">
        <f>LOOKUP(A43,'Over to underbark'!$A$47:$A$48,'Over to underbark'!E$47:E$48)*M43</f>
        <v>120.16200000000001</v>
      </c>
      <c r="AK43" s="22">
        <f>LOOKUP(A43,'Over to underbark'!$A$47:$A$48,'Over to underbark'!$B$47:$B$48)*AJ43</f>
        <v>40.855080000000008</v>
      </c>
      <c r="AL43" s="22">
        <f>LOOKUP(A43,'Over to underbark'!$A$47:$A$48,'Over to underbark'!C$47:C$48)*AJ43</f>
        <v>42.056699999999999</v>
      </c>
      <c r="AM43" s="22">
        <f t="shared" si="11"/>
        <v>161.01708000000002</v>
      </c>
      <c r="AN43" s="36">
        <v>383.37</v>
      </c>
      <c r="AO43" s="23">
        <f t="shared" si="12"/>
        <v>322.03416000000004</v>
      </c>
      <c r="AQ43">
        <f t="shared" si="13"/>
        <v>0.67164179104477595</v>
      </c>
    </row>
    <row r="44" spans="1:43" x14ac:dyDescent="0.35">
      <c r="A44" t="s">
        <v>41</v>
      </c>
      <c r="B44">
        <v>4</v>
      </c>
      <c r="C44">
        <v>2</v>
      </c>
      <c r="D44" t="s">
        <v>42</v>
      </c>
      <c r="E44">
        <v>2</v>
      </c>
      <c r="F44">
        <v>1</v>
      </c>
      <c r="G44" s="8">
        <v>81</v>
      </c>
      <c r="H44" s="8">
        <v>15.608000000000001</v>
      </c>
      <c r="I44" s="8">
        <v>1611</v>
      </c>
      <c r="J44" s="8">
        <v>18.891999999999999</v>
      </c>
      <c r="K44" s="8">
        <v>45.158999999999999</v>
      </c>
      <c r="L44" s="8">
        <v>0.18</v>
      </c>
      <c r="M44" s="18">
        <v>290.45999999999998</v>
      </c>
      <c r="N44" s="8">
        <v>2.1230000000000002</v>
      </c>
      <c r="O44" s="9">
        <v>3.5859999999999999</v>
      </c>
      <c r="P44" s="10">
        <v>81</v>
      </c>
      <c r="Q44" s="10">
        <v>18.891999999999999</v>
      </c>
      <c r="R44" s="10">
        <v>183.05699999999999</v>
      </c>
      <c r="S44" s="10">
        <v>107.40300000000001</v>
      </c>
      <c r="T44" s="10" t="b">
        <f t="shared" si="0"/>
        <v>1</v>
      </c>
      <c r="U44" s="10" t="b">
        <f t="shared" si="1"/>
        <v>1</v>
      </c>
      <c r="V44" s="11">
        <f>VLOOKUP(IF(J44&lt;10, 10, IF(J44&gt;50,50,J44)),'Over to underbark'!$A$3:$C$43,IF(A44="Scots pine",3,IF(A44="Sitka spruce",2, "error")),TRUE)/100</f>
        <v>0.84</v>
      </c>
      <c r="W44">
        <f t="shared" si="2"/>
        <v>138.39109199999999</v>
      </c>
      <c r="X44">
        <f t="shared" si="3"/>
        <v>81.196668000000003</v>
      </c>
      <c r="Y44">
        <f t="shared" si="4"/>
        <v>41.826240000000006</v>
      </c>
      <c r="Z44">
        <f t="shared" si="5"/>
        <v>119.42823067019998</v>
      </c>
      <c r="AA44">
        <f t="shared" si="6"/>
        <v>36.13614012</v>
      </c>
      <c r="AB44">
        <f t="shared" si="7"/>
        <v>61.029068473799988</v>
      </c>
      <c r="AC44">
        <f t="shared" si="8"/>
        <v>44.820560735999997</v>
      </c>
      <c r="AD44">
        <f>LOOKUP($A44,'Over to underbark'!$A$47:$A$48,'Over to underbark'!E$47:E$48)*Z44</f>
        <v>50.159856881483989</v>
      </c>
      <c r="AE44">
        <f>LOOKUP($A44,'Over to underbark'!$A$47:$A$48,'Over to underbark'!E$47:E$48)*AA44</f>
        <v>15.177178850399999</v>
      </c>
      <c r="AF44">
        <f>LOOKUP($A44,'Over to underbark'!$A$47:$A$48,'Over to underbark'!E$47:E$48)*AB44</f>
        <v>25.632208758995993</v>
      </c>
      <c r="AG44">
        <f>LOOKUP($A44,'Over to underbark'!$A$47:$A$48,'Over to underbark'!E$47:E$48)*AC44</f>
        <v>18.824635509119997</v>
      </c>
      <c r="AH44" t="b">
        <f t="shared" si="9"/>
        <v>1</v>
      </c>
      <c r="AI44" t="b">
        <f t="shared" si="10"/>
        <v>1</v>
      </c>
      <c r="AJ44">
        <f>LOOKUP(A44,'Over to underbark'!$A$47:$A$48,'Over to underbark'!E$47:E$48)*M44</f>
        <v>121.99319999999999</v>
      </c>
      <c r="AK44" s="22">
        <f>LOOKUP(A44,'Over to underbark'!$A$47:$A$48,'Over to underbark'!$B$47:$B$48)*AJ44</f>
        <v>41.477688000000001</v>
      </c>
      <c r="AL44" s="22">
        <f>LOOKUP(A44,'Over to underbark'!$A$47:$A$48,'Over to underbark'!C$47:C$48)*AJ44</f>
        <v>42.697619999999993</v>
      </c>
      <c r="AM44" s="22">
        <f t="shared" si="11"/>
        <v>163.470888</v>
      </c>
      <c r="AN44" s="36">
        <v>389.22</v>
      </c>
      <c r="AO44" s="23">
        <f t="shared" si="12"/>
        <v>326.941776</v>
      </c>
      <c r="AQ44">
        <f t="shared" si="13"/>
        <v>0.67164179104477606</v>
      </c>
    </row>
    <row r="45" spans="1:43" x14ac:dyDescent="0.35">
      <c r="A45" t="s">
        <v>41</v>
      </c>
      <c r="B45">
        <v>4</v>
      </c>
      <c r="C45">
        <v>2</v>
      </c>
      <c r="D45" t="s">
        <v>42</v>
      </c>
      <c r="E45">
        <v>2</v>
      </c>
      <c r="F45">
        <v>1</v>
      </c>
      <c r="G45" s="8">
        <v>82</v>
      </c>
      <c r="H45" s="8">
        <v>15.706</v>
      </c>
      <c r="I45" s="8">
        <v>1602</v>
      </c>
      <c r="J45" s="8">
        <v>19.024999999999999</v>
      </c>
      <c r="K45" s="8">
        <v>45.54</v>
      </c>
      <c r="L45" s="8">
        <v>0.184</v>
      </c>
      <c r="M45" s="18">
        <v>294.82</v>
      </c>
      <c r="N45" s="8">
        <v>2.222</v>
      </c>
      <c r="O45" s="9">
        <v>3.5950000000000002</v>
      </c>
      <c r="P45" s="10">
        <v>82</v>
      </c>
      <c r="Q45" s="10">
        <v>19.024999999999999</v>
      </c>
      <c r="R45" s="10">
        <v>183.54599999999999</v>
      </c>
      <c r="S45" s="10">
        <v>111.274</v>
      </c>
      <c r="T45" s="10" t="b">
        <f t="shared" si="0"/>
        <v>1</v>
      </c>
      <c r="U45" s="10" t="b">
        <f t="shared" si="1"/>
        <v>1</v>
      </c>
      <c r="V45" s="11">
        <f>VLOOKUP(IF(J45&lt;10, 10, IF(J45&gt;50,50,J45)),'Over to underbark'!$A$3:$C$43,IF(A45="Scots pine",3,IF(A45="Sitka spruce",2, "error")),TRUE)/100</f>
        <v>0.84</v>
      </c>
      <c r="W45">
        <f t="shared" si="2"/>
        <v>138.76077599999999</v>
      </c>
      <c r="X45">
        <f t="shared" si="3"/>
        <v>84.123143999999996</v>
      </c>
      <c r="Y45">
        <f t="shared" si="4"/>
        <v>42.454080000000012</v>
      </c>
      <c r="Z45">
        <f t="shared" si="5"/>
        <v>120.88050685560002</v>
      </c>
      <c r="AA45">
        <f t="shared" si="6"/>
        <v>36.490725360000006</v>
      </c>
      <c r="AB45">
        <f t="shared" si="7"/>
        <v>61.530792296399994</v>
      </c>
      <c r="AC45">
        <f t="shared" si="8"/>
        <v>46.435975487999997</v>
      </c>
      <c r="AD45">
        <f>LOOKUP($A45,'Over to underbark'!$A$47:$A$48,'Over to underbark'!E$47:E$48)*Z45</f>
        <v>50.769812879352003</v>
      </c>
      <c r="AE45">
        <f>LOOKUP($A45,'Over to underbark'!$A$47:$A$48,'Over to underbark'!E$47:E$48)*AA45</f>
        <v>15.326104651200001</v>
      </c>
      <c r="AF45">
        <f>LOOKUP($A45,'Over to underbark'!$A$47:$A$48,'Over to underbark'!E$47:E$48)*AB45</f>
        <v>25.842932764487998</v>
      </c>
      <c r="AG45">
        <f>LOOKUP($A45,'Over to underbark'!$A$47:$A$48,'Over to underbark'!E$47:E$48)*AC45</f>
        <v>19.503109704959996</v>
      </c>
      <c r="AH45" t="b">
        <f t="shared" si="9"/>
        <v>1</v>
      </c>
      <c r="AI45" t="b">
        <f t="shared" si="10"/>
        <v>1</v>
      </c>
      <c r="AJ45">
        <f>LOOKUP(A45,'Over to underbark'!$A$47:$A$48,'Over to underbark'!E$47:E$48)*M45</f>
        <v>123.8244</v>
      </c>
      <c r="AK45" s="22">
        <f>LOOKUP(A45,'Over to underbark'!$A$47:$A$48,'Over to underbark'!$B$47:$B$48)*AJ45</f>
        <v>42.100296</v>
      </c>
      <c r="AL45" s="22">
        <f>LOOKUP(A45,'Over to underbark'!$A$47:$A$48,'Over to underbark'!C$47:C$48)*AJ45</f>
        <v>43.338539999999995</v>
      </c>
      <c r="AM45" s="22">
        <f t="shared" si="11"/>
        <v>165.92469599999998</v>
      </c>
      <c r="AN45" s="36">
        <v>395.06</v>
      </c>
      <c r="AO45" s="23">
        <f t="shared" si="12"/>
        <v>331.84939199999997</v>
      </c>
      <c r="AQ45">
        <f t="shared" si="13"/>
        <v>0.67164179104477617</v>
      </c>
    </row>
    <row r="46" spans="1:43" x14ac:dyDescent="0.35">
      <c r="A46" t="s">
        <v>41</v>
      </c>
      <c r="B46">
        <v>4</v>
      </c>
      <c r="C46">
        <v>2</v>
      </c>
      <c r="D46" t="s">
        <v>42</v>
      </c>
      <c r="E46">
        <v>2</v>
      </c>
      <c r="F46">
        <v>1</v>
      </c>
      <c r="G46" s="8">
        <v>83</v>
      </c>
      <c r="H46" s="8">
        <v>15.804</v>
      </c>
      <c r="I46" s="8">
        <v>1593</v>
      </c>
      <c r="J46" s="8">
        <v>19.158000000000001</v>
      </c>
      <c r="K46" s="8">
        <v>45.92</v>
      </c>
      <c r="L46" s="8">
        <v>0.188</v>
      </c>
      <c r="M46" s="18">
        <v>299.18</v>
      </c>
      <c r="N46" s="8">
        <v>2.3180000000000001</v>
      </c>
      <c r="O46" s="9">
        <v>3.605</v>
      </c>
      <c r="P46" s="10">
        <v>83</v>
      </c>
      <c r="Q46" s="10">
        <v>19.158000000000001</v>
      </c>
      <c r="R46" s="10">
        <v>183.98</v>
      </c>
      <c r="S46" s="10">
        <v>115.2</v>
      </c>
      <c r="T46" s="10" t="b">
        <f t="shared" si="0"/>
        <v>1</v>
      </c>
      <c r="U46" s="10" t="b">
        <f t="shared" si="1"/>
        <v>1</v>
      </c>
      <c r="V46" s="11">
        <f>VLOOKUP(IF(J46&lt;10, 10, IF(J46&gt;50,50,J46)),'Over to underbark'!$A$3:$C$43,IF(A46="Scots pine",3,IF(A46="Sitka spruce",2, "error")),TRUE)/100</f>
        <v>0.84</v>
      </c>
      <c r="W46">
        <f t="shared" si="2"/>
        <v>139.08887999999999</v>
      </c>
      <c r="X46">
        <f t="shared" si="3"/>
        <v>87.091200000000001</v>
      </c>
      <c r="Y46">
        <f t="shared" si="4"/>
        <v>43.081920000000011</v>
      </c>
      <c r="Z46">
        <f t="shared" si="5"/>
        <v>122.32449406800001</v>
      </c>
      <c r="AA46">
        <f t="shared" si="6"/>
        <v>36.840736800000002</v>
      </c>
      <c r="AB46">
        <f t="shared" si="7"/>
        <v>62.022426732</v>
      </c>
      <c r="AC46">
        <f t="shared" si="8"/>
        <v>48.074342399999999</v>
      </c>
      <c r="AD46">
        <f>LOOKUP($A46,'Over to underbark'!$A$47:$A$48,'Over to underbark'!E$47:E$48)*Z46</f>
        <v>51.376287508560004</v>
      </c>
      <c r="AE46">
        <f>LOOKUP($A46,'Over to underbark'!$A$47:$A$48,'Over to underbark'!E$47:E$48)*AA46</f>
        <v>15.473109456</v>
      </c>
      <c r="AF46">
        <f>LOOKUP($A46,'Over to underbark'!$A$47:$A$48,'Over to underbark'!E$47:E$48)*AB46</f>
        <v>26.049419227439998</v>
      </c>
      <c r="AG46">
        <f>LOOKUP($A46,'Over to underbark'!$A$47:$A$48,'Over to underbark'!E$47:E$48)*AC46</f>
        <v>20.191223808</v>
      </c>
      <c r="AH46" t="b">
        <f t="shared" si="9"/>
        <v>1</v>
      </c>
      <c r="AI46" t="b">
        <f t="shared" si="10"/>
        <v>1</v>
      </c>
      <c r="AJ46">
        <f>LOOKUP(A46,'Over to underbark'!$A$47:$A$48,'Over to underbark'!E$47:E$48)*M46</f>
        <v>125.65559999999999</v>
      </c>
      <c r="AK46" s="22">
        <f>LOOKUP(A46,'Over to underbark'!$A$47:$A$48,'Over to underbark'!$B$47:$B$48)*AJ46</f>
        <v>42.722904</v>
      </c>
      <c r="AL46" s="22">
        <f>LOOKUP(A46,'Over to underbark'!$A$47:$A$48,'Over to underbark'!C$47:C$48)*AJ46</f>
        <v>43.979459999999996</v>
      </c>
      <c r="AM46" s="22">
        <f t="shared" si="11"/>
        <v>168.37850399999999</v>
      </c>
      <c r="AN46" s="36">
        <v>400.9</v>
      </c>
      <c r="AO46" s="23">
        <f t="shared" si="12"/>
        <v>336.75700799999998</v>
      </c>
      <c r="AQ46">
        <f t="shared" si="13"/>
        <v>0.67164179104477617</v>
      </c>
    </row>
    <row r="47" spans="1:43" x14ac:dyDescent="0.35">
      <c r="A47" t="s">
        <v>41</v>
      </c>
      <c r="B47">
        <v>4</v>
      </c>
      <c r="C47">
        <v>2</v>
      </c>
      <c r="D47" t="s">
        <v>42</v>
      </c>
      <c r="E47">
        <v>2</v>
      </c>
      <c r="F47">
        <v>1</v>
      </c>
      <c r="G47" s="8">
        <v>84</v>
      </c>
      <c r="H47" s="8">
        <v>15.901999999999999</v>
      </c>
      <c r="I47" s="8">
        <v>1584</v>
      </c>
      <c r="J47" s="8">
        <v>19.292000000000002</v>
      </c>
      <c r="K47" s="8">
        <v>46.301000000000002</v>
      </c>
      <c r="L47" s="8">
        <v>0.192</v>
      </c>
      <c r="M47" s="18">
        <v>303.54000000000002</v>
      </c>
      <c r="N47" s="8">
        <v>2.411</v>
      </c>
      <c r="O47" s="9">
        <v>3.6139999999999999</v>
      </c>
      <c r="P47" s="10">
        <v>84</v>
      </c>
      <c r="Q47" s="10">
        <v>19.292000000000002</v>
      </c>
      <c r="R47" s="10">
        <v>184.34399999999999</v>
      </c>
      <c r="S47" s="10">
        <v>119.196</v>
      </c>
      <c r="T47" s="10" t="b">
        <f t="shared" si="0"/>
        <v>1</v>
      </c>
      <c r="U47" s="10" t="b">
        <f t="shared" si="1"/>
        <v>1</v>
      </c>
      <c r="V47" s="11">
        <f>VLOOKUP(IF(J47&lt;10, 10, IF(J47&gt;50,50,J47)),'Over to underbark'!$A$3:$C$43,IF(A47="Scots pine",3,IF(A47="Sitka spruce",2, "error")),TRUE)/100</f>
        <v>0.84</v>
      </c>
      <c r="W47">
        <f t="shared" si="2"/>
        <v>139.36406400000001</v>
      </c>
      <c r="X47">
        <f t="shared" si="3"/>
        <v>90.112175999999991</v>
      </c>
      <c r="Y47">
        <f t="shared" si="4"/>
        <v>43.709760000000003</v>
      </c>
      <c r="Z47">
        <f t="shared" si="5"/>
        <v>123.7579316784</v>
      </c>
      <c r="AA47">
        <f t="shared" si="6"/>
        <v>37.184927040000005</v>
      </c>
      <c r="AB47">
        <f t="shared" si="7"/>
        <v>62.5012201296</v>
      </c>
      <c r="AC47">
        <f t="shared" si="8"/>
        <v>49.741921151999996</v>
      </c>
      <c r="AD47">
        <f>LOOKUP($A47,'Over to underbark'!$A$47:$A$48,'Over to underbark'!E$47:E$48)*Z47</f>
        <v>51.978331304927998</v>
      </c>
      <c r="AE47">
        <f>LOOKUP($A47,'Over to underbark'!$A$47:$A$48,'Over to underbark'!E$47:E$48)*AA47</f>
        <v>15.617669356800002</v>
      </c>
      <c r="AF47">
        <f>LOOKUP($A47,'Over to underbark'!$A$47:$A$48,'Over to underbark'!E$47:E$48)*AB47</f>
        <v>26.250512454431998</v>
      </c>
      <c r="AG47">
        <f>LOOKUP($A47,'Over to underbark'!$A$47:$A$48,'Over to underbark'!E$47:E$48)*AC47</f>
        <v>20.891606883839998</v>
      </c>
      <c r="AH47" t="b">
        <f t="shared" si="9"/>
        <v>1</v>
      </c>
      <c r="AI47" t="b">
        <f t="shared" si="10"/>
        <v>1</v>
      </c>
      <c r="AJ47">
        <f>LOOKUP(A47,'Over to underbark'!$A$47:$A$48,'Over to underbark'!E$47:E$48)*M47</f>
        <v>127.4868</v>
      </c>
      <c r="AK47" s="22">
        <f>LOOKUP(A47,'Over to underbark'!$A$47:$A$48,'Over to underbark'!$B$47:$B$48)*AJ47</f>
        <v>43.345512000000006</v>
      </c>
      <c r="AL47" s="22">
        <f>LOOKUP(A47,'Over to underbark'!$A$47:$A$48,'Over to underbark'!C$47:C$48)*AJ47</f>
        <v>44.620379999999997</v>
      </c>
      <c r="AM47" s="22">
        <f t="shared" si="11"/>
        <v>170.832312</v>
      </c>
      <c r="AN47" s="36">
        <v>406.74</v>
      </c>
      <c r="AO47" s="23">
        <f t="shared" si="12"/>
        <v>341.664624</v>
      </c>
      <c r="AQ47">
        <f t="shared" si="13"/>
        <v>0.67164179104477606</v>
      </c>
    </row>
    <row r="48" spans="1:43" x14ac:dyDescent="0.35">
      <c r="A48" t="s">
        <v>41</v>
      </c>
      <c r="B48">
        <v>4</v>
      </c>
      <c r="C48">
        <v>2</v>
      </c>
      <c r="D48" t="s">
        <v>42</v>
      </c>
      <c r="E48">
        <v>2</v>
      </c>
      <c r="F48">
        <v>1</v>
      </c>
      <c r="G48" s="8">
        <v>85</v>
      </c>
      <c r="H48" s="8">
        <v>16</v>
      </c>
      <c r="I48" s="8">
        <v>1576</v>
      </c>
      <c r="J48" s="8">
        <v>19.420000000000002</v>
      </c>
      <c r="K48" s="8">
        <v>46.680999999999997</v>
      </c>
      <c r="L48" s="8">
        <v>0.19500000000000001</v>
      </c>
      <c r="M48" s="18">
        <v>307.89999999999998</v>
      </c>
      <c r="N48" s="8">
        <v>2.5019999999999998</v>
      </c>
      <c r="O48" s="9">
        <v>3.6219999999999999</v>
      </c>
      <c r="P48" s="10">
        <v>85</v>
      </c>
      <c r="Q48" s="10">
        <v>19.420000000000002</v>
      </c>
      <c r="R48" s="10">
        <v>184.761</v>
      </c>
      <c r="S48" s="10">
        <v>123.139</v>
      </c>
      <c r="T48" s="10" t="b">
        <f t="shared" si="0"/>
        <v>1</v>
      </c>
      <c r="U48" s="10" t="b">
        <f t="shared" si="1"/>
        <v>1</v>
      </c>
      <c r="V48" s="11">
        <f>VLOOKUP(IF(J48&lt;10, 10, IF(J48&gt;50,50,J48)),'Over to underbark'!$A$3:$C$43,IF(A48="Scots pine",3,IF(A48="Sitka spruce",2, "error")),TRUE)/100</f>
        <v>0.84</v>
      </c>
      <c r="W48">
        <f t="shared" si="2"/>
        <v>139.679316</v>
      </c>
      <c r="X48">
        <f t="shared" si="3"/>
        <v>93.09308399999999</v>
      </c>
      <c r="Y48">
        <f t="shared" si="4"/>
        <v>44.337600000000009</v>
      </c>
      <c r="Z48">
        <f t="shared" si="5"/>
        <v>125.19935684460002</v>
      </c>
      <c r="AA48">
        <f t="shared" si="6"/>
        <v>37.533524760000006</v>
      </c>
      <c r="AB48">
        <f t="shared" si="7"/>
        <v>62.989736027399992</v>
      </c>
      <c r="AC48">
        <f t="shared" si="8"/>
        <v>51.387382367999997</v>
      </c>
      <c r="AD48">
        <f>LOOKUP($A48,'Over to underbark'!$A$47:$A$48,'Over to underbark'!E$47:E$48)*Z48</f>
        <v>52.583729874732008</v>
      </c>
      <c r="AE48">
        <f>LOOKUP($A48,'Over to underbark'!$A$47:$A$48,'Over to underbark'!E$47:E$48)*AA48</f>
        <v>15.764080399200003</v>
      </c>
      <c r="AF48">
        <f>LOOKUP($A48,'Over to underbark'!$A$47:$A$48,'Over to underbark'!E$47:E$48)*AB48</f>
        <v>26.455689131507995</v>
      </c>
      <c r="AG48">
        <f>LOOKUP($A48,'Over to underbark'!$A$47:$A$48,'Over to underbark'!E$47:E$48)*AC48</f>
        <v>21.582700594559999</v>
      </c>
      <c r="AH48" t="b">
        <f t="shared" si="9"/>
        <v>1</v>
      </c>
      <c r="AI48" t="b">
        <f t="shared" si="10"/>
        <v>1</v>
      </c>
      <c r="AJ48">
        <f>LOOKUP(A48,'Over to underbark'!$A$47:$A$48,'Over to underbark'!E$47:E$48)*M48</f>
        <v>129.31799999999998</v>
      </c>
      <c r="AK48" s="22">
        <f>LOOKUP(A48,'Over to underbark'!$A$47:$A$48,'Over to underbark'!$B$47:$B$48)*AJ48</f>
        <v>43.968119999999999</v>
      </c>
      <c r="AL48" s="22">
        <f>LOOKUP(A48,'Over to underbark'!$A$47:$A$48,'Over to underbark'!C$47:C$48)*AJ48</f>
        <v>45.261299999999991</v>
      </c>
      <c r="AM48" s="22">
        <f t="shared" si="11"/>
        <v>173.28611999999998</v>
      </c>
      <c r="AN48" s="36">
        <v>412.59</v>
      </c>
      <c r="AO48" s="23">
        <f t="shared" si="12"/>
        <v>346.57223999999997</v>
      </c>
      <c r="AQ48">
        <f t="shared" si="13"/>
        <v>0.67164179104477617</v>
      </c>
    </row>
    <row r="49" spans="1:43" x14ac:dyDescent="0.35">
      <c r="A49" t="s">
        <v>41</v>
      </c>
      <c r="B49">
        <v>4</v>
      </c>
      <c r="C49">
        <v>2</v>
      </c>
      <c r="D49" t="s">
        <v>42</v>
      </c>
      <c r="E49">
        <v>2</v>
      </c>
      <c r="F49">
        <v>1</v>
      </c>
      <c r="G49" s="8">
        <v>86</v>
      </c>
      <c r="H49" s="8">
        <v>16.088000000000001</v>
      </c>
      <c r="I49" s="8">
        <v>1568</v>
      </c>
      <c r="J49" s="8">
        <v>19.545000000000002</v>
      </c>
      <c r="K49" s="8">
        <v>47.043999999999997</v>
      </c>
      <c r="L49" s="8">
        <v>0.19900000000000001</v>
      </c>
      <c r="M49" s="18">
        <v>311.95999999999998</v>
      </c>
      <c r="N49" s="8">
        <v>2.61</v>
      </c>
      <c r="O49" s="9">
        <v>3.6269999999999998</v>
      </c>
      <c r="P49" s="10">
        <v>86</v>
      </c>
      <c r="Q49" s="10">
        <v>19.545000000000002</v>
      </c>
      <c r="R49" s="10">
        <v>185.00200000000001</v>
      </c>
      <c r="S49" s="10">
        <v>126.958</v>
      </c>
      <c r="T49" s="10" t="b">
        <f t="shared" si="0"/>
        <v>1</v>
      </c>
      <c r="U49" s="10" t="b">
        <f t="shared" si="1"/>
        <v>1</v>
      </c>
      <c r="V49" s="11">
        <f>VLOOKUP(IF(J49&lt;10, 10, IF(J49&gt;50,50,J49)),'Over to underbark'!$A$3:$C$43,IF(A49="Scots pine",3,IF(A49="Sitka spruce",2, "error")),TRUE)/100</f>
        <v>0.84</v>
      </c>
      <c r="W49">
        <f t="shared" si="2"/>
        <v>139.861512</v>
      </c>
      <c r="X49">
        <f t="shared" si="3"/>
        <v>95.980248000000003</v>
      </c>
      <c r="Y49">
        <f t="shared" si="4"/>
        <v>44.922240000000016</v>
      </c>
      <c r="Z49">
        <f t="shared" si="5"/>
        <v>126.51940089720001</v>
      </c>
      <c r="AA49">
        <f t="shared" si="6"/>
        <v>37.845886320000005</v>
      </c>
      <c r="AB49">
        <f t="shared" si="7"/>
        <v>63.4176158868</v>
      </c>
      <c r="AC49">
        <f t="shared" si="8"/>
        <v>52.981096896000004</v>
      </c>
      <c r="AD49">
        <f>LOOKUP($A49,'Over to underbark'!$A$47:$A$48,'Over to underbark'!E$47:E$48)*Z49</f>
        <v>53.138148376824006</v>
      </c>
      <c r="AE49">
        <f>LOOKUP($A49,'Over to underbark'!$A$47:$A$48,'Over to underbark'!E$47:E$48)*AA49</f>
        <v>15.895272254400002</v>
      </c>
      <c r="AF49">
        <f>LOOKUP($A49,'Over to underbark'!$A$47:$A$48,'Over to underbark'!E$47:E$48)*AB49</f>
        <v>26.635398672455999</v>
      </c>
      <c r="AG49">
        <f>LOOKUP($A49,'Over to underbark'!$A$47:$A$48,'Over to underbark'!E$47:E$48)*AC49</f>
        <v>22.252060696320001</v>
      </c>
      <c r="AH49" t="b">
        <f t="shared" si="9"/>
        <v>1</v>
      </c>
      <c r="AI49" t="b">
        <f t="shared" si="10"/>
        <v>1</v>
      </c>
      <c r="AJ49">
        <f>LOOKUP(A49,'Over to underbark'!$A$47:$A$48,'Over to underbark'!E$47:E$48)*M49</f>
        <v>131.02319999999997</v>
      </c>
      <c r="AK49" s="22">
        <f>LOOKUP(A49,'Over to underbark'!$A$47:$A$48,'Over to underbark'!$B$47:$B$48)*AJ49</f>
        <v>44.547887999999993</v>
      </c>
      <c r="AL49" s="22">
        <f>LOOKUP(A49,'Over to underbark'!$A$47:$A$48,'Over to underbark'!C$47:C$48)*AJ49</f>
        <v>45.858119999999985</v>
      </c>
      <c r="AM49" s="22">
        <f t="shared" si="11"/>
        <v>175.57108799999997</v>
      </c>
      <c r="AN49" s="36">
        <v>418.03</v>
      </c>
      <c r="AO49" s="23">
        <f t="shared" si="12"/>
        <v>351.14217599999995</v>
      </c>
      <c r="AQ49">
        <f t="shared" si="13"/>
        <v>0.67164179104477628</v>
      </c>
    </row>
    <row r="50" spans="1:43" x14ac:dyDescent="0.35">
      <c r="A50" t="s">
        <v>41</v>
      </c>
      <c r="B50">
        <v>4</v>
      </c>
      <c r="C50">
        <v>2</v>
      </c>
      <c r="D50" t="s">
        <v>42</v>
      </c>
      <c r="E50">
        <v>2</v>
      </c>
      <c r="F50">
        <v>1</v>
      </c>
      <c r="G50" s="8">
        <v>87</v>
      </c>
      <c r="H50" s="8">
        <v>16.175999999999998</v>
      </c>
      <c r="I50" s="8">
        <v>1560</v>
      </c>
      <c r="J50" s="8">
        <v>19.670999999999999</v>
      </c>
      <c r="K50" s="8">
        <v>47.406999999999996</v>
      </c>
      <c r="L50" s="8">
        <v>0.20300000000000001</v>
      </c>
      <c r="M50" s="18">
        <v>316.02</v>
      </c>
      <c r="N50" s="8">
        <v>2.7149999999999999</v>
      </c>
      <c r="O50" s="9">
        <v>3.6320000000000001</v>
      </c>
      <c r="P50" s="10">
        <v>87</v>
      </c>
      <c r="Q50" s="10">
        <v>19.670999999999999</v>
      </c>
      <c r="R50" s="10">
        <v>185.18199999999999</v>
      </c>
      <c r="S50" s="10">
        <v>130.83799999999999</v>
      </c>
      <c r="T50" s="10" t="b">
        <f t="shared" si="0"/>
        <v>1</v>
      </c>
      <c r="U50" s="10" t="b">
        <f t="shared" si="1"/>
        <v>1</v>
      </c>
      <c r="V50" s="11">
        <f>VLOOKUP(IF(J50&lt;10, 10, IF(J50&gt;50,50,J50)),'Over to underbark'!$A$3:$C$43,IF(A50="Scots pine",3,IF(A50="Sitka spruce",2, "error")),TRUE)/100</f>
        <v>0.84</v>
      </c>
      <c r="W50">
        <f t="shared" si="2"/>
        <v>139.99759199999997</v>
      </c>
      <c r="X50">
        <f t="shared" si="3"/>
        <v>98.913527999999999</v>
      </c>
      <c r="Y50">
        <f t="shared" si="4"/>
        <v>45.50688000000001</v>
      </c>
      <c r="Z50">
        <f t="shared" si="5"/>
        <v>127.83025172520001</v>
      </c>
      <c r="AA50">
        <f t="shared" si="6"/>
        <v>38.15317512</v>
      </c>
      <c r="AB50">
        <f t="shared" si="7"/>
        <v>63.834305698799987</v>
      </c>
      <c r="AC50">
        <f t="shared" si="8"/>
        <v>54.600267456000005</v>
      </c>
      <c r="AD50">
        <f>LOOKUP($A50,'Over to underbark'!$A$47:$A$48,'Over to underbark'!E$47:E$48)*Z50</f>
        <v>53.688705724584004</v>
      </c>
      <c r="AE50">
        <f>LOOKUP($A50,'Over to underbark'!$A$47:$A$48,'Over to underbark'!E$47:E$48)*AA50</f>
        <v>16.024333550399998</v>
      </c>
      <c r="AF50">
        <f>LOOKUP($A50,'Over to underbark'!$A$47:$A$48,'Over to underbark'!E$47:E$48)*AB50</f>
        <v>26.810408393495994</v>
      </c>
      <c r="AG50">
        <f>LOOKUP($A50,'Over to underbark'!$A$47:$A$48,'Over to underbark'!E$47:E$48)*AC50</f>
        <v>22.932112331520003</v>
      </c>
      <c r="AH50" t="b">
        <f t="shared" si="9"/>
        <v>1</v>
      </c>
      <c r="AI50" t="b">
        <f t="shared" si="10"/>
        <v>1</v>
      </c>
      <c r="AJ50">
        <f>LOOKUP(A50,'Over to underbark'!$A$47:$A$48,'Over to underbark'!E$47:E$48)*M50</f>
        <v>132.72839999999999</v>
      </c>
      <c r="AK50" s="22">
        <f>LOOKUP(A50,'Over to underbark'!$A$47:$A$48,'Over to underbark'!$B$47:$B$48)*AJ50</f>
        <v>45.127656000000002</v>
      </c>
      <c r="AL50" s="22">
        <f>LOOKUP(A50,'Over to underbark'!$A$47:$A$48,'Over to underbark'!C$47:C$48)*AJ50</f>
        <v>46.454939999999993</v>
      </c>
      <c r="AM50" s="22">
        <f t="shared" si="11"/>
        <v>177.856056</v>
      </c>
      <c r="AN50" s="36">
        <v>423.47</v>
      </c>
      <c r="AO50" s="23">
        <f t="shared" si="12"/>
        <v>355.71211199999999</v>
      </c>
      <c r="AQ50">
        <f t="shared" si="13"/>
        <v>0.67164179104477606</v>
      </c>
    </row>
    <row r="51" spans="1:43" x14ac:dyDescent="0.35">
      <c r="A51" t="s">
        <v>41</v>
      </c>
      <c r="B51">
        <v>4</v>
      </c>
      <c r="C51">
        <v>2</v>
      </c>
      <c r="D51" t="s">
        <v>42</v>
      </c>
      <c r="E51">
        <v>2</v>
      </c>
      <c r="F51">
        <v>1</v>
      </c>
      <c r="G51" s="8">
        <v>88</v>
      </c>
      <c r="H51" s="8">
        <v>16.263999999999999</v>
      </c>
      <c r="I51" s="8">
        <v>1552</v>
      </c>
      <c r="J51" s="8">
        <v>19.797000000000001</v>
      </c>
      <c r="K51" s="8">
        <v>47.77</v>
      </c>
      <c r="L51" s="8">
        <v>0.20599999999999999</v>
      </c>
      <c r="M51" s="18">
        <v>320.08</v>
      </c>
      <c r="N51" s="8">
        <v>2.8180000000000001</v>
      </c>
      <c r="O51" s="9">
        <v>3.637</v>
      </c>
      <c r="P51" s="10">
        <v>88</v>
      </c>
      <c r="Q51" s="10">
        <v>19.797000000000001</v>
      </c>
      <c r="R51" s="10">
        <v>185.31899999999999</v>
      </c>
      <c r="S51" s="10">
        <v>134.761</v>
      </c>
      <c r="T51" s="10" t="b">
        <f t="shared" si="0"/>
        <v>1</v>
      </c>
      <c r="U51" s="10" t="b">
        <f t="shared" si="1"/>
        <v>1</v>
      </c>
      <c r="V51" s="11">
        <f>VLOOKUP(IF(J51&lt;10, 10, IF(J51&gt;50,50,J51)),'Over to underbark'!$A$3:$C$43,IF(A51="Scots pine",3,IF(A51="Sitka spruce",2, "error")),TRUE)/100</f>
        <v>0.84</v>
      </c>
      <c r="W51">
        <f t="shared" si="2"/>
        <v>140.10116399999998</v>
      </c>
      <c r="X51">
        <f t="shared" si="3"/>
        <v>101.87931599999999</v>
      </c>
      <c r="Y51">
        <f t="shared" si="4"/>
        <v>46.09152000000001</v>
      </c>
      <c r="Z51">
        <f t="shared" si="5"/>
        <v>129.13462208339999</v>
      </c>
      <c r="AA51">
        <f t="shared" si="6"/>
        <v>38.456888040000003</v>
      </c>
      <c r="AB51">
        <f t="shared" si="7"/>
        <v>64.243107444599985</v>
      </c>
      <c r="AC51">
        <f t="shared" si="8"/>
        <v>56.237382431999997</v>
      </c>
      <c r="AD51">
        <f>LOOKUP($A51,'Over to underbark'!$A$47:$A$48,'Over to underbark'!E$47:E$48)*Z51</f>
        <v>54.236541275027996</v>
      </c>
      <c r="AE51">
        <f>LOOKUP($A51,'Over to underbark'!$A$47:$A$48,'Over to underbark'!E$47:E$48)*AA51</f>
        <v>16.151892976799999</v>
      </c>
      <c r="AF51">
        <f>LOOKUP($A51,'Over to underbark'!$A$47:$A$48,'Over to underbark'!E$47:E$48)*AB51</f>
        <v>26.982105126731994</v>
      </c>
      <c r="AG51">
        <f>LOOKUP($A51,'Over to underbark'!$A$47:$A$48,'Over to underbark'!E$47:E$48)*AC51</f>
        <v>23.619700621439996</v>
      </c>
      <c r="AH51" t="b">
        <f t="shared" si="9"/>
        <v>1</v>
      </c>
      <c r="AI51" t="b">
        <f t="shared" si="10"/>
        <v>1</v>
      </c>
      <c r="AJ51">
        <f>LOOKUP(A51,'Over to underbark'!$A$47:$A$48,'Over to underbark'!E$47:E$48)*M51</f>
        <v>134.43359999999998</v>
      </c>
      <c r="AK51" s="22">
        <f>LOOKUP(A51,'Over to underbark'!$A$47:$A$48,'Over to underbark'!$B$47:$B$48)*AJ51</f>
        <v>45.707423999999996</v>
      </c>
      <c r="AL51" s="22">
        <f>LOOKUP(A51,'Over to underbark'!$A$47:$A$48,'Over to underbark'!C$47:C$48)*AJ51</f>
        <v>47.051759999999994</v>
      </c>
      <c r="AM51" s="22">
        <f t="shared" si="11"/>
        <v>180.14102399999999</v>
      </c>
      <c r="AN51" s="36">
        <v>428.91</v>
      </c>
      <c r="AO51" s="23">
        <f t="shared" si="12"/>
        <v>360.28204799999997</v>
      </c>
      <c r="AQ51">
        <f t="shared" si="13"/>
        <v>0.67164179104477606</v>
      </c>
    </row>
    <row r="52" spans="1:43" x14ac:dyDescent="0.35">
      <c r="A52" t="s">
        <v>41</v>
      </c>
      <c r="B52">
        <v>4</v>
      </c>
      <c r="C52">
        <v>2</v>
      </c>
      <c r="D52" t="s">
        <v>42</v>
      </c>
      <c r="E52">
        <v>2</v>
      </c>
      <c r="F52">
        <v>1</v>
      </c>
      <c r="G52" s="8">
        <v>89</v>
      </c>
      <c r="H52" s="8">
        <v>16.352</v>
      </c>
      <c r="I52" s="8">
        <v>1544</v>
      </c>
      <c r="J52" s="8">
        <v>19.922999999999998</v>
      </c>
      <c r="K52" s="8">
        <v>48.133000000000003</v>
      </c>
      <c r="L52" s="8">
        <v>0.21</v>
      </c>
      <c r="M52" s="18">
        <v>324.14</v>
      </c>
      <c r="N52" s="8">
        <v>2.9169999999999998</v>
      </c>
      <c r="O52" s="9">
        <v>3.6419999999999999</v>
      </c>
      <c r="P52" s="10">
        <v>89</v>
      </c>
      <c r="Q52" s="10">
        <v>19.922999999999998</v>
      </c>
      <c r="R52" s="10">
        <v>185.41399999999999</v>
      </c>
      <c r="S52" s="10">
        <v>138.726</v>
      </c>
      <c r="T52" s="10" t="b">
        <f t="shared" si="0"/>
        <v>1</v>
      </c>
      <c r="U52" s="10" t="b">
        <f t="shared" si="1"/>
        <v>1</v>
      </c>
      <c r="V52" s="11">
        <f>VLOOKUP(IF(J52&lt;10, 10, IF(J52&gt;50,50,J52)),'Over to underbark'!$A$3:$C$43,IF(A52="Scots pine",3,IF(A52="Sitka spruce",2, "error")),TRUE)/100</f>
        <v>0.84</v>
      </c>
      <c r="W52">
        <f t="shared" si="2"/>
        <v>140.17298399999999</v>
      </c>
      <c r="X52">
        <f t="shared" si="3"/>
        <v>104.876856</v>
      </c>
      <c r="Y52">
        <f t="shared" si="4"/>
        <v>46.67616000000001</v>
      </c>
      <c r="Z52">
        <f t="shared" si="5"/>
        <v>130.4326626804</v>
      </c>
      <c r="AA52">
        <f t="shared" si="6"/>
        <v>38.757108240000001</v>
      </c>
      <c r="AB52">
        <f t="shared" si="7"/>
        <v>64.644204567599999</v>
      </c>
      <c r="AC52">
        <f t="shared" si="8"/>
        <v>57.892024512000006</v>
      </c>
      <c r="AD52">
        <f>LOOKUP($A52,'Over to underbark'!$A$47:$A$48,'Over to underbark'!E$47:E$48)*Z52</f>
        <v>54.781718325767997</v>
      </c>
      <c r="AE52">
        <f>LOOKUP($A52,'Over to underbark'!$A$47:$A$48,'Over to underbark'!E$47:E$48)*AA52</f>
        <v>16.2779854608</v>
      </c>
      <c r="AF52">
        <f>LOOKUP($A52,'Over to underbark'!$A$47:$A$48,'Over to underbark'!E$47:E$48)*AB52</f>
        <v>27.150565918391997</v>
      </c>
      <c r="AG52">
        <f>LOOKUP($A52,'Over to underbark'!$A$47:$A$48,'Over to underbark'!E$47:E$48)*AC52</f>
        <v>24.314650295040003</v>
      </c>
      <c r="AH52" t="b">
        <f t="shared" si="9"/>
        <v>1</v>
      </c>
      <c r="AI52" t="b">
        <f t="shared" si="10"/>
        <v>1</v>
      </c>
      <c r="AJ52">
        <f>LOOKUP(A52,'Over to underbark'!$A$47:$A$48,'Over to underbark'!E$47:E$48)*M52</f>
        <v>136.1388</v>
      </c>
      <c r="AK52" s="22">
        <f>LOOKUP(A52,'Over to underbark'!$A$47:$A$48,'Over to underbark'!$B$47:$B$48)*AJ52</f>
        <v>46.287192000000005</v>
      </c>
      <c r="AL52" s="22">
        <f>LOOKUP(A52,'Over to underbark'!$A$47:$A$48,'Over to underbark'!C$47:C$48)*AJ52</f>
        <v>47.648579999999995</v>
      </c>
      <c r="AM52" s="22">
        <f t="shared" si="11"/>
        <v>182.42599200000001</v>
      </c>
      <c r="AN52" s="36">
        <v>434.35</v>
      </c>
      <c r="AO52" s="23">
        <f t="shared" si="12"/>
        <v>364.85198400000002</v>
      </c>
      <c r="AQ52">
        <f t="shared" si="13"/>
        <v>0.67164179104477595</v>
      </c>
    </row>
    <row r="53" spans="1:43" x14ac:dyDescent="0.35">
      <c r="A53" t="s">
        <v>41</v>
      </c>
      <c r="B53">
        <v>4</v>
      </c>
      <c r="C53">
        <v>2</v>
      </c>
      <c r="D53" t="s">
        <v>42</v>
      </c>
      <c r="E53">
        <v>2</v>
      </c>
      <c r="F53">
        <v>1</v>
      </c>
      <c r="G53" s="8">
        <v>90</v>
      </c>
      <c r="H53" s="8">
        <v>16.440000000000001</v>
      </c>
      <c r="I53" s="8">
        <v>1536</v>
      </c>
      <c r="J53" s="8">
        <v>20.05</v>
      </c>
      <c r="K53" s="8">
        <v>48.496000000000002</v>
      </c>
      <c r="L53" s="8">
        <v>0.214</v>
      </c>
      <c r="M53" s="18">
        <v>328.2</v>
      </c>
      <c r="N53" s="8">
        <v>3.0139999999999998</v>
      </c>
      <c r="O53" s="9">
        <v>3.6469999999999998</v>
      </c>
      <c r="P53" s="10">
        <v>90</v>
      </c>
      <c r="Q53" s="10">
        <v>20.05</v>
      </c>
      <c r="R53" s="10">
        <v>185.44900000000001</v>
      </c>
      <c r="S53" s="10">
        <v>142.751</v>
      </c>
      <c r="T53" s="10" t="b">
        <f t="shared" si="0"/>
        <v>1</v>
      </c>
      <c r="U53" s="10" t="b">
        <f t="shared" si="1"/>
        <v>1</v>
      </c>
      <c r="V53" s="11">
        <f>VLOOKUP(IF(J53&lt;10, 10, IF(J53&gt;50,50,J53)),'Over to underbark'!$A$3:$C$43,IF(A53="Scots pine",3,IF(A53="Sitka spruce",2, "error")),TRUE)/100</f>
        <v>0.84</v>
      </c>
      <c r="W53">
        <f t="shared" si="2"/>
        <v>140.19944400000003</v>
      </c>
      <c r="X53">
        <f t="shared" si="3"/>
        <v>107.91975599999999</v>
      </c>
      <c r="Y53">
        <f t="shared" si="4"/>
        <v>47.260800000000017</v>
      </c>
      <c r="Z53">
        <f t="shared" si="5"/>
        <v>131.72166076140002</v>
      </c>
      <c r="AA53">
        <f t="shared" si="6"/>
        <v>39.052338840000012</v>
      </c>
      <c r="AB53">
        <f t="shared" si="7"/>
        <v>65.034295086599997</v>
      </c>
      <c r="AC53">
        <f t="shared" si="8"/>
        <v>59.571705311999992</v>
      </c>
      <c r="AD53">
        <f>LOOKUP($A53,'Over to underbark'!$A$47:$A$48,'Over to underbark'!E$47:E$48)*Z53</f>
        <v>55.323097519788007</v>
      </c>
      <c r="AE53">
        <f>LOOKUP($A53,'Over to underbark'!$A$47:$A$48,'Over to underbark'!E$47:E$48)*AA53</f>
        <v>16.401982312800005</v>
      </c>
      <c r="AF53">
        <f>LOOKUP($A53,'Over to underbark'!$A$47:$A$48,'Over to underbark'!E$47:E$48)*AB53</f>
        <v>27.314403936371999</v>
      </c>
      <c r="AG53">
        <f>LOOKUP($A53,'Over to underbark'!$A$47:$A$48,'Over to underbark'!E$47:E$48)*AC53</f>
        <v>25.020116231039996</v>
      </c>
      <c r="AH53" t="b">
        <f t="shared" si="9"/>
        <v>1</v>
      </c>
      <c r="AI53" t="b">
        <f t="shared" si="10"/>
        <v>1</v>
      </c>
      <c r="AJ53">
        <f>LOOKUP(A53,'Over to underbark'!$A$47:$A$48,'Over to underbark'!E$47:E$48)*M53</f>
        <v>137.84399999999999</v>
      </c>
      <c r="AK53" s="22">
        <f>LOOKUP(A53,'Over to underbark'!$A$47:$A$48,'Over to underbark'!$B$47:$B$48)*AJ53</f>
        <v>46.866959999999999</v>
      </c>
      <c r="AL53" s="22">
        <f>LOOKUP(A53,'Over to underbark'!$A$47:$A$48,'Over to underbark'!C$47:C$48)*AJ53</f>
        <v>48.245399999999997</v>
      </c>
      <c r="AM53" s="22">
        <f t="shared" si="11"/>
        <v>184.71096</v>
      </c>
      <c r="AN53" s="36">
        <v>439.79</v>
      </c>
      <c r="AO53" s="23">
        <f t="shared" si="12"/>
        <v>369.42192</v>
      </c>
      <c r="AQ53">
        <f t="shared" si="13"/>
        <v>0.67164179104477617</v>
      </c>
    </row>
    <row r="54" spans="1:43" x14ac:dyDescent="0.35">
      <c r="A54" t="s">
        <v>41</v>
      </c>
      <c r="B54">
        <v>4</v>
      </c>
      <c r="C54">
        <v>2</v>
      </c>
      <c r="D54" t="s">
        <v>42</v>
      </c>
      <c r="E54">
        <v>2</v>
      </c>
      <c r="F54">
        <v>1</v>
      </c>
      <c r="G54" s="8">
        <v>91</v>
      </c>
      <c r="H54" s="8">
        <v>16.515999999999998</v>
      </c>
      <c r="I54" s="8">
        <v>1528</v>
      </c>
      <c r="J54" s="8">
        <v>20.166</v>
      </c>
      <c r="K54" s="8">
        <v>48.805999999999997</v>
      </c>
      <c r="L54" s="8">
        <v>0.217</v>
      </c>
      <c r="M54" s="18">
        <v>331.68</v>
      </c>
      <c r="N54" s="8">
        <v>3.125</v>
      </c>
      <c r="O54" s="9">
        <v>3.645</v>
      </c>
      <c r="P54" s="10">
        <v>91</v>
      </c>
      <c r="Q54" s="10">
        <v>20.166</v>
      </c>
      <c r="R54" s="10">
        <v>185.31800000000001</v>
      </c>
      <c r="S54" s="10">
        <v>146.36199999999999</v>
      </c>
      <c r="T54" s="10" t="b">
        <f t="shared" si="0"/>
        <v>1</v>
      </c>
      <c r="U54" s="10" t="b">
        <f t="shared" si="1"/>
        <v>1</v>
      </c>
      <c r="V54" s="11">
        <f>VLOOKUP(IF(J54&lt;10, 10, IF(J54&gt;50,50,J54)),'Over to underbark'!$A$3:$C$43,IF(A54="Scots pine",3,IF(A54="Sitka spruce",2, "error")),TRUE)/100</f>
        <v>0.84</v>
      </c>
      <c r="W54">
        <f t="shared" si="2"/>
        <v>140.10040799999999</v>
      </c>
      <c r="X54">
        <f t="shared" si="3"/>
        <v>110.649672</v>
      </c>
      <c r="Y54">
        <f t="shared" si="4"/>
        <v>47.761920000000011</v>
      </c>
      <c r="Z54">
        <f t="shared" si="5"/>
        <v>132.80225217479997</v>
      </c>
      <c r="AA54">
        <f t="shared" si="6"/>
        <v>39.292004880000007</v>
      </c>
      <c r="AB54">
        <f t="shared" si="7"/>
        <v>65.339124001199991</v>
      </c>
      <c r="AC54">
        <f t="shared" si="8"/>
        <v>61.078618943999992</v>
      </c>
      <c r="AD54">
        <f>LOOKUP($A54,'Over to underbark'!$A$47:$A$48,'Over to underbark'!E$47:E$48)*Z54</f>
        <v>55.776945913415986</v>
      </c>
      <c r="AE54">
        <f>LOOKUP($A54,'Over to underbark'!$A$47:$A$48,'Over to underbark'!E$47:E$48)*AA54</f>
        <v>16.502642049600002</v>
      </c>
      <c r="AF54">
        <f>LOOKUP($A54,'Over to underbark'!$A$47:$A$48,'Over to underbark'!E$47:E$48)*AB54</f>
        <v>27.442432080503995</v>
      </c>
      <c r="AG54">
        <f>LOOKUP($A54,'Over to underbark'!$A$47:$A$48,'Over to underbark'!E$47:E$48)*AC54</f>
        <v>25.653019956479994</v>
      </c>
      <c r="AH54" t="b">
        <f t="shared" si="9"/>
        <v>1</v>
      </c>
      <c r="AI54" t="b">
        <f t="shared" si="10"/>
        <v>1</v>
      </c>
      <c r="AJ54">
        <f>LOOKUP(A54,'Over to underbark'!$A$47:$A$48,'Over to underbark'!E$47:E$48)*M54</f>
        <v>139.3056</v>
      </c>
      <c r="AK54" s="22">
        <f>LOOKUP(A54,'Over to underbark'!$A$47:$A$48,'Over to underbark'!$B$47:$B$48)*AJ54</f>
        <v>47.363904000000005</v>
      </c>
      <c r="AL54" s="22">
        <f>LOOKUP(A54,'Over to underbark'!$A$47:$A$48,'Over to underbark'!C$47:C$48)*AJ54</f>
        <v>48.756959999999999</v>
      </c>
      <c r="AM54" s="22">
        <f t="shared" si="11"/>
        <v>186.66950400000002</v>
      </c>
      <c r="AN54" s="36">
        <v>444.45</v>
      </c>
      <c r="AO54" s="23">
        <f t="shared" si="12"/>
        <v>373.33900800000004</v>
      </c>
      <c r="AQ54">
        <f t="shared" si="13"/>
        <v>0.67164179104477595</v>
      </c>
    </row>
    <row r="55" spans="1:43" x14ac:dyDescent="0.35">
      <c r="A55" t="s">
        <v>41</v>
      </c>
      <c r="B55">
        <v>4</v>
      </c>
      <c r="C55">
        <v>2</v>
      </c>
      <c r="D55" t="s">
        <v>42</v>
      </c>
      <c r="E55">
        <v>2</v>
      </c>
      <c r="F55">
        <v>1</v>
      </c>
      <c r="G55" s="8">
        <v>92</v>
      </c>
      <c r="H55" s="8">
        <v>16.591999999999999</v>
      </c>
      <c r="I55" s="8">
        <v>1521</v>
      </c>
      <c r="J55" s="8">
        <v>20.277000000000001</v>
      </c>
      <c r="K55" s="8">
        <v>49.115000000000002</v>
      </c>
      <c r="L55" s="8">
        <v>0.22</v>
      </c>
      <c r="M55" s="18">
        <v>335.16</v>
      </c>
      <c r="N55" s="8">
        <v>3.234</v>
      </c>
      <c r="O55" s="9">
        <v>3.6429999999999998</v>
      </c>
      <c r="P55" s="10">
        <v>92</v>
      </c>
      <c r="Q55" s="10">
        <v>20.277000000000001</v>
      </c>
      <c r="R55" s="10">
        <v>185.24700000000001</v>
      </c>
      <c r="S55" s="10">
        <v>149.91300000000001</v>
      </c>
      <c r="T55" s="10" t="b">
        <f t="shared" si="0"/>
        <v>1</v>
      </c>
      <c r="U55" s="10" t="b">
        <f t="shared" si="1"/>
        <v>1</v>
      </c>
      <c r="V55" s="11">
        <f>VLOOKUP(IF(J55&lt;10, 10, IF(J55&gt;50,50,J55)),'Over to underbark'!$A$3:$C$43,IF(A55="Scots pine",3,IF(A55="Sitka spruce",2, "error")),TRUE)/100</f>
        <v>0.84</v>
      </c>
      <c r="W55">
        <f t="shared" si="2"/>
        <v>140.04673200000002</v>
      </c>
      <c r="X55">
        <f t="shared" si="3"/>
        <v>113.33422800000001</v>
      </c>
      <c r="Y55">
        <f t="shared" si="4"/>
        <v>48.263040000000011</v>
      </c>
      <c r="Z55">
        <f t="shared" si="5"/>
        <v>133.89188610420004</v>
      </c>
      <c r="AA55">
        <f t="shared" si="6"/>
        <v>39.536660520000005</v>
      </c>
      <c r="AB55">
        <f t="shared" si="7"/>
        <v>65.654959519800002</v>
      </c>
      <c r="AC55">
        <f t="shared" si="8"/>
        <v>62.560493856000008</v>
      </c>
      <c r="AD55">
        <f>LOOKUP($A55,'Over to underbark'!$A$47:$A$48,'Over to underbark'!E$47:E$48)*Z55</f>
        <v>56.234592163764013</v>
      </c>
      <c r="AE55">
        <f>LOOKUP($A55,'Over to underbark'!$A$47:$A$48,'Over to underbark'!E$47:E$48)*AA55</f>
        <v>16.605397418400003</v>
      </c>
      <c r="AF55">
        <f>LOOKUP($A55,'Over to underbark'!$A$47:$A$48,'Over to underbark'!E$47:E$48)*AB55</f>
        <v>27.575082998315999</v>
      </c>
      <c r="AG55">
        <f>LOOKUP($A55,'Over to underbark'!$A$47:$A$48,'Over to underbark'!E$47:E$48)*AC55</f>
        <v>26.275407419520004</v>
      </c>
      <c r="AH55" t="b">
        <f t="shared" si="9"/>
        <v>1</v>
      </c>
      <c r="AI55" t="b">
        <f t="shared" si="10"/>
        <v>1</v>
      </c>
      <c r="AJ55">
        <f>LOOKUP(A55,'Over to underbark'!$A$47:$A$48,'Over to underbark'!E$47:E$48)*M55</f>
        <v>140.7672</v>
      </c>
      <c r="AK55" s="22">
        <f>LOOKUP(A55,'Over to underbark'!$A$47:$A$48,'Over to underbark'!$B$47:$B$48)*AJ55</f>
        <v>47.860848000000004</v>
      </c>
      <c r="AL55" s="22">
        <f>LOOKUP(A55,'Over to underbark'!$A$47:$A$48,'Over to underbark'!C$47:C$48)*AJ55</f>
        <v>49.268519999999995</v>
      </c>
      <c r="AM55" s="22">
        <f t="shared" si="11"/>
        <v>188.62804800000001</v>
      </c>
      <c r="AN55" s="36">
        <v>449.11</v>
      </c>
      <c r="AO55" s="23">
        <f t="shared" si="12"/>
        <v>377.25609600000001</v>
      </c>
      <c r="AQ55">
        <f t="shared" si="13"/>
        <v>0.67164179104477617</v>
      </c>
    </row>
    <row r="56" spans="1:43" x14ac:dyDescent="0.35">
      <c r="A56" t="s">
        <v>41</v>
      </c>
      <c r="B56">
        <v>4</v>
      </c>
      <c r="C56">
        <v>2</v>
      </c>
      <c r="D56" t="s">
        <v>42</v>
      </c>
      <c r="E56">
        <v>2</v>
      </c>
      <c r="F56">
        <v>1</v>
      </c>
      <c r="G56" s="8">
        <v>93</v>
      </c>
      <c r="H56" s="8">
        <v>16.667999999999999</v>
      </c>
      <c r="I56" s="8">
        <v>1514</v>
      </c>
      <c r="J56" s="8">
        <v>20.387</v>
      </c>
      <c r="K56" s="8">
        <v>49.423999999999999</v>
      </c>
      <c r="L56" s="8">
        <v>0.224</v>
      </c>
      <c r="M56" s="18">
        <v>338.64</v>
      </c>
      <c r="N56" s="8">
        <v>3.34</v>
      </c>
      <c r="O56" s="9">
        <v>3.641</v>
      </c>
      <c r="P56" s="10">
        <v>93</v>
      </c>
      <c r="Q56" s="10">
        <v>20.387</v>
      </c>
      <c r="R56" s="10">
        <v>185.16499999999999</v>
      </c>
      <c r="S56" s="10">
        <v>153.47499999999999</v>
      </c>
      <c r="T56" s="10" t="b">
        <f t="shared" si="0"/>
        <v>1</v>
      </c>
      <c r="U56" s="10" t="b">
        <f t="shared" si="1"/>
        <v>1</v>
      </c>
      <c r="V56" s="11">
        <f>VLOOKUP(IF(J56&lt;10, 10, IF(J56&gt;50,50,J56)),'Over to underbark'!$A$3:$C$43,IF(A56="Scots pine",3,IF(A56="Sitka spruce",2, "error")),TRUE)/100</f>
        <v>0.84</v>
      </c>
      <c r="W56">
        <f t="shared" si="2"/>
        <v>139.98473999999999</v>
      </c>
      <c r="X56">
        <f t="shared" si="3"/>
        <v>116.02709999999999</v>
      </c>
      <c r="Y56">
        <f t="shared" si="4"/>
        <v>48.764160000000011</v>
      </c>
      <c r="Z56">
        <f t="shared" si="5"/>
        <v>134.979862239</v>
      </c>
      <c r="AA56">
        <f t="shared" si="6"/>
        <v>39.780401400000002</v>
      </c>
      <c r="AB56">
        <f t="shared" si="7"/>
        <v>65.968777160999991</v>
      </c>
      <c r="AC56">
        <f t="shared" si="8"/>
        <v>64.046959200000003</v>
      </c>
      <c r="AD56">
        <f>LOOKUP($A56,'Over to underbark'!$A$47:$A$48,'Over to underbark'!E$47:E$48)*Z56</f>
        <v>56.691542140380001</v>
      </c>
      <c r="AE56">
        <f>LOOKUP($A56,'Over to underbark'!$A$47:$A$48,'Over to underbark'!E$47:E$48)*AA56</f>
        <v>16.707768588</v>
      </c>
      <c r="AF56">
        <f>LOOKUP($A56,'Over to underbark'!$A$47:$A$48,'Over to underbark'!E$47:E$48)*AB56</f>
        <v>27.706886407619994</v>
      </c>
      <c r="AG56">
        <f>LOOKUP($A56,'Over to underbark'!$A$47:$A$48,'Over to underbark'!E$47:E$48)*AC56</f>
        <v>26.899722864000001</v>
      </c>
      <c r="AH56" t="b">
        <f t="shared" si="9"/>
        <v>1</v>
      </c>
      <c r="AI56" t="b">
        <f t="shared" si="10"/>
        <v>1</v>
      </c>
      <c r="AJ56">
        <f>LOOKUP(A56,'Over to underbark'!$A$47:$A$48,'Over to underbark'!E$47:E$48)*M56</f>
        <v>142.22879999999998</v>
      </c>
      <c r="AK56" s="22">
        <f>LOOKUP(A56,'Over to underbark'!$A$47:$A$48,'Over to underbark'!$B$47:$B$48)*AJ56</f>
        <v>48.357791999999996</v>
      </c>
      <c r="AL56" s="22">
        <f>LOOKUP(A56,'Over to underbark'!$A$47:$A$48,'Over to underbark'!C$47:C$48)*AJ56</f>
        <v>49.780079999999991</v>
      </c>
      <c r="AM56" s="22">
        <f t="shared" si="11"/>
        <v>190.58659199999997</v>
      </c>
      <c r="AN56" s="36">
        <v>453.78</v>
      </c>
      <c r="AO56" s="23">
        <f t="shared" si="12"/>
        <v>381.17318399999994</v>
      </c>
      <c r="AQ56">
        <f t="shared" si="13"/>
        <v>0.67164179104477628</v>
      </c>
    </row>
    <row r="57" spans="1:43" x14ac:dyDescent="0.35">
      <c r="A57" t="s">
        <v>41</v>
      </c>
      <c r="B57">
        <v>4</v>
      </c>
      <c r="C57">
        <v>2</v>
      </c>
      <c r="D57" t="s">
        <v>42</v>
      </c>
      <c r="E57">
        <v>2</v>
      </c>
      <c r="F57">
        <v>1</v>
      </c>
      <c r="G57" s="8">
        <v>94</v>
      </c>
      <c r="H57" s="8">
        <v>16.744</v>
      </c>
      <c r="I57" s="8">
        <v>1507</v>
      </c>
      <c r="J57" s="8">
        <v>20.498000000000001</v>
      </c>
      <c r="K57" s="8">
        <v>49.732999999999997</v>
      </c>
      <c r="L57" s="8">
        <v>0.22700000000000001</v>
      </c>
      <c r="M57" s="18">
        <v>342.12</v>
      </c>
      <c r="N57" s="8">
        <v>3.4430000000000001</v>
      </c>
      <c r="O57" s="9">
        <v>3.64</v>
      </c>
      <c r="P57" s="10">
        <v>94</v>
      </c>
      <c r="Q57" s="10">
        <v>20.498000000000001</v>
      </c>
      <c r="R57" s="10">
        <v>185.036</v>
      </c>
      <c r="S57" s="10">
        <v>157.084</v>
      </c>
      <c r="T57" s="10" t="b">
        <f t="shared" si="0"/>
        <v>1</v>
      </c>
      <c r="U57" s="10" t="b">
        <f t="shared" si="1"/>
        <v>1</v>
      </c>
      <c r="V57" s="11">
        <f>VLOOKUP(IF(J57&lt;10, 10, IF(J57&gt;50,50,J57)),'Over to underbark'!$A$3:$C$43,IF(A57="Scots pine",3,IF(A57="Sitka spruce",2, "error")),TRUE)/100</f>
        <v>0.84</v>
      </c>
      <c r="W57">
        <f t="shared" si="2"/>
        <v>139.887216</v>
      </c>
      <c r="X57">
        <f t="shared" si="3"/>
        <v>118.75550400000002</v>
      </c>
      <c r="Y57">
        <f t="shared" si="4"/>
        <v>49.265280000000011</v>
      </c>
      <c r="Z57">
        <f t="shared" si="5"/>
        <v>136.06075506959999</v>
      </c>
      <c r="AA57">
        <f t="shared" si="6"/>
        <v>40.020233760000004</v>
      </c>
      <c r="AB57">
        <f t="shared" si="7"/>
        <v>66.273972962399995</v>
      </c>
      <c r="AC57">
        <f t="shared" si="8"/>
        <v>65.553038208000018</v>
      </c>
      <c r="AD57">
        <f>LOOKUP($A57,'Over to underbark'!$A$47:$A$48,'Over to underbark'!E$47:E$48)*Z57</f>
        <v>57.145517129231997</v>
      </c>
      <c r="AE57">
        <f>LOOKUP($A57,'Over to underbark'!$A$47:$A$48,'Over to underbark'!E$47:E$48)*AA57</f>
        <v>16.808498179200001</v>
      </c>
      <c r="AF57">
        <f>LOOKUP($A57,'Over to underbark'!$A$47:$A$48,'Over to underbark'!E$47:E$48)*AB57</f>
        <v>27.835068644207997</v>
      </c>
      <c r="AG57">
        <f>LOOKUP($A57,'Over to underbark'!$A$47:$A$48,'Over to underbark'!E$47:E$48)*AC57</f>
        <v>27.532276047360007</v>
      </c>
      <c r="AH57" t="b">
        <f t="shared" si="9"/>
        <v>1</v>
      </c>
      <c r="AI57" t="b">
        <f t="shared" si="10"/>
        <v>1</v>
      </c>
      <c r="AJ57">
        <f>LOOKUP(A57,'Over to underbark'!$A$47:$A$48,'Over to underbark'!E$47:E$48)*M57</f>
        <v>143.69039999999998</v>
      </c>
      <c r="AK57" s="22">
        <f>LOOKUP(A57,'Over to underbark'!$A$47:$A$48,'Over to underbark'!$B$47:$B$48)*AJ57</f>
        <v>48.854735999999995</v>
      </c>
      <c r="AL57" s="22">
        <f>LOOKUP(A57,'Over to underbark'!$A$47:$A$48,'Over to underbark'!C$47:C$48)*AJ57</f>
        <v>50.291639999999994</v>
      </c>
      <c r="AM57" s="22">
        <f t="shared" si="11"/>
        <v>192.54513599999999</v>
      </c>
      <c r="AN57" s="36">
        <v>458.44</v>
      </c>
      <c r="AO57" s="23">
        <f t="shared" si="12"/>
        <v>385.09027199999997</v>
      </c>
      <c r="AQ57">
        <f t="shared" si="13"/>
        <v>0.67164179104477617</v>
      </c>
    </row>
    <row r="58" spans="1:43" x14ac:dyDescent="0.35">
      <c r="A58" t="s">
        <v>41</v>
      </c>
      <c r="B58">
        <v>4</v>
      </c>
      <c r="C58">
        <v>2</v>
      </c>
      <c r="D58" t="s">
        <v>42</v>
      </c>
      <c r="E58">
        <v>2</v>
      </c>
      <c r="F58">
        <v>1</v>
      </c>
      <c r="G58" s="8">
        <v>95</v>
      </c>
      <c r="H58" s="8">
        <v>16.82</v>
      </c>
      <c r="I58" s="8">
        <v>1500</v>
      </c>
      <c r="J58" s="8">
        <v>20.61</v>
      </c>
      <c r="K58" s="8">
        <v>50.042000000000002</v>
      </c>
      <c r="L58" s="8">
        <v>0.23</v>
      </c>
      <c r="M58" s="18">
        <v>345.6</v>
      </c>
      <c r="N58" s="8">
        <v>3.5449999999999999</v>
      </c>
      <c r="O58" s="9">
        <v>3.6379999999999999</v>
      </c>
      <c r="P58" s="10">
        <v>95</v>
      </c>
      <c r="Q58" s="10">
        <v>20.61</v>
      </c>
      <c r="R58" s="10">
        <v>184.86099999999999</v>
      </c>
      <c r="S58" s="10">
        <v>160.739</v>
      </c>
      <c r="T58" s="10" t="b">
        <f t="shared" si="0"/>
        <v>1</v>
      </c>
      <c r="U58" s="10" t="b">
        <f t="shared" si="1"/>
        <v>1</v>
      </c>
      <c r="V58" s="11">
        <f>VLOOKUP(IF(J58&lt;10, 10, IF(J58&gt;50,50,J58)),'Over to underbark'!$A$3:$C$43,IF(A58="Scots pine",3,IF(A58="Sitka spruce",2, "error")),TRUE)/100</f>
        <v>0.84</v>
      </c>
      <c r="W58">
        <f t="shared" si="2"/>
        <v>139.75491599999998</v>
      </c>
      <c r="X58">
        <f t="shared" si="3"/>
        <v>121.51868399999999</v>
      </c>
      <c r="Y58">
        <f t="shared" si="4"/>
        <v>49.766400000000012</v>
      </c>
      <c r="Z58">
        <f t="shared" si="5"/>
        <v>137.13471530459998</v>
      </c>
      <c r="AA58">
        <f t="shared" si="6"/>
        <v>40.256240760000004</v>
      </c>
      <c r="AB58">
        <f t="shared" si="7"/>
        <v>66.570730367399989</v>
      </c>
      <c r="AC58">
        <f t="shared" si="8"/>
        <v>67.078313567999984</v>
      </c>
      <c r="AD58">
        <f>LOOKUP($A58,'Over to underbark'!$A$47:$A$48,'Over to underbark'!E$47:E$48)*Z58</f>
        <v>57.59658042793199</v>
      </c>
      <c r="AE58">
        <f>LOOKUP($A58,'Over to underbark'!$A$47:$A$48,'Over to underbark'!E$47:E$48)*AA58</f>
        <v>16.907621119200002</v>
      </c>
      <c r="AF58">
        <f>LOOKUP($A58,'Over to underbark'!$A$47:$A$48,'Over to underbark'!E$47:E$48)*AB58</f>
        <v>27.959706754307994</v>
      </c>
      <c r="AG58">
        <f>LOOKUP($A58,'Over to underbark'!$A$47:$A$48,'Over to underbark'!E$47:E$48)*AC58</f>
        <v>28.172891698559994</v>
      </c>
      <c r="AH58" t="b">
        <f t="shared" si="9"/>
        <v>1</v>
      </c>
      <c r="AI58" t="b">
        <f t="shared" si="10"/>
        <v>1</v>
      </c>
      <c r="AJ58">
        <f>LOOKUP(A58,'Over to underbark'!$A$47:$A$48,'Over to underbark'!E$47:E$48)*M58</f>
        <v>145.15200000000002</v>
      </c>
      <c r="AK58" s="22">
        <f>LOOKUP(A58,'Over to underbark'!$A$47:$A$48,'Over to underbark'!$B$47:$B$48)*AJ58</f>
        <v>49.351680000000009</v>
      </c>
      <c r="AL58" s="22">
        <f>LOOKUP(A58,'Over to underbark'!$A$47:$A$48,'Over to underbark'!C$47:C$48)*AJ58</f>
        <v>50.803200000000004</v>
      </c>
      <c r="AM58" s="22">
        <f t="shared" si="11"/>
        <v>194.50368000000003</v>
      </c>
      <c r="AN58" s="36">
        <v>463.1</v>
      </c>
      <c r="AO58" s="23">
        <f t="shared" si="12"/>
        <v>389.00736000000006</v>
      </c>
      <c r="AQ58">
        <f t="shared" si="13"/>
        <v>0.67164179104477595</v>
      </c>
    </row>
    <row r="59" spans="1:43" x14ac:dyDescent="0.35">
      <c r="A59" t="s">
        <v>41</v>
      </c>
      <c r="B59">
        <v>4</v>
      </c>
      <c r="C59">
        <v>2</v>
      </c>
      <c r="D59" t="s">
        <v>42</v>
      </c>
      <c r="E59">
        <v>2</v>
      </c>
      <c r="F59">
        <v>1</v>
      </c>
      <c r="G59" s="8">
        <v>96</v>
      </c>
      <c r="H59" s="8">
        <v>16.86</v>
      </c>
      <c r="I59" s="8">
        <v>1493</v>
      </c>
      <c r="J59" s="8">
        <v>20.704000000000001</v>
      </c>
      <c r="K59" s="8">
        <v>50.264000000000003</v>
      </c>
      <c r="L59" s="8">
        <v>0.23300000000000001</v>
      </c>
      <c r="M59" s="18">
        <v>348.38</v>
      </c>
      <c r="N59" s="8">
        <v>3.6509999999999998</v>
      </c>
      <c r="O59" s="9">
        <v>3.629</v>
      </c>
      <c r="P59" s="10">
        <v>96</v>
      </c>
      <c r="Q59" s="10">
        <v>20.704000000000001</v>
      </c>
      <c r="R59" s="10">
        <v>184.61799999999999</v>
      </c>
      <c r="S59" s="10">
        <v>163.762</v>
      </c>
      <c r="T59" s="10" t="b">
        <f t="shared" si="0"/>
        <v>1</v>
      </c>
      <c r="U59" s="10" t="b">
        <f t="shared" si="1"/>
        <v>1</v>
      </c>
      <c r="V59" s="11">
        <f>VLOOKUP(IF(J59&lt;10, 10, IF(J59&gt;50,50,J59)),'Over to underbark'!$A$3:$C$43,IF(A59="Scots pine",3,IF(A59="Sitka spruce",2, "error")),TRUE)/100</f>
        <v>0.84</v>
      </c>
      <c r="W59">
        <f t="shared" si="2"/>
        <v>139.57120800000001</v>
      </c>
      <c r="X59">
        <f t="shared" si="3"/>
        <v>123.80407200000001</v>
      </c>
      <c r="Y59">
        <f t="shared" si="4"/>
        <v>50.166720000000012</v>
      </c>
      <c r="Z59">
        <f t="shared" si="5"/>
        <v>137.97709575480002</v>
      </c>
      <c r="AA59">
        <f t="shared" si="6"/>
        <v>40.436192880000007</v>
      </c>
      <c r="AB59">
        <f t="shared" si="7"/>
        <v>66.788863621199994</v>
      </c>
      <c r="AC59">
        <f t="shared" si="8"/>
        <v>68.339847744000011</v>
      </c>
      <c r="AD59">
        <f>LOOKUP($A59,'Over to underbark'!$A$47:$A$48,'Over to underbark'!E$47:E$48)*Z59</f>
        <v>57.950380217016004</v>
      </c>
      <c r="AE59">
        <f>LOOKUP($A59,'Over to underbark'!$A$47:$A$48,'Over to underbark'!E$47:E$48)*AA59</f>
        <v>16.983201009600002</v>
      </c>
      <c r="AF59">
        <f>LOOKUP($A59,'Over to underbark'!$A$47:$A$48,'Over to underbark'!E$47:E$48)*AB59</f>
        <v>28.051322720903997</v>
      </c>
      <c r="AG59">
        <f>LOOKUP($A59,'Over to underbark'!$A$47:$A$48,'Over to underbark'!E$47:E$48)*AC59</f>
        <v>28.702736052480002</v>
      </c>
      <c r="AH59" t="b">
        <f t="shared" si="9"/>
        <v>1</v>
      </c>
      <c r="AI59" t="b">
        <f t="shared" si="10"/>
        <v>1</v>
      </c>
      <c r="AJ59">
        <f>LOOKUP(A59,'Over to underbark'!$A$47:$A$48,'Over to underbark'!E$47:E$48)*M59</f>
        <v>146.31959999999998</v>
      </c>
      <c r="AK59" s="22">
        <f>LOOKUP(A59,'Over to underbark'!$A$47:$A$48,'Over to underbark'!$B$47:$B$48)*AJ59</f>
        <v>49.748663999999998</v>
      </c>
      <c r="AL59" s="22">
        <f>LOOKUP(A59,'Over to underbark'!$A$47:$A$48,'Over to underbark'!C$47:C$48)*AJ59</f>
        <v>51.211859999999987</v>
      </c>
      <c r="AM59" s="22">
        <f t="shared" si="11"/>
        <v>196.06826399999997</v>
      </c>
      <c r="AN59" s="36">
        <v>466.83</v>
      </c>
      <c r="AO59" s="23">
        <f t="shared" si="12"/>
        <v>392.13652799999994</v>
      </c>
      <c r="AQ59">
        <f t="shared" si="13"/>
        <v>0.67164179104477628</v>
      </c>
    </row>
    <row r="60" spans="1:43" x14ac:dyDescent="0.35">
      <c r="A60" t="s">
        <v>41</v>
      </c>
      <c r="B60">
        <v>4</v>
      </c>
      <c r="C60">
        <v>2</v>
      </c>
      <c r="D60" t="s">
        <v>42</v>
      </c>
      <c r="E60">
        <v>2</v>
      </c>
      <c r="F60">
        <v>1</v>
      </c>
      <c r="G60" s="8">
        <v>97</v>
      </c>
      <c r="H60" s="8">
        <v>16.899999999999999</v>
      </c>
      <c r="I60" s="8">
        <v>1486</v>
      </c>
      <c r="J60" s="8">
        <v>20.797999999999998</v>
      </c>
      <c r="K60" s="8">
        <v>50.485999999999997</v>
      </c>
      <c r="L60" s="8">
        <v>0.23599999999999999</v>
      </c>
      <c r="M60" s="18">
        <v>351.16</v>
      </c>
      <c r="N60" s="8">
        <v>3.7549999999999999</v>
      </c>
      <c r="O60" s="9">
        <v>3.62</v>
      </c>
      <c r="P60" s="10">
        <v>97</v>
      </c>
      <c r="Q60" s="10">
        <v>20.797999999999998</v>
      </c>
      <c r="R60" s="10">
        <v>184.357</v>
      </c>
      <c r="S60" s="10">
        <v>166.803</v>
      </c>
      <c r="T60" s="10" t="b">
        <f t="shared" si="0"/>
        <v>1</v>
      </c>
      <c r="U60" s="10" t="b">
        <f t="shared" si="1"/>
        <v>1</v>
      </c>
      <c r="V60" s="11">
        <f>VLOOKUP(IF(J60&lt;10, 10, IF(J60&gt;50,50,J60)),'Over to underbark'!$A$3:$C$43,IF(A60="Scots pine",3,IF(A60="Sitka spruce",2, "error")),TRUE)/100</f>
        <v>0.84</v>
      </c>
      <c r="W60">
        <f t="shared" si="2"/>
        <v>139.37389199999998</v>
      </c>
      <c r="X60">
        <f t="shared" si="3"/>
        <v>126.10306800000001</v>
      </c>
      <c r="Y60">
        <f t="shared" si="4"/>
        <v>50.567040000000006</v>
      </c>
      <c r="Z60">
        <f t="shared" si="5"/>
        <v>138.81676345020003</v>
      </c>
      <c r="AA60">
        <f t="shared" si="6"/>
        <v>40.614648119999998</v>
      </c>
      <c r="AB60">
        <f t="shared" si="7"/>
        <v>67.003694893799988</v>
      </c>
      <c r="AC60">
        <f t="shared" si="8"/>
        <v>69.608893536000011</v>
      </c>
      <c r="AD60">
        <f>LOOKUP($A60,'Over to underbark'!$A$47:$A$48,'Over to underbark'!E$47:E$48)*Z60</f>
        <v>58.303040649084011</v>
      </c>
      <c r="AE60">
        <f>LOOKUP($A60,'Over to underbark'!$A$47:$A$48,'Over to underbark'!E$47:E$48)*AA60</f>
        <v>17.058152210399999</v>
      </c>
      <c r="AF60">
        <f>LOOKUP($A60,'Over to underbark'!$A$47:$A$48,'Over to underbark'!E$47:E$48)*AB60</f>
        <v>28.141551855395996</v>
      </c>
      <c r="AG60">
        <f>LOOKUP($A60,'Over to underbark'!$A$47:$A$48,'Over to underbark'!E$47:E$48)*AC60</f>
        <v>29.235735285120004</v>
      </c>
      <c r="AH60" t="b">
        <f t="shared" si="9"/>
        <v>1</v>
      </c>
      <c r="AI60" t="b">
        <f t="shared" si="10"/>
        <v>1</v>
      </c>
      <c r="AJ60">
        <f>LOOKUP(A60,'Over to underbark'!$A$47:$A$48,'Over to underbark'!E$47:E$48)*M60</f>
        <v>147.4872</v>
      </c>
      <c r="AK60" s="22">
        <f>LOOKUP(A60,'Over to underbark'!$A$47:$A$48,'Over to underbark'!$B$47:$B$48)*AJ60</f>
        <v>50.145648000000001</v>
      </c>
      <c r="AL60" s="22">
        <f>LOOKUP(A60,'Over to underbark'!$A$47:$A$48,'Over to underbark'!C$47:C$48)*AJ60</f>
        <v>51.620519999999999</v>
      </c>
      <c r="AM60" s="22">
        <f t="shared" si="11"/>
        <v>197.632848</v>
      </c>
      <c r="AN60" s="36">
        <v>470.55</v>
      </c>
      <c r="AO60" s="23">
        <f t="shared" si="12"/>
        <v>395.26569599999999</v>
      </c>
      <c r="AQ60">
        <f t="shared" si="13"/>
        <v>0.67164179104477617</v>
      </c>
    </row>
    <row r="61" spans="1:43" x14ac:dyDescent="0.35">
      <c r="A61" t="s">
        <v>41</v>
      </c>
      <c r="B61">
        <v>4</v>
      </c>
      <c r="C61">
        <v>2</v>
      </c>
      <c r="D61" t="s">
        <v>42</v>
      </c>
      <c r="E61">
        <v>2</v>
      </c>
      <c r="F61">
        <v>1</v>
      </c>
      <c r="G61" s="8">
        <v>98</v>
      </c>
      <c r="H61" s="8">
        <v>16.940000000000001</v>
      </c>
      <c r="I61" s="8">
        <v>1480</v>
      </c>
      <c r="J61" s="8">
        <v>20.885999999999999</v>
      </c>
      <c r="K61" s="8">
        <v>50.707000000000001</v>
      </c>
      <c r="L61" s="8">
        <v>0.23899999999999999</v>
      </c>
      <c r="M61" s="18">
        <v>353.94</v>
      </c>
      <c r="N61" s="8">
        <v>3.8570000000000002</v>
      </c>
      <c r="O61" s="9">
        <v>3.6120000000000001</v>
      </c>
      <c r="P61" s="10">
        <v>98</v>
      </c>
      <c r="Q61" s="10">
        <v>20.885999999999999</v>
      </c>
      <c r="R61" s="10">
        <v>184.18899999999999</v>
      </c>
      <c r="S61" s="10">
        <v>169.751</v>
      </c>
      <c r="T61" s="10" t="b">
        <f t="shared" si="0"/>
        <v>1</v>
      </c>
      <c r="U61" s="10" t="b">
        <f t="shared" si="1"/>
        <v>1</v>
      </c>
      <c r="V61" s="11">
        <f>VLOOKUP(IF(J61&lt;10, 10, IF(J61&gt;50,50,J61)),'Over to underbark'!$A$3:$C$43,IF(A61="Scots pine",3,IF(A61="Sitka spruce",2, "error")),TRUE)/100</f>
        <v>0.84</v>
      </c>
      <c r="W61">
        <f t="shared" si="2"/>
        <v>139.24688399999999</v>
      </c>
      <c r="X61">
        <f t="shared" si="3"/>
        <v>128.33175600000001</v>
      </c>
      <c r="Y61">
        <f t="shared" si="4"/>
        <v>50.967360000000006</v>
      </c>
      <c r="Z61">
        <f t="shared" si="5"/>
        <v>139.67044704540004</v>
      </c>
      <c r="AA61">
        <f t="shared" si="6"/>
        <v>40.800837240000007</v>
      </c>
      <c r="AB61">
        <f t="shared" si="7"/>
        <v>67.235586402599992</v>
      </c>
      <c r="AC61">
        <f t="shared" si="8"/>
        <v>70.839129312000011</v>
      </c>
      <c r="AD61">
        <f>LOOKUP($A61,'Over to underbark'!$A$47:$A$48,'Over to underbark'!E$47:E$48)*Z61</f>
        <v>58.661587759068013</v>
      </c>
      <c r="AE61">
        <f>LOOKUP($A61,'Over to underbark'!$A$47:$A$48,'Over to underbark'!E$47:E$48)*AA61</f>
        <v>17.136351640800001</v>
      </c>
      <c r="AF61">
        <f>LOOKUP($A61,'Over to underbark'!$A$47:$A$48,'Over to underbark'!E$47:E$48)*AB61</f>
        <v>28.238946289091995</v>
      </c>
      <c r="AG61">
        <f>LOOKUP($A61,'Over to underbark'!$A$47:$A$48,'Over to underbark'!E$47:E$48)*AC61</f>
        <v>29.752434311040005</v>
      </c>
      <c r="AH61" t="b">
        <f t="shared" si="9"/>
        <v>1</v>
      </c>
      <c r="AI61" t="b">
        <f t="shared" si="10"/>
        <v>1</v>
      </c>
      <c r="AJ61">
        <f>LOOKUP(A61,'Over to underbark'!$A$47:$A$48,'Over to underbark'!E$47:E$48)*M61</f>
        <v>148.65479999999999</v>
      </c>
      <c r="AK61" s="22">
        <f>LOOKUP(A61,'Over to underbark'!$A$47:$A$48,'Over to underbark'!$B$47:$B$48)*AJ61</f>
        <v>50.542632000000005</v>
      </c>
      <c r="AL61" s="22">
        <f>LOOKUP(A61,'Over to underbark'!$A$47:$A$48,'Over to underbark'!C$47:C$48)*AJ61</f>
        <v>52.029179999999997</v>
      </c>
      <c r="AM61" s="22">
        <f t="shared" si="11"/>
        <v>199.19743199999999</v>
      </c>
      <c r="AN61" s="36">
        <v>474.28</v>
      </c>
      <c r="AO61" s="23">
        <f t="shared" si="12"/>
        <v>398.39486399999998</v>
      </c>
      <c r="AQ61">
        <f t="shared" si="13"/>
        <v>0.67164179104477628</v>
      </c>
    </row>
    <row r="62" spans="1:43" x14ac:dyDescent="0.35">
      <c r="A62" t="s">
        <v>41</v>
      </c>
      <c r="B62">
        <v>4</v>
      </c>
      <c r="C62">
        <v>2</v>
      </c>
      <c r="D62" t="s">
        <v>42</v>
      </c>
      <c r="E62">
        <v>2</v>
      </c>
      <c r="F62">
        <v>1</v>
      </c>
      <c r="G62" s="8">
        <v>99</v>
      </c>
      <c r="H62" s="8">
        <v>16.98</v>
      </c>
      <c r="I62" s="8">
        <v>1473</v>
      </c>
      <c r="J62" s="8">
        <v>20.981000000000002</v>
      </c>
      <c r="K62" s="8">
        <v>50.929000000000002</v>
      </c>
      <c r="L62" s="8">
        <v>0.24199999999999999</v>
      </c>
      <c r="M62" s="18">
        <v>356.72</v>
      </c>
      <c r="N62" s="8">
        <v>3.9580000000000002</v>
      </c>
      <c r="O62" s="9">
        <v>3.6030000000000002</v>
      </c>
      <c r="P62" s="10">
        <v>99</v>
      </c>
      <c r="Q62" s="10">
        <v>20.981000000000002</v>
      </c>
      <c r="R62" s="10">
        <v>183.876</v>
      </c>
      <c r="S62" s="10">
        <v>172.84399999999999</v>
      </c>
      <c r="T62" s="10" t="b">
        <f t="shared" si="0"/>
        <v>1</v>
      </c>
      <c r="U62" s="10" t="b">
        <f t="shared" si="1"/>
        <v>1</v>
      </c>
      <c r="V62" s="11">
        <f>VLOOKUP(IF(J62&lt;10, 10, IF(J62&gt;50,50,J62)),'Over to underbark'!$A$3:$C$43,IF(A62="Scots pine",3,IF(A62="Sitka spruce",2, "error")),TRUE)/100</f>
        <v>0.84</v>
      </c>
      <c r="W62">
        <f t="shared" si="2"/>
        <v>139.010256</v>
      </c>
      <c r="X62">
        <f t="shared" si="3"/>
        <v>130.670064</v>
      </c>
      <c r="Y62">
        <f t="shared" si="4"/>
        <v>51.367680000000021</v>
      </c>
      <c r="Z62">
        <f t="shared" si="5"/>
        <v>140.5022778936</v>
      </c>
      <c r="AA62">
        <f t="shared" si="6"/>
        <v>40.97496816000001</v>
      </c>
      <c r="AB62">
        <f t="shared" si="7"/>
        <v>67.440878618399992</v>
      </c>
      <c r="AC62">
        <f t="shared" si="8"/>
        <v>72.129875327999997</v>
      </c>
      <c r="AD62">
        <f>LOOKUP($A62,'Over to underbark'!$A$47:$A$48,'Over to underbark'!E$47:E$48)*Z62</f>
        <v>59.010956715311998</v>
      </c>
      <c r="AE62">
        <f>LOOKUP($A62,'Over to underbark'!$A$47:$A$48,'Over to underbark'!E$47:E$48)*AA62</f>
        <v>17.209486627200004</v>
      </c>
      <c r="AF62">
        <f>LOOKUP($A62,'Over to underbark'!$A$47:$A$48,'Over to underbark'!E$47:E$48)*AB62</f>
        <v>28.325169019727994</v>
      </c>
      <c r="AG62">
        <f>LOOKUP($A62,'Over to underbark'!$A$47:$A$48,'Over to underbark'!E$47:E$48)*AC62</f>
        <v>30.294547637759997</v>
      </c>
      <c r="AH62" t="b">
        <f t="shared" si="9"/>
        <v>1</v>
      </c>
      <c r="AI62" t="b">
        <f t="shared" si="10"/>
        <v>1</v>
      </c>
      <c r="AJ62">
        <f>LOOKUP(A62,'Over to underbark'!$A$47:$A$48,'Over to underbark'!E$47:E$48)*M62</f>
        <v>149.82240000000002</v>
      </c>
      <c r="AK62" s="22">
        <f>LOOKUP(A62,'Over to underbark'!$A$47:$A$48,'Over to underbark'!$B$47:$B$48)*AJ62</f>
        <v>50.939616000000008</v>
      </c>
      <c r="AL62" s="22">
        <f>LOOKUP(A62,'Over to underbark'!$A$47:$A$48,'Over to underbark'!C$47:C$48)*AJ62</f>
        <v>52.437840000000001</v>
      </c>
      <c r="AM62" s="22">
        <f t="shared" si="11"/>
        <v>200.76201600000002</v>
      </c>
      <c r="AN62" s="36">
        <v>478</v>
      </c>
      <c r="AO62" s="23">
        <f t="shared" si="12"/>
        <v>401.52403200000003</v>
      </c>
      <c r="AQ62">
        <f t="shared" si="13"/>
        <v>0.67164179104477606</v>
      </c>
    </row>
    <row r="63" spans="1:43" x14ac:dyDescent="0.35">
      <c r="A63" t="s">
        <v>41</v>
      </c>
      <c r="B63">
        <v>4</v>
      </c>
      <c r="C63">
        <v>2</v>
      </c>
      <c r="D63" t="s">
        <v>42</v>
      </c>
      <c r="E63">
        <v>2</v>
      </c>
      <c r="F63">
        <v>1</v>
      </c>
      <c r="G63" s="8">
        <v>100</v>
      </c>
      <c r="H63" s="8">
        <v>17.02</v>
      </c>
      <c r="I63" s="8">
        <v>1467</v>
      </c>
      <c r="J63" s="8">
        <v>21.07</v>
      </c>
      <c r="K63" s="8">
        <v>51.15</v>
      </c>
      <c r="L63" s="8">
        <v>0.245</v>
      </c>
      <c r="M63" s="18">
        <v>359.5</v>
      </c>
      <c r="N63" s="8">
        <v>4.0570000000000004</v>
      </c>
      <c r="O63" s="9">
        <v>3.5950000000000002</v>
      </c>
      <c r="P63" s="10">
        <v>100</v>
      </c>
      <c r="Q63" s="10">
        <v>21.07</v>
      </c>
      <c r="R63" s="10">
        <v>183.65600000000001</v>
      </c>
      <c r="S63" s="10">
        <v>175.84399999999999</v>
      </c>
      <c r="T63" s="10" t="b">
        <f t="shared" si="0"/>
        <v>1</v>
      </c>
      <c r="U63" s="10" t="b">
        <f t="shared" si="1"/>
        <v>1</v>
      </c>
      <c r="V63" s="11">
        <f>VLOOKUP(IF(J63&lt;10, 10, IF(J63&gt;50,50,J63)),'Over to underbark'!$A$3:$C$43,IF(A63="Scots pine",3,IF(A63="Sitka spruce",2, "error")),TRUE)/100</f>
        <v>0.84</v>
      </c>
      <c r="W63">
        <f t="shared" si="2"/>
        <v>138.84393599999999</v>
      </c>
      <c r="X63">
        <f t="shared" si="3"/>
        <v>132.938064</v>
      </c>
      <c r="Y63">
        <f t="shared" si="4"/>
        <v>51.768000000000015</v>
      </c>
      <c r="Z63">
        <f t="shared" si="5"/>
        <v>141.34812464159998</v>
      </c>
      <c r="AA63">
        <f t="shared" si="6"/>
        <v>41.156832960000003</v>
      </c>
      <c r="AB63">
        <f t="shared" si="7"/>
        <v>67.663231070400002</v>
      </c>
      <c r="AC63">
        <f t="shared" si="8"/>
        <v>73.381811327999998</v>
      </c>
      <c r="AD63">
        <f>LOOKUP($A63,'Over to underbark'!$A$47:$A$48,'Over to underbark'!E$47:E$48)*Z63</f>
        <v>59.366212349471986</v>
      </c>
      <c r="AE63">
        <f>LOOKUP($A63,'Over to underbark'!$A$47:$A$48,'Over to underbark'!E$47:E$48)*AA63</f>
        <v>17.2858698432</v>
      </c>
      <c r="AF63">
        <f>LOOKUP($A63,'Over to underbark'!$A$47:$A$48,'Over to underbark'!E$47:E$48)*AB63</f>
        <v>28.418557049568001</v>
      </c>
      <c r="AG63">
        <f>LOOKUP($A63,'Over to underbark'!$A$47:$A$48,'Over to underbark'!E$47:E$48)*AC63</f>
        <v>30.82036075776</v>
      </c>
      <c r="AH63" t="b">
        <f t="shared" si="9"/>
        <v>1</v>
      </c>
      <c r="AI63" t="b">
        <f t="shared" si="10"/>
        <v>1</v>
      </c>
      <c r="AJ63">
        <f>LOOKUP(A63,'Over to underbark'!$A$47:$A$48,'Over to underbark'!E$47:E$48)*M63</f>
        <v>150.98999999999998</v>
      </c>
      <c r="AK63" s="22">
        <f>LOOKUP(A63,'Over to underbark'!$A$47:$A$48,'Over to underbark'!$B$47:$B$48)*AJ63</f>
        <v>51.336599999999997</v>
      </c>
      <c r="AL63" s="22">
        <f>LOOKUP(A63,'Over to underbark'!$A$47:$A$48,'Over to underbark'!C$47:C$48)*AJ63</f>
        <v>52.846499999999992</v>
      </c>
      <c r="AM63" s="22">
        <f t="shared" si="11"/>
        <v>202.32659999999998</v>
      </c>
      <c r="AN63" s="36">
        <v>481.73</v>
      </c>
      <c r="AO63" s="23">
        <f t="shared" si="12"/>
        <v>404.65319999999997</v>
      </c>
      <c r="AQ63">
        <f t="shared" si="13"/>
        <v>0.67164179104477617</v>
      </c>
    </row>
    <row r="64" spans="1:43" x14ac:dyDescent="0.35">
      <c r="A64" t="s">
        <v>41</v>
      </c>
      <c r="B64">
        <v>6</v>
      </c>
      <c r="C64">
        <v>2</v>
      </c>
      <c r="D64" t="s">
        <v>42</v>
      </c>
      <c r="E64">
        <v>2</v>
      </c>
      <c r="F64">
        <v>1</v>
      </c>
      <c r="G64" s="12">
        <v>30</v>
      </c>
      <c r="H64" s="12">
        <v>8.0500000000000007</v>
      </c>
      <c r="I64" s="12">
        <v>2193</v>
      </c>
      <c r="J64" s="12">
        <v>10.58</v>
      </c>
      <c r="K64" s="12">
        <v>19.28</v>
      </c>
      <c r="L64" s="12">
        <v>2.5999999999999999E-2</v>
      </c>
      <c r="M64" s="19">
        <v>56.6</v>
      </c>
      <c r="N64" s="12">
        <v>0</v>
      </c>
      <c r="O64" s="13">
        <v>1.887</v>
      </c>
      <c r="P64" s="14">
        <v>30</v>
      </c>
      <c r="Q64" s="14">
        <v>10.58</v>
      </c>
      <c r="R64" s="14">
        <v>56.6</v>
      </c>
      <c r="S64" s="14">
        <v>0</v>
      </c>
      <c r="T64" s="10" t="b">
        <f t="shared" si="0"/>
        <v>1</v>
      </c>
      <c r="U64" s="10" t="b">
        <f t="shared" si="1"/>
        <v>1</v>
      </c>
      <c r="V64" s="11">
        <f>VLOOKUP(IF(J64&lt;10, 10, IF(J64&gt;50,50,J64)),'Over to underbark'!$A$3:$C$43,IF(A64="Scots pine",3,IF(A64="Sitka spruce",2, "error")),TRUE)/100</f>
        <v>0.53</v>
      </c>
      <c r="W64">
        <f t="shared" ref="W64:W127" si="14">R64*0.9*V64</f>
        <v>26.998200000000004</v>
      </c>
      <c r="X64">
        <f t="shared" ref="X64:X127" si="15">S64*0.9*V64</f>
        <v>0</v>
      </c>
      <c r="Y64">
        <f t="shared" si="4"/>
        <v>23.941800000000001</v>
      </c>
      <c r="Z64">
        <f t="shared" si="5"/>
        <v>26.073409770000001</v>
      </c>
      <c r="AA64">
        <f t="shared" si="6"/>
        <v>14.940702000000002</v>
      </c>
      <c r="AB64">
        <f t="shared" si="7"/>
        <v>9.9258882300000018</v>
      </c>
      <c r="AC64">
        <f t="shared" si="8"/>
        <v>0</v>
      </c>
      <c r="AD64">
        <f>LOOKUP($A64,'Over to underbark'!$A$47:$A$48,'Over to underbark'!E$47:E$48)*Z64</f>
        <v>10.9508321034</v>
      </c>
      <c r="AE64">
        <f>LOOKUP($A64,'Over to underbark'!$A$47:$A$48,'Over to underbark'!E$47:E$48)*AA64</f>
        <v>6.2750948400000004</v>
      </c>
      <c r="AF64">
        <f>LOOKUP($A64,'Over to underbark'!$A$47:$A$48,'Over to underbark'!E$47:E$48)*AB64</f>
        <v>4.1688730566000007</v>
      </c>
      <c r="AG64">
        <f>LOOKUP($A64,'Over to underbark'!$A$47:$A$48,'Over to underbark'!E$47:E$48)*AC64</f>
        <v>0</v>
      </c>
      <c r="AH64" t="b">
        <f t="shared" si="9"/>
        <v>1</v>
      </c>
      <c r="AI64" t="b">
        <f t="shared" si="10"/>
        <v>1</v>
      </c>
      <c r="AJ64">
        <f>LOOKUP(A64,'Over to underbark'!$A$47:$A$48,'Over to underbark'!E$47:E$48)*M64</f>
        <v>23.771999999999998</v>
      </c>
      <c r="AK64" s="22">
        <f>LOOKUP(A64,'Over to underbark'!$A$47:$A$48,'Over to underbark'!$B$47:$B$48)*AJ64</f>
        <v>8.0824800000000003</v>
      </c>
      <c r="AL64" s="22">
        <f>LOOKUP(A64,'Over to underbark'!$A$47:$A$48,'Over to underbark'!C$47:C$48)*AJ64</f>
        <v>8.3201999999999998</v>
      </c>
      <c r="AM64" s="22">
        <f t="shared" si="11"/>
        <v>31.854479999999999</v>
      </c>
      <c r="AN64" s="36">
        <v>75.84</v>
      </c>
      <c r="AO64" s="23">
        <f t="shared" si="12"/>
        <v>63.708959999999998</v>
      </c>
      <c r="AQ64">
        <f t="shared" si="13"/>
        <v>0.67164179104477628</v>
      </c>
    </row>
    <row r="65" spans="1:43" x14ac:dyDescent="0.35">
      <c r="A65" t="s">
        <v>41</v>
      </c>
      <c r="B65">
        <v>6</v>
      </c>
      <c r="C65">
        <v>2</v>
      </c>
      <c r="D65" t="s">
        <v>42</v>
      </c>
      <c r="E65">
        <v>2</v>
      </c>
      <c r="F65">
        <v>1</v>
      </c>
      <c r="G65" s="12">
        <v>31</v>
      </c>
      <c r="H65" s="12">
        <v>8.3559999999999999</v>
      </c>
      <c r="I65" s="12">
        <v>2180</v>
      </c>
      <c r="J65" s="12">
        <v>10.909000000000001</v>
      </c>
      <c r="K65" s="12">
        <v>20.375</v>
      </c>
      <c r="L65" s="12">
        <v>2.9000000000000001E-2</v>
      </c>
      <c r="M65" s="19">
        <v>62.98</v>
      </c>
      <c r="N65" s="12">
        <v>0</v>
      </c>
      <c r="O65" s="13">
        <v>2.032</v>
      </c>
      <c r="P65" s="14">
        <v>31</v>
      </c>
      <c r="Q65" s="14">
        <v>10.909000000000001</v>
      </c>
      <c r="R65" s="14">
        <v>62.98</v>
      </c>
      <c r="S65" s="14">
        <v>0</v>
      </c>
      <c r="T65" s="10" t="b">
        <f t="shared" si="0"/>
        <v>1</v>
      </c>
      <c r="U65" s="10" t="b">
        <f t="shared" si="1"/>
        <v>1</v>
      </c>
      <c r="V65" s="11">
        <f>VLOOKUP(IF(J65&lt;10, 10, IF(J65&gt;50,50,J65)),'Over to underbark'!$A$3:$C$43,IF(A65="Scots pine",3,IF(A65="Sitka spruce",2, "error")),TRUE)/100</f>
        <v>0.53</v>
      </c>
      <c r="W65">
        <f t="shared" si="14"/>
        <v>30.041459999999997</v>
      </c>
      <c r="X65">
        <f t="shared" si="15"/>
        <v>0</v>
      </c>
      <c r="Y65">
        <f t="shared" si="4"/>
        <v>26.640539999999998</v>
      </c>
      <c r="Z65">
        <f t="shared" si="5"/>
        <v>29.012426630999997</v>
      </c>
      <c r="AA65">
        <f t="shared" si="6"/>
        <v>16.624830599999999</v>
      </c>
      <c r="AB65">
        <f t="shared" si="7"/>
        <v>11.044742768999997</v>
      </c>
      <c r="AC65">
        <f t="shared" si="8"/>
        <v>0</v>
      </c>
      <c r="AD65">
        <f>LOOKUP($A65,'Over to underbark'!$A$47:$A$48,'Over to underbark'!E$47:E$48)*Z65</f>
        <v>12.185219185019998</v>
      </c>
      <c r="AE65">
        <f>LOOKUP($A65,'Over to underbark'!$A$47:$A$48,'Over to underbark'!E$47:E$48)*AA65</f>
        <v>6.9824288519999991</v>
      </c>
      <c r="AF65">
        <f>LOOKUP($A65,'Over to underbark'!$A$47:$A$48,'Over to underbark'!E$47:E$48)*AB65</f>
        <v>4.6387919629799983</v>
      </c>
      <c r="AG65">
        <f>LOOKUP($A65,'Over to underbark'!$A$47:$A$48,'Over to underbark'!E$47:E$48)*AC65</f>
        <v>0</v>
      </c>
      <c r="AH65" t="b">
        <f t="shared" si="9"/>
        <v>1</v>
      </c>
      <c r="AI65" t="b">
        <f t="shared" si="10"/>
        <v>1</v>
      </c>
      <c r="AJ65">
        <f>LOOKUP(A65,'Over to underbark'!$A$47:$A$48,'Over to underbark'!E$47:E$48)*M65</f>
        <v>26.451599999999999</v>
      </c>
      <c r="AK65" s="22">
        <f>LOOKUP(A65,'Over to underbark'!$A$47:$A$48,'Over to underbark'!$B$47:$B$48)*AJ65</f>
        <v>8.993544</v>
      </c>
      <c r="AL65" s="22">
        <f>LOOKUP(A65,'Over to underbark'!$A$47:$A$48,'Over to underbark'!C$47:C$48)*AJ65</f>
        <v>9.2580599999999986</v>
      </c>
      <c r="AM65" s="22">
        <f t="shared" si="11"/>
        <v>35.445143999999999</v>
      </c>
      <c r="AN65" s="36">
        <v>84.39</v>
      </c>
      <c r="AO65" s="23">
        <f t="shared" si="12"/>
        <v>70.890287999999998</v>
      </c>
      <c r="AQ65">
        <f t="shared" si="13"/>
        <v>0.67164179104477595</v>
      </c>
    </row>
    <row r="66" spans="1:43" x14ac:dyDescent="0.35">
      <c r="A66" t="s">
        <v>41</v>
      </c>
      <c r="B66">
        <v>6</v>
      </c>
      <c r="C66">
        <v>2</v>
      </c>
      <c r="D66" t="s">
        <v>42</v>
      </c>
      <c r="E66">
        <v>2</v>
      </c>
      <c r="F66">
        <v>1</v>
      </c>
      <c r="G66" s="12">
        <v>32</v>
      </c>
      <c r="H66" s="12">
        <v>8.6620000000000008</v>
      </c>
      <c r="I66" s="12">
        <v>2167</v>
      </c>
      <c r="J66" s="12">
        <v>11.231</v>
      </c>
      <c r="K66" s="12">
        <v>21.469000000000001</v>
      </c>
      <c r="L66" s="12">
        <v>3.2000000000000001E-2</v>
      </c>
      <c r="M66" s="19">
        <v>69.36</v>
      </c>
      <c r="N66" s="12">
        <v>0</v>
      </c>
      <c r="O66" s="13">
        <v>2.1669999999999998</v>
      </c>
      <c r="P66" s="14">
        <v>32</v>
      </c>
      <c r="Q66" s="14">
        <v>11.231</v>
      </c>
      <c r="R66" s="14">
        <v>69.36</v>
      </c>
      <c r="S66" s="14">
        <v>0</v>
      </c>
      <c r="T66" s="10" t="b">
        <f t="shared" si="0"/>
        <v>1</v>
      </c>
      <c r="U66" s="10" t="b">
        <f t="shared" si="1"/>
        <v>1</v>
      </c>
      <c r="V66" s="11">
        <f>VLOOKUP(IF(J66&lt;10, 10, IF(J66&gt;50,50,J66)),'Over to underbark'!$A$3:$C$43,IF(A66="Scots pine",3,IF(A66="Sitka spruce",2, "error")),TRUE)/100</f>
        <v>0.66</v>
      </c>
      <c r="W66">
        <f t="shared" si="14"/>
        <v>41.199840000000002</v>
      </c>
      <c r="X66">
        <f t="shared" si="15"/>
        <v>0</v>
      </c>
      <c r="Y66">
        <f t="shared" si="4"/>
        <v>21.224159999999998</v>
      </c>
      <c r="Z66">
        <f t="shared" si="5"/>
        <v>32.132816423999998</v>
      </c>
      <c r="AA66">
        <f t="shared" si="6"/>
        <v>15.144062399999999</v>
      </c>
      <c r="AB66">
        <f t="shared" si="7"/>
        <v>15.147121175999999</v>
      </c>
      <c r="AC66">
        <f t="shared" si="8"/>
        <v>0</v>
      </c>
      <c r="AD66">
        <f>LOOKUP($A66,'Over to underbark'!$A$47:$A$48,'Over to underbark'!E$47:E$48)*Z66</f>
        <v>13.495782898079998</v>
      </c>
      <c r="AE66">
        <f>LOOKUP($A66,'Over to underbark'!$A$47:$A$48,'Over to underbark'!E$47:E$48)*AA66</f>
        <v>6.3605062079999994</v>
      </c>
      <c r="AF66">
        <f>LOOKUP($A66,'Over to underbark'!$A$47:$A$48,'Over to underbark'!E$47:E$48)*AB66</f>
        <v>6.3617908939199994</v>
      </c>
      <c r="AG66">
        <f>LOOKUP($A66,'Over to underbark'!$A$47:$A$48,'Over to underbark'!E$47:E$48)*AC66</f>
        <v>0</v>
      </c>
      <c r="AH66" t="b">
        <f t="shared" si="9"/>
        <v>1</v>
      </c>
      <c r="AI66" t="b">
        <f t="shared" si="10"/>
        <v>1</v>
      </c>
      <c r="AJ66">
        <f>LOOKUP(A66,'Over to underbark'!$A$47:$A$48,'Over to underbark'!E$47:E$48)*M66</f>
        <v>29.1312</v>
      </c>
      <c r="AK66" s="22">
        <f>LOOKUP(A66,'Over to underbark'!$A$47:$A$48,'Over to underbark'!$B$47:$B$48)*AJ66</f>
        <v>9.9046080000000014</v>
      </c>
      <c r="AL66" s="22">
        <f>LOOKUP(A66,'Over to underbark'!$A$47:$A$48,'Over to underbark'!C$47:C$48)*AJ66</f>
        <v>10.195919999999999</v>
      </c>
      <c r="AM66" s="22">
        <f t="shared" si="11"/>
        <v>39.035808000000003</v>
      </c>
      <c r="AN66" s="36">
        <v>92.94</v>
      </c>
      <c r="AO66" s="23">
        <f t="shared" si="12"/>
        <v>78.071616000000006</v>
      </c>
      <c r="AQ66">
        <f t="shared" si="13"/>
        <v>0.67164179104477595</v>
      </c>
    </row>
    <row r="67" spans="1:43" x14ac:dyDescent="0.35">
      <c r="A67" t="s">
        <v>41</v>
      </c>
      <c r="B67">
        <v>6</v>
      </c>
      <c r="C67">
        <v>2</v>
      </c>
      <c r="D67" t="s">
        <v>42</v>
      </c>
      <c r="E67">
        <v>2</v>
      </c>
      <c r="F67">
        <v>1</v>
      </c>
      <c r="G67" s="12">
        <v>33</v>
      </c>
      <c r="H67" s="12">
        <v>8.968</v>
      </c>
      <c r="I67" s="12">
        <v>2154</v>
      </c>
      <c r="J67" s="12">
        <v>11.548999999999999</v>
      </c>
      <c r="K67" s="12">
        <v>22.564</v>
      </c>
      <c r="L67" s="12">
        <v>3.5000000000000003E-2</v>
      </c>
      <c r="M67" s="19">
        <v>75.739999999999995</v>
      </c>
      <c r="N67" s="12">
        <v>0</v>
      </c>
      <c r="O67" s="13">
        <v>2.2949999999999999</v>
      </c>
      <c r="P67" s="14">
        <v>33</v>
      </c>
      <c r="Q67" s="14">
        <v>11.548999999999999</v>
      </c>
      <c r="R67" s="14">
        <v>75.739999999999995</v>
      </c>
      <c r="S67" s="14">
        <v>0</v>
      </c>
      <c r="T67" s="10" t="b">
        <f t="shared" si="0"/>
        <v>1</v>
      </c>
      <c r="U67" s="10" t="b">
        <f t="shared" si="1"/>
        <v>1</v>
      </c>
      <c r="V67" s="11">
        <f>VLOOKUP(IF(J67&lt;10, 10, IF(J67&gt;50,50,J67)),'Over to underbark'!$A$3:$C$43,IF(A67="Scots pine",3,IF(A67="Sitka spruce",2, "error")),TRUE)/100</f>
        <v>0.66</v>
      </c>
      <c r="W67">
        <f t="shared" si="14"/>
        <v>44.989559999999997</v>
      </c>
      <c r="X67">
        <f t="shared" si="15"/>
        <v>0</v>
      </c>
      <c r="Y67">
        <f t="shared" si="4"/>
        <v>23.176439999999996</v>
      </c>
      <c r="Z67">
        <f t="shared" si="5"/>
        <v>35.088516665999997</v>
      </c>
      <c r="AA67">
        <f t="shared" si="6"/>
        <v>16.537071599999997</v>
      </c>
      <c r="AB67">
        <f t="shared" si="7"/>
        <v>16.540411733999999</v>
      </c>
      <c r="AC67">
        <f t="shared" si="8"/>
        <v>0</v>
      </c>
      <c r="AD67">
        <f>LOOKUP($A67,'Over to underbark'!$A$47:$A$48,'Over to underbark'!E$47:E$48)*Z67</f>
        <v>14.737176999719997</v>
      </c>
      <c r="AE67">
        <f>LOOKUP($A67,'Over to underbark'!$A$47:$A$48,'Over to underbark'!E$47:E$48)*AA67</f>
        <v>6.9455700719999989</v>
      </c>
      <c r="AF67">
        <f>LOOKUP($A67,'Over to underbark'!$A$47:$A$48,'Over to underbark'!E$47:E$48)*AB67</f>
        <v>6.9469729282799992</v>
      </c>
      <c r="AG67">
        <f>LOOKUP($A67,'Over to underbark'!$A$47:$A$48,'Over to underbark'!E$47:E$48)*AC67</f>
        <v>0</v>
      </c>
      <c r="AH67" t="b">
        <f t="shared" si="9"/>
        <v>1</v>
      </c>
      <c r="AI67" t="b">
        <f t="shared" si="10"/>
        <v>1</v>
      </c>
      <c r="AJ67">
        <f>LOOKUP(A67,'Over to underbark'!$A$47:$A$48,'Over to underbark'!E$47:E$48)*M67</f>
        <v>31.810799999999997</v>
      </c>
      <c r="AK67" s="22">
        <f>LOOKUP(A67,'Over to underbark'!$A$47:$A$48,'Over to underbark'!$B$47:$B$48)*AJ67</f>
        <v>10.815671999999999</v>
      </c>
      <c r="AL67" s="22">
        <f>LOOKUP(A67,'Over to underbark'!$A$47:$A$48,'Over to underbark'!C$47:C$48)*AJ67</f>
        <v>11.133779999999998</v>
      </c>
      <c r="AM67" s="22">
        <f t="shared" si="11"/>
        <v>42.626471999999993</v>
      </c>
      <c r="AN67" s="36">
        <v>101.49</v>
      </c>
      <c r="AO67" s="23">
        <f t="shared" si="12"/>
        <v>85.252943999999985</v>
      </c>
      <c r="AQ67">
        <f t="shared" si="13"/>
        <v>0.67164179104477606</v>
      </c>
    </row>
    <row r="68" spans="1:43" x14ac:dyDescent="0.35">
      <c r="A68" t="s">
        <v>41</v>
      </c>
      <c r="B68">
        <v>6</v>
      </c>
      <c r="C68">
        <v>2</v>
      </c>
      <c r="D68" t="s">
        <v>42</v>
      </c>
      <c r="E68">
        <v>2</v>
      </c>
      <c r="F68">
        <v>1</v>
      </c>
      <c r="G68" s="12">
        <v>34</v>
      </c>
      <c r="H68" s="12">
        <v>9.2739999999999991</v>
      </c>
      <c r="I68" s="12">
        <v>2141</v>
      </c>
      <c r="J68" s="12">
        <v>11.862</v>
      </c>
      <c r="K68" s="12">
        <v>23.658999999999999</v>
      </c>
      <c r="L68" s="12">
        <v>3.7999999999999999E-2</v>
      </c>
      <c r="M68" s="19">
        <v>82.12</v>
      </c>
      <c r="N68" s="12">
        <v>0</v>
      </c>
      <c r="O68" s="13">
        <v>2.415</v>
      </c>
      <c r="P68" s="14">
        <v>34</v>
      </c>
      <c r="Q68" s="14">
        <v>11.862</v>
      </c>
      <c r="R68" s="14">
        <v>82.12</v>
      </c>
      <c r="S68" s="14">
        <v>0</v>
      </c>
      <c r="T68" s="10" t="b">
        <f t="shared" ref="T68:T131" si="16">G68=P68</f>
        <v>1</v>
      </c>
      <c r="U68" s="10" t="b">
        <f t="shared" ref="U68:U131" si="17">J68=Q68</f>
        <v>1</v>
      </c>
      <c r="V68" s="11">
        <f>VLOOKUP(IF(J68&lt;10, 10, IF(J68&gt;50,50,J68)),'Over to underbark'!$A$3:$C$43,IF(A68="Scots pine",3,IF(A68="Sitka spruce",2, "error")),TRUE)/100</f>
        <v>0.66</v>
      </c>
      <c r="W68">
        <f t="shared" si="14"/>
        <v>48.77928</v>
      </c>
      <c r="X68">
        <f t="shared" si="15"/>
        <v>0</v>
      </c>
      <c r="Y68">
        <f t="shared" ref="Y68:Y131" si="18">(R68+S68)*0.9*(100%-V68)</f>
        <v>25.128719999999998</v>
      </c>
      <c r="Z68">
        <f t="shared" ref="Z68:Z131" si="19">(50%*Y68)+(46%*W68)+(15%*X68)+(43%*W68*10%)+(43%*W68*90%*5%)+(25%*X68*50%)+(60%*X68*8%)</f>
        <v>38.044216908000003</v>
      </c>
      <c r="AA68">
        <f t="shared" ref="AA68:AA131" si="20">(50%*Y68)+(11%*W68)</f>
        <v>17.930080799999999</v>
      </c>
      <c r="AB68">
        <f t="shared" ref="AB68:AB131" si="21">(43%*W68*90%*95%)+(25%*X68*50%)</f>
        <v>17.933702292</v>
      </c>
      <c r="AC68">
        <f t="shared" ref="AC68:AC131" si="22">60%*X68*92%</f>
        <v>0</v>
      </c>
      <c r="AD68">
        <f>LOOKUP($A68,'Over to underbark'!$A$47:$A$48,'Over to underbark'!E$47:E$48)*Z68</f>
        <v>15.97857110136</v>
      </c>
      <c r="AE68">
        <f>LOOKUP($A68,'Over to underbark'!$A$47:$A$48,'Over to underbark'!E$47:E$48)*AA68</f>
        <v>7.5306339359999992</v>
      </c>
      <c r="AF68">
        <f>LOOKUP($A68,'Over to underbark'!$A$47:$A$48,'Over to underbark'!E$47:E$48)*AB68</f>
        <v>7.53215496264</v>
      </c>
      <c r="AG68">
        <f>LOOKUP($A68,'Over to underbark'!$A$47:$A$48,'Over to underbark'!E$47:E$48)*AC68</f>
        <v>0</v>
      </c>
      <c r="AH68" t="b">
        <f t="shared" ref="AH68:AH131" si="23">SUM(W68:Y68)=SUM(Z68:AC68)</f>
        <v>1</v>
      </c>
      <c r="AI68" t="b">
        <f t="shared" ref="AI68:AI131" si="24">SUM(R68:S68)*0.9 = SUM(W68:Y68)</f>
        <v>1</v>
      </c>
      <c r="AJ68">
        <f>LOOKUP(A68,'Over to underbark'!$A$47:$A$48,'Over to underbark'!E$47:E$48)*M68</f>
        <v>34.490400000000001</v>
      </c>
      <c r="AK68" s="22">
        <f>LOOKUP(A68,'Over to underbark'!$A$47:$A$48,'Over to underbark'!$B$47:$B$48)*AJ68</f>
        <v>11.726736000000001</v>
      </c>
      <c r="AL68" s="22">
        <f>LOOKUP(A68,'Over to underbark'!$A$47:$A$48,'Over to underbark'!C$47:C$48)*AJ68</f>
        <v>12.07164</v>
      </c>
      <c r="AM68" s="22">
        <f t="shared" ref="AM68:AM131" si="25">AJ68+AK68</f>
        <v>46.217136000000004</v>
      </c>
      <c r="AN68" s="36">
        <v>110.04</v>
      </c>
      <c r="AO68" s="23">
        <f t="shared" ref="AO68:AO131" si="26">AM68*2</f>
        <v>92.434272000000007</v>
      </c>
      <c r="AQ68">
        <f t="shared" ref="AQ68:AQ131" si="27">(AD68+AE68+AF68+AG68)/AM68</f>
        <v>0.67164179104477606</v>
      </c>
    </row>
    <row r="69" spans="1:43" x14ac:dyDescent="0.35">
      <c r="A69" t="s">
        <v>41</v>
      </c>
      <c r="B69">
        <v>6</v>
      </c>
      <c r="C69">
        <v>2</v>
      </c>
      <c r="D69" t="s">
        <v>42</v>
      </c>
      <c r="E69">
        <v>2</v>
      </c>
      <c r="F69">
        <v>1</v>
      </c>
      <c r="G69" s="12">
        <v>35</v>
      </c>
      <c r="H69" s="12">
        <v>9.58</v>
      </c>
      <c r="I69" s="12">
        <v>2128</v>
      </c>
      <c r="J69" s="12">
        <v>12.17</v>
      </c>
      <c r="K69" s="12">
        <v>24.754000000000001</v>
      </c>
      <c r="L69" s="12">
        <v>4.2000000000000003E-2</v>
      </c>
      <c r="M69" s="19">
        <v>88.5</v>
      </c>
      <c r="N69" s="12">
        <v>0</v>
      </c>
      <c r="O69" s="13">
        <v>2.5289999999999999</v>
      </c>
      <c r="P69" s="14">
        <v>35</v>
      </c>
      <c r="Q69" s="14">
        <v>12.17</v>
      </c>
      <c r="R69" s="14">
        <v>88.5</v>
      </c>
      <c r="S69" s="14">
        <v>0</v>
      </c>
      <c r="T69" s="10" t="b">
        <f t="shared" si="16"/>
        <v>1</v>
      </c>
      <c r="U69" s="10" t="b">
        <f t="shared" si="17"/>
        <v>1</v>
      </c>
      <c r="V69" s="11">
        <f>VLOOKUP(IF(J69&lt;10, 10, IF(J69&gt;50,50,J69)),'Over to underbark'!$A$3:$C$43,IF(A69="Scots pine",3,IF(A69="Sitka spruce",2, "error")),TRUE)/100</f>
        <v>0.74</v>
      </c>
      <c r="W69">
        <f t="shared" si="14"/>
        <v>58.941000000000003</v>
      </c>
      <c r="X69">
        <f t="shared" si="15"/>
        <v>0</v>
      </c>
      <c r="Y69">
        <f t="shared" si="18"/>
        <v>20.709000000000003</v>
      </c>
      <c r="Z69">
        <f t="shared" si="19"/>
        <v>41.142331349999999</v>
      </c>
      <c r="AA69">
        <f t="shared" si="20"/>
        <v>16.838010000000001</v>
      </c>
      <c r="AB69">
        <f t="shared" si="21"/>
        <v>21.669658650000002</v>
      </c>
      <c r="AC69">
        <f t="shared" si="22"/>
        <v>0</v>
      </c>
      <c r="AD69">
        <f>LOOKUP($A69,'Over to underbark'!$A$47:$A$48,'Over to underbark'!E$47:E$48)*Z69</f>
        <v>17.279779166999997</v>
      </c>
      <c r="AE69">
        <f>LOOKUP($A69,'Over to underbark'!$A$47:$A$48,'Over to underbark'!E$47:E$48)*AA69</f>
        <v>7.0719642</v>
      </c>
      <c r="AF69">
        <f>LOOKUP($A69,'Over to underbark'!$A$47:$A$48,'Over to underbark'!E$47:E$48)*AB69</f>
        <v>9.1012566330000002</v>
      </c>
      <c r="AG69">
        <f>LOOKUP($A69,'Over to underbark'!$A$47:$A$48,'Over to underbark'!E$47:E$48)*AC69</f>
        <v>0</v>
      </c>
      <c r="AH69" t="b">
        <f t="shared" si="23"/>
        <v>1</v>
      </c>
      <c r="AI69" t="b">
        <f t="shared" si="24"/>
        <v>1</v>
      </c>
      <c r="AJ69">
        <f>LOOKUP(A69,'Over to underbark'!$A$47:$A$48,'Over to underbark'!E$47:E$48)*M69</f>
        <v>37.17</v>
      </c>
      <c r="AK69" s="22">
        <f>LOOKUP(A69,'Over to underbark'!$A$47:$A$48,'Over to underbark'!$B$47:$B$48)*AJ69</f>
        <v>12.637800000000002</v>
      </c>
      <c r="AL69" s="22">
        <f>LOOKUP(A69,'Over to underbark'!$A$47:$A$48,'Over to underbark'!C$47:C$48)*AJ69</f>
        <v>13.009499999999999</v>
      </c>
      <c r="AM69" s="22">
        <f t="shared" si="25"/>
        <v>49.8078</v>
      </c>
      <c r="AN69" s="36">
        <v>118.59</v>
      </c>
      <c r="AO69" s="23">
        <f t="shared" si="26"/>
        <v>99.615600000000001</v>
      </c>
      <c r="AQ69">
        <f t="shared" si="27"/>
        <v>0.67164179104477606</v>
      </c>
    </row>
    <row r="70" spans="1:43" x14ac:dyDescent="0.35">
      <c r="A70" t="s">
        <v>41</v>
      </c>
      <c r="B70">
        <v>6</v>
      </c>
      <c r="C70">
        <v>2</v>
      </c>
      <c r="D70" t="s">
        <v>42</v>
      </c>
      <c r="E70">
        <v>2</v>
      </c>
      <c r="F70">
        <v>1</v>
      </c>
      <c r="G70" s="12">
        <v>36</v>
      </c>
      <c r="H70" s="12">
        <v>9.8640000000000008</v>
      </c>
      <c r="I70" s="12">
        <v>2103</v>
      </c>
      <c r="J70" s="12">
        <v>12.476000000000001</v>
      </c>
      <c r="K70" s="12">
        <v>25.709</v>
      </c>
      <c r="L70" s="12">
        <v>4.5999999999999999E-2</v>
      </c>
      <c r="M70" s="19">
        <v>96.16</v>
      </c>
      <c r="N70" s="12">
        <v>4.2000000000000003E-2</v>
      </c>
      <c r="O70" s="13">
        <v>2.6709999999999998</v>
      </c>
      <c r="P70" s="14">
        <v>36</v>
      </c>
      <c r="Q70" s="14">
        <v>12.476000000000001</v>
      </c>
      <c r="R70" s="14">
        <v>96.16</v>
      </c>
      <c r="S70" s="14">
        <v>0</v>
      </c>
      <c r="T70" s="10" t="b">
        <f t="shared" si="16"/>
        <v>1</v>
      </c>
      <c r="U70" s="10" t="b">
        <f t="shared" si="17"/>
        <v>1</v>
      </c>
      <c r="V70" s="11">
        <f>VLOOKUP(IF(J70&lt;10, 10, IF(J70&gt;50,50,J70)),'Over to underbark'!$A$3:$C$43,IF(A70="Scots pine",3,IF(A70="Sitka spruce",2, "error")),TRUE)/100</f>
        <v>0.74</v>
      </c>
      <c r="W70">
        <f t="shared" si="14"/>
        <v>64.042559999999995</v>
      </c>
      <c r="X70">
        <f t="shared" si="15"/>
        <v>0</v>
      </c>
      <c r="Y70">
        <f t="shared" si="18"/>
        <v>22.501439999999999</v>
      </c>
      <c r="Z70">
        <f t="shared" si="19"/>
        <v>44.703351215999994</v>
      </c>
      <c r="AA70">
        <f t="shared" si="20"/>
        <v>18.295401599999998</v>
      </c>
      <c r="AB70">
        <f t="shared" si="21"/>
        <v>23.545247183999997</v>
      </c>
      <c r="AC70">
        <f t="shared" si="22"/>
        <v>0</v>
      </c>
      <c r="AD70">
        <f>LOOKUP($A70,'Over to underbark'!$A$47:$A$48,'Over to underbark'!E$47:E$48)*Z70</f>
        <v>18.775407510719997</v>
      </c>
      <c r="AE70">
        <f>LOOKUP($A70,'Over to underbark'!$A$47:$A$48,'Over to underbark'!E$47:E$48)*AA70</f>
        <v>7.6840686719999987</v>
      </c>
      <c r="AF70">
        <f>LOOKUP($A70,'Over to underbark'!$A$47:$A$48,'Over to underbark'!E$47:E$48)*AB70</f>
        <v>9.889003817279999</v>
      </c>
      <c r="AG70">
        <f>LOOKUP($A70,'Over to underbark'!$A$47:$A$48,'Over to underbark'!E$47:E$48)*AC70</f>
        <v>0</v>
      </c>
      <c r="AH70" t="b">
        <f t="shared" si="23"/>
        <v>1</v>
      </c>
      <c r="AI70" t="b">
        <f t="shared" si="24"/>
        <v>1</v>
      </c>
      <c r="AJ70">
        <f>LOOKUP(A70,'Over to underbark'!$A$47:$A$48,'Over to underbark'!E$47:E$48)*M70</f>
        <v>40.3872</v>
      </c>
      <c r="AK70" s="22">
        <f>LOOKUP(A70,'Over to underbark'!$A$47:$A$48,'Over to underbark'!$B$47:$B$48)*AJ70</f>
        <v>13.731648000000002</v>
      </c>
      <c r="AL70" s="22">
        <f>LOOKUP(A70,'Over to underbark'!$A$47:$A$48,'Over to underbark'!C$47:C$48)*AJ70</f>
        <v>14.13552</v>
      </c>
      <c r="AM70" s="22">
        <f t="shared" si="25"/>
        <v>54.118848</v>
      </c>
      <c r="AN70" s="36">
        <v>128.85</v>
      </c>
      <c r="AO70" s="23">
        <f t="shared" si="26"/>
        <v>108.237696</v>
      </c>
      <c r="AQ70">
        <f t="shared" si="27"/>
        <v>0.67164179104477606</v>
      </c>
    </row>
    <row r="71" spans="1:43" x14ac:dyDescent="0.35">
      <c r="A71" t="s">
        <v>41</v>
      </c>
      <c r="B71">
        <v>6</v>
      </c>
      <c r="C71">
        <v>2</v>
      </c>
      <c r="D71" t="s">
        <v>42</v>
      </c>
      <c r="E71">
        <v>2</v>
      </c>
      <c r="F71">
        <v>1</v>
      </c>
      <c r="G71" s="12">
        <v>37</v>
      </c>
      <c r="H71" s="12">
        <v>10.148</v>
      </c>
      <c r="I71" s="12">
        <v>2079</v>
      </c>
      <c r="J71" s="12">
        <v>12.779</v>
      </c>
      <c r="K71" s="12">
        <v>26.663</v>
      </c>
      <c r="L71" s="12">
        <v>0.05</v>
      </c>
      <c r="M71" s="19">
        <v>103.82</v>
      </c>
      <c r="N71" s="12">
        <v>7.6999999999999999E-2</v>
      </c>
      <c r="O71" s="13">
        <v>2.806</v>
      </c>
      <c r="P71" s="14">
        <v>37</v>
      </c>
      <c r="Q71" s="14">
        <v>12.779</v>
      </c>
      <c r="R71" s="14">
        <v>103.306</v>
      </c>
      <c r="S71" s="14">
        <v>0.51400000000000001</v>
      </c>
      <c r="T71" s="10" t="b">
        <f t="shared" si="16"/>
        <v>1</v>
      </c>
      <c r="U71" s="10" t="b">
        <f t="shared" si="17"/>
        <v>1</v>
      </c>
      <c r="V71" s="11">
        <f>VLOOKUP(IF(J71&lt;10, 10, IF(J71&gt;50,50,J71)),'Over to underbark'!$A$3:$C$43,IF(A71="Scots pine",3,IF(A71="Sitka spruce",2, "error")),TRUE)/100</f>
        <v>0.74</v>
      </c>
      <c r="W71">
        <f t="shared" si="14"/>
        <v>68.801795999999996</v>
      </c>
      <c r="X71">
        <f t="shared" si="15"/>
        <v>0.34232400000000002</v>
      </c>
      <c r="Y71">
        <f t="shared" si="18"/>
        <v>24.293880000000001</v>
      </c>
      <c r="Z71">
        <f t="shared" si="19"/>
        <v>48.1961287926</v>
      </c>
      <c r="AA71">
        <f t="shared" si="20"/>
        <v>19.715137560000002</v>
      </c>
      <c r="AB71">
        <f t="shared" si="21"/>
        <v>25.337770799399998</v>
      </c>
      <c r="AC71">
        <f t="shared" si="22"/>
        <v>0.18896284800000002</v>
      </c>
      <c r="AD71">
        <f>LOOKUP($A71,'Over to underbark'!$A$47:$A$48,'Over to underbark'!E$47:E$48)*Z71</f>
        <v>20.242374092892</v>
      </c>
      <c r="AE71">
        <f>LOOKUP($A71,'Over to underbark'!$A$47:$A$48,'Over to underbark'!E$47:E$48)*AA71</f>
        <v>8.2803577752000006</v>
      </c>
      <c r="AF71">
        <f>LOOKUP($A71,'Over to underbark'!$A$47:$A$48,'Over to underbark'!E$47:E$48)*AB71</f>
        <v>10.641863735747998</v>
      </c>
      <c r="AG71">
        <f>LOOKUP($A71,'Over to underbark'!$A$47:$A$48,'Over to underbark'!E$47:E$48)*AC71</f>
        <v>7.9364396160000003E-2</v>
      </c>
      <c r="AH71" t="b">
        <f t="shared" si="23"/>
        <v>1</v>
      </c>
      <c r="AI71" t="b">
        <f t="shared" si="24"/>
        <v>1</v>
      </c>
      <c r="AJ71">
        <f>LOOKUP(A71,'Over to underbark'!$A$47:$A$48,'Over to underbark'!E$47:E$48)*M71</f>
        <v>43.604399999999998</v>
      </c>
      <c r="AK71" s="22">
        <f>LOOKUP(A71,'Over to underbark'!$A$47:$A$48,'Over to underbark'!$B$47:$B$48)*AJ71</f>
        <v>14.825496000000001</v>
      </c>
      <c r="AL71" s="22">
        <f>LOOKUP(A71,'Over to underbark'!$A$47:$A$48,'Over to underbark'!C$47:C$48)*AJ71</f>
        <v>15.261539999999998</v>
      </c>
      <c r="AM71" s="22">
        <f t="shared" si="25"/>
        <v>58.429895999999999</v>
      </c>
      <c r="AN71" s="36">
        <v>139.12</v>
      </c>
      <c r="AO71" s="23">
        <f t="shared" si="26"/>
        <v>116.859792</v>
      </c>
      <c r="AQ71">
        <f t="shared" si="27"/>
        <v>0.67164179104477617</v>
      </c>
    </row>
    <row r="72" spans="1:43" x14ac:dyDescent="0.35">
      <c r="A72" t="s">
        <v>41</v>
      </c>
      <c r="B72">
        <v>6</v>
      </c>
      <c r="C72">
        <v>2</v>
      </c>
      <c r="D72" t="s">
        <v>42</v>
      </c>
      <c r="E72">
        <v>2</v>
      </c>
      <c r="F72">
        <v>1</v>
      </c>
      <c r="G72" s="12">
        <v>38</v>
      </c>
      <c r="H72" s="12">
        <v>10.432</v>
      </c>
      <c r="I72" s="12">
        <v>2054</v>
      </c>
      <c r="J72" s="12">
        <v>13.084</v>
      </c>
      <c r="K72" s="12">
        <v>27.617999999999999</v>
      </c>
      <c r="L72" s="12">
        <v>5.3999999999999999E-2</v>
      </c>
      <c r="M72" s="19">
        <v>111.48</v>
      </c>
      <c r="N72" s="12">
        <v>0.108</v>
      </c>
      <c r="O72" s="13">
        <v>2.9340000000000002</v>
      </c>
      <c r="P72" s="14">
        <v>38</v>
      </c>
      <c r="Q72" s="14">
        <v>13.084</v>
      </c>
      <c r="R72" s="14">
        <v>109.04</v>
      </c>
      <c r="S72" s="14">
        <v>2.44</v>
      </c>
      <c r="T72" s="10" t="b">
        <f t="shared" si="16"/>
        <v>1</v>
      </c>
      <c r="U72" s="10" t="b">
        <f t="shared" si="17"/>
        <v>1</v>
      </c>
      <c r="V72" s="11">
        <f>VLOOKUP(IF(J72&lt;10, 10, IF(J72&gt;50,50,J72)),'Over to underbark'!$A$3:$C$43,IF(A72="Scots pine",3,IF(A72="Sitka spruce",2, "error")),TRUE)/100</f>
        <v>0.79</v>
      </c>
      <c r="W72">
        <f t="shared" si="14"/>
        <v>77.527440000000013</v>
      </c>
      <c r="X72">
        <f t="shared" si="15"/>
        <v>1.7348400000000002</v>
      </c>
      <c r="Y72">
        <f t="shared" si="18"/>
        <v>21.069719999999997</v>
      </c>
      <c r="Z72">
        <f t="shared" si="19"/>
        <v>51.59167160400002</v>
      </c>
      <c r="AA72">
        <f t="shared" si="20"/>
        <v>19.062878400000002</v>
      </c>
      <c r="AB72">
        <f t="shared" si="21"/>
        <v>28.719818316000001</v>
      </c>
      <c r="AC72">
        <f t="shared" si="22"/>
        <v>0.9576316800000001</v>
      </c>
      <c r="AD72">
        <f>LOOKUP($A72,'Over to underbark'!$A$47:$A$48,'Over to underbark'!E$47:E$48)*Z72</f>
        <v>21.668502073680006</v>
      </c>
      <c r="AE72">
        <f>LOOKUP($A72,'Over to underbark'!$A$47:$A$48,'Over to underbark'!E$47:E$48)*AA72</f>
        <v>8.0064089280000008</v>
      </c>
      <c r="AF72">
        <f>LOOKUP($A72,'Over to underbark'!$A$47:$A$48,'Over to underbark'!E$47:E$48)*AB72</f>
        <v>12.06232369272</v>
      </c>
      <c r="AG72">
        <f>LOOKUP($A72,'Over to underbark'!$A$47:$A$48,'Over to underbark'!E$47:E$48)*AC72</f>
        <v>0.40220530560000001</v>
      </c>
      <c r="AH72" t="b">
        <f t="shared" si="23"/>
        <v>1</v>
      </c>
      <c r="AI72" t="b">
        <f t="shared" si="24"/>
        <v>1</v>
      </c>
      <c r="AJ72">
        <f>LOOKUP(A72,'Over to underbark'!$A$47:$A$48,'Over to underbark'!E$47:E$48)*M72</f>
        <v>46.821599999999997</v>
      </c>
      <c r="AK72" s="22">
        <f>LOOKUP(A72,'Over to underbark'!$A$47:$A$48,'Over to underbark'!$B$47:$B$48)*AJ72</f>
        <v>15.919344000000001</v>
      </c>
      <c r="AL72" s="22">
        <f>LOOKUP(A72,'Over to underbark'!$A$47:$A$48,'Over to underbark'!C$47:C$48)*AJ72</f>
        <v>16.387559999999997</v>
      </c>
      <c r="AM72" s="22">
        <f t="shared" si="25"/>
        <v>62.740943999999999</v>
      </c>
      <c r="AN72" s="36">
        <v>149.38</v>
      </c>
      <c r="AO72" s="23">
        <f t="shared" si="26"/>
        <v>125.481888</v>
      </c>
      <c r="AQ72">
        <f t="shared" si="27"/>
        <v>0.67164179104477628</v>
      </c>
    </row>
    <row r="73" spans="1:43" x14ac:dyDescent="0.35">
      <c r="A73" t="s">
        <v>41</v>
      </c>
      <c r="B73">
        <v>6</v>
      </c>
      <c r="C73">
        <v>2</v>
      </c>
      <c r="D73" t="s">
        <v>42</v>
      </c>
      <c r="E73">
        <v>2</v>
      </c>
      <c r="F73">
        <v>1</v>
      </c>
      <c r="G73" s="12">
        <v>39</v>
      </c>
      <c r="H73" s="12">
        <v>10.715999999999999</v>
      </c>
      <c r="I73" s="12">
        <v>2030</v>
      </c>
      <c r="J73" s="12">
        <v>13.387</v>
      </c>
      <c r="K73" s="12">
        <v>28.573</v>
      </c>
      <c r="L73" s="12">
        <v>5.8999999999999997E-2</v>
      </c>
      <c r="M73" s="19">
        <v>119.14</v>
      </c>
      <c r="N73" s="12">
        <v>0.13400000000000001</v>
      </c>
      <c r="O73" s="13">
        <v>3.0550000000000002</v>
      </c>
      <c r="P73" s="14">
        <v>39</v>
      </c>
      <c r="Q73" s="14">
        <v>13.387</v>
      </c>
      <c r="R73" s="14">
        <v>114.48699999999999</v>
      </c>
      <c r="S73" s="14">
        <v>4.6529999999999996</v>
      </c>
      <c r="T73" s="10" t="b">
        <f t="shared" si="16"/>
        <v>1</v>
      </c>
      <c r="U73" s="10" t="b">
        <f t="shared" si="17"/>
        <v>1</v>
      </c>
      <c r="V73" s="11">
        <f>VLOOKUP(IF(J73&lt;10, 10, IF(J73&gt;50,50,J73)),'Over to underbark'!$A$3:$C$43,IF(A73="Scots pine",3,IF(A73="Sitka spruce",2, "error")),TRUE)/100</f>
        <v>0.79</v>
      </c>
      <c r="W73">
        <f t="shared" si="14"/>
        <v>81.400256999999996</v>
      </c>
      <c r="X73">
        <f t="shared" si="15"/>
        <v>3.3082829999999999</v>
      </c>
      <c r="Y73">
        <f t="shared" si="18"/>
        <v>22.517459999999996</v>
      </c>
      <c r="Z73">
        <f t="shared" si="19"/>
        <v>54.846729652949996</v>
      </c>
      <c r="AA73">
        <f t="shared" si="20"/>
        <v>20.212758269999998</v>
      </c>
      <c r="AB73">
        <f t="shared" si="21"/>
        <v>30.340339861049998</v>
      </c>
      <c r="AC73">
        <f t="shared" si="22"/>
        <v>1.8261722159999998</v>
      </c>
      <c r="AD73">
        <f>LOOKUP($A73,'Over to underbark'!$A$47:$A$48,'Over to underbark'!E$47:E$48)*Z73</f>
        <v>23.035626454238997</v>
      </c>
      <c r="AE73">
        <f>LOOKUP($A73,'Over to underbark'!$A$47:$A$48,'Over to underbark'!E$47:E$48)*AA73</f>
        <v>8.4893584733999994</v>
      </c>
      <c r="AF73">
        <f>LOOKUP($A73,'Over to underbark'!$A$47:$A$48,'Over to underbark'!E$47:E$48)*AB73</f>
        <v>12.742942741640999</v>
      </c>
      <c r="AG73">
        <f>LOOKUP($A73,'Over to underbark'!$A$47:$A$48,'Over to underbark'!E$47:E$48)*AC73</f>
        <v>0.76699233071999984</v>
      </c>
      <c r="AH73" t="b">
        <f t="shared" si="23"/>
        <v>1</v>
      </c>
      <c r="AI73" t="b">
        <f t="shared" si="24"/>
        <v>1</v>
      </c>
      <c r="AJ73">
        <f>LOOKUP(A73,'Over to underbark'!$A$47:$A$48,'Over to underbark'!E$47:E$48)*M73</f>
        <v>50.038799999999995</v>
      </c>
      <c r="AK73" s="22">
        <f>LOOKUP(A73,'Over to underbark'!$A$47:$A$48,'Over to underbark'!$B$47:$B$48)*AJ73</f>
        <v>17.013192</v>
      </c>
      <c r="AL73" s="22">
        <f>LOOKUP(A73,'Over to underbark'!$A$47:$A$48,'Over to underbark'!C$47:C$48)*AJ73</f>
        <v>17.513579999999997</v>
      </c>
      <c r="AM73" s="22">
        <f t="shared" si="25"/>
        <v>67.051991999999998</v>
      </c>
      <c r="AN73" s="36">
        <v>159.65</v>
      </c>
      <c r="AO73" s="23">
        <f t="shared" si="26"/>
        <v>134.103984</v>
      </c>
      <c r="AQ73">
        <f t="shared" si="27"/>
        <v>0.67164179104477617</v>
      </c>
    </row>
    <row r="74" spans="1:43" x14ac:dyDescent="0.35">
      <c r="A74" t="s">
        <v>41</v>
      </c>
      <c r="B74">
        <v>6</v>
      </c>
      <c r="C74">
        <v>2</v>
      </c>
      <c r="D74" t="s">
        <v>42</v>
      </c>
      <c r="E74">
        <v>2</v>
      </c>
      <c r="F74">
        <v>1</v>
      </c>
      <c r="G74" s="12">
        <v>40</v>
      </c>
      <c r="H74" s="12">
        <v>11</v>
      </c>
      <c r="I74" s="12">
        <v>2006</v>
      </c>
      <c r="J74" s="12">
        <v>13.69</v>
      </c>
      <c r="K74" s="12">
        <v>29.527999999999999</v>
      </c>
      <c r="L74" s="12">
        <v>6.3E-2</v>
      </c>
      <c r="M74" s="19">
        <v>126.8</v>
      </c>
      <c r="N74" s="12">
        <v>0.157</v>
      </c>
      <c r="O74" s="13">
        <v>3.17</v>
      </c>
      <c r="P74" s="14">
        <v>40</v>
      </c>
      <c r="Q74" s="14">
        <v>13.69</v>
      </c>
      <c r="R74" s="14">
        <v>119.63500000000001</v>
      </c>
      <c r="S74" s="14">
        <v>7.165</v>
      </c>
      <c r="T74" s="10" t="b">
        <f t="shared" si="16"/>
        <v>1</v>
      </c>
      <c r="U74" s="10" t="b">
        <f t="shared" si="17"/>
        <v>1</v>
      </c>
      <c r="V74" s="11">
        <f>VLOOKUP(IF(J74&lt;10, 10, IF(J74&gt;50,50,J74)),'Over to underbark'!$A$3:$C$43,IF(A74="Scots pine",3,IF(A74="Sitka spruce",2, "error")),TRUE)/100</f>
        <v>0.79</v>
      </c>
      <c r="W74">
        <f t="shared" si="14"/>
        <v>85.060485000000014</v>
      </c>
      <c r="X74">
        <f t="shared" si="15"/>
        <v>5.0943149999999999</v>
      </c>
      <c r="Y74">
        <f t="shared" si="18"/>
        <v>23.965199999999999</v>
      </c>
      <c r="Z74">
        <f t="shared" si="19"/>
        <v>58.059408084750004</v>
      </c>
      <c r="AA74">
        <f t="shared" si="20"/>
        <v>21.33925335</v>
      </c>
      <c r="AB74">
        <f t="shared" si="21"/>
        <v>31.909276685250003</v>
      </c>
      <c r="AC74">
        <f t="shared" si="22"/>
        <v>2.8120618799999999</v>
      </c>
      <c r="AD74">
        <f>LOOKUP($A74,'Over to underbark'!$A$47:$A$48,'Over to underbark'!E$47:E$48)*Z74</f>
        <v>24.384951395594999</v>
      </c>
      <c r="AE74">
        <f>LOOKUP($A74,'Over to underbark'!$A$47:$A$48,'Over to underbark'!E$47:E$48)*AA74</f>
        <v>8.9624864070000001</v>
      </c>
      <c r="AF74">
        <f>LOOKUP($A74,'Over to underbark'!$A$47:$A$48,'Over to underbark'!E$47:E$48)*AB74</f>
        <v>13.401896207805001</v>
      </c>
      <c r="AG74">
        <f>LOOKUP($A74,'Over to underbark'!$A$47:$A$48,'Over to underbark'!E$47:E$48)*AC74</f>
        <v>1.1810659896</v>
      </c>
      <c r="AH74" t="b">
        <f t="shared" si="23"/>
        <v>1</v>
      </c>
      <c r="AI74" t="b">
        <f t="shared" si="24"/>
        <v>1</v>
      </c>
      <c r="AJ74">
        <f>LOOKUP(A74,'Over to underbark'!$A$47:$A$48,'Over to underbark'!E$47:E$48)*M74</f>
        <v>53.256</v>
      </c>
      <c r="AK74" s="22">
        <f>LOOKUP(A74,'Over to underbark'!$A$47:$A$48,'Over to underbark'!$B$47:$B$48)*AJ74</f>
        <v>18.107040000000001</v>
      </c>
      <c r="AL74" s="22">
        <f>LOOKUP(A74,'Over to underbark'!$A$47:$A$48,'Over to underbark'!C$47:C$48)*AJ74</f>
        <v>18.639599999999998</v>
      </c>
      <c r="AM74" s="22">
        <f t="shared" si="25"/>
        <v>71.363039999999998</v>
      </c>
      <c r="AN74" s="36">
        <v>169.91</v>
      </c>
      <c r="AO74" s="23">
        <f t="shared" si="26"/>
        <v>142.72608</v>
      </c>
      <c r="AQ74">
        <f t="shared" si="27"/>
        <v>0.67164179104477617</v>
      </c>
    </row>
    <row r="75" spans="1:43" x14ac:dyDescent="0.35">
      <c r="A75" t="s">
        <v>41</v>
      </c>
      <c r="B75">
        <v>6</v>
      </c>
      <c r="C75">
        <v>2</v>
      </c>
      <c r="D75" t="s">
        <v>42</v>
      </c>
      <c r="E75">
        <v>2</v>
      </c>
      <c r="F75">
        <v>1</v>
      </c>
      <c r="G75" s="12">
        <v>41</v>
      </c>
      <c r="H75" s="12">
        <v>11.257999999999999</v>
      </c>
      <c r="I75" s="12">
        <v>1984</v>
      </c>
      <c r="J75" s="12">
        <v>13.984</v>
      </c>
      <c r="K75" s="12">
        <v>30.472000000000001</v>
      </c>
      <c r="L75" s="12">
        <v>6.8000000000000005E-2</v>
      </c>
      <c r="M75" s="19">
        <v>135.16</v>
      </c>
      <c r="N75" s="12">
        <v>0.251</v>
      </c>
      <c r="O75" s="13">
        <v>3.2970000000000002</v>
      </c>
      <c r="P75" s="14">
        <v>41</v>
      </c>
      <c r="Q75" s="14">
        <v>13.984</v>
      </c>
      <c r="R75" s="14">
        <v>125.199</v>
      </c>
      <c r="S75" s="14">
        <v>9.9610000000000003</v>
      </c>
      <c r="T75" s="10" t="b">
        <f t="shared" si="16"/>
        <v>1</v>
      </c>
      <c r="U75" s="10" t="b">
        <f t="shared" si="17"/>
        <v>1</v>
      </c>
      <c r="V75" s="11">
        <f>VLOOKUP(IF(J75&lt;10, 10, IF(J75&gt;50,50,J75)),'Over to underbark'!$A$3:$C$43,IF(A75="Scots pine",3,IF(A75="Sitka spruce",2, "error")),TRUE)/100</f>
        <v>0.79</v>
      </c>
      <c r="W75">
        <f t="shared" si="14"/>
        <v>89.016489000000007</v>
      </c>
      <c r="X75">
        <f t="shared" si="15"/>
        <v>7.0822710000000004</v>
      </c>
      <c r="Y75">
        <f t="shared" si="18"/>
        <v>25.545239999999996</v>
      </c>
      <c r="Z75">
        <f t="shared" si="19"/>
        <v>61.557956562149997</v>
      </c>
      <c r="AA75">
        <f t="shared" si="20"/>
        <v>22.564433789999999</v>
      </c>
      <c r="AB75">
        <f t="shared" si="21"/>
        <v>33.612196055849999</v>
      </c>
      <c r="AC75">
        <f t="shared" si="22"/>
        <v>3.9094135920000004</v>
      </c>
      <c r="AD75">
        <f>LOOKUP($A75,'Over to underbark'!$A$47:$A$48,'Over to underbark'!E$47:E$48)*Z75</f>
        <v>25.854341756102997</v>
      </c>
      <c r="AE75">
        <f>LOOKUP($A75,'Over to underbark'!$A$47:$A$48,'Over to underbark'!E$47:E$48)*AA75</f>
        <v>9.4770621918</v>
      </c>
      <c r="AF75">
        <f>LOOKUP($A75,'Over to underbark'!$A$47:$A$48,'Over to underbark'!E$47:E$48)*AB75</f>
        <v>14.117122343457</v>
      </c>
      <c r="AG75">
        <f>LOOKUP($A75,'Over to underbark'!$A$47:$A$48,'Over to underbark'!E$47:E$48)*AC75</f>
        <v>1.64195370864</v>
      </c>
      <c r="AH75" t="b">
        <f t="shared" si="23"/>
        <v>1</v>
      </c>
      <c r="AI75" t="b">
        <f t="shared" si="24"/>
        <v>1</v>
      </c>
      <c r="AJ75">
        <f>LOOKUP(A75,'Over to underbark'!$A$47:$A$48,'Over to underbark'!E$47:E$48)*M75</f>
        <v>56.767199999999995</v>
      </c>
      <c r="AK75" s="22">
        <f>LOOKUP(A75,'Over to underbark'!$A$47:$A$48,'Over to underbark'!$B$47:$B$48)*AJ75</f>
        <v>19.300847999999998</v>
      </c>
      <c r="AL75" s="22">
        <f>LOOKUP(A75,'Over to underbark'!$A$47:$A$48,'Over to underbark'!C$47:C$48)*AJ75</f>
        <v>19.868519999999997</v>
      </c>
      <c r="AM75" s="22">
        <f t="shared" si="25"/>
        <v>76.06804799999999</v>
      </c>
      <c r="AN75" s="36">
        <v>181.11</v>
      </c>
      <c r="AO75" s="23">
        <f t="shared" si="26"/>
        <v>152.13609599999998</v>
      </c>
      <c r="AQ75">
        <f t="shared" si="27"/>
        <v>0.67164179104477617</v>
      </c>
    </row>
    <row r="76" spans="1:43" x14ac:dyDescent="0.35">
      <c r="A76" t="s">
        <v>41</v>
      </c>
      <c r="B76">
        <v>6</v>
      </c>
      <c r="C76">
        <v>2</v>
      </c>
      <c r="D76" t="s">
        <v>42</v>
      </c>
      <c r="E76">
        <v>2</v>
      </c>
      <c r="F76">
        <v>1</v>
      </c>
      <c r="G76" s="12">
        <v>42</v>
      </c>
      <c r="H76" s="12">
        <v>11.516</v>
      </c>
      <c r="I76" s="12">
        <v>1963</v>
      </c>
      <c r="J76" s="12">
        <v>14.275</v>
      </c>
      <c r="K76" s="12">
        <v>31.417000000000002</v>
      </c>
      <c r="L76" s="12">
        <v>7.2999999999999995E-2</v>
      </c>
      <c r="M76" s="19">
        <v>143.52000000000001</v>
      </c>
      <c r="N76" s="12">
        <v>0.33300000000000002</v>
      </c>
      <c r="O76" s="13">
        <v>3.4169999999999998</v>
      </c>
      <c r="P76" s="14">
        <v>42</v>
      </c>
      <c r="Q76" s="14">
        <v>14.275</v>
      </c>
      <c r="R76" s="14">
        <v>130.471</v>
      </c>
      <c r="S76" s="14">
        <v>13.048999999999999</v>
      </c>
      <c r="T76" s="10" t="b">
        <f t="shared" si="16"/>
        <v>1</v>
      </c>
      <c r="U76" s="10" t="b">
        <f t="shared" si="17"/>
        <v>1</v>
      </c>
      <c r="V76" s="11">
        <f>VLOOKUP(IF(J76&lt;10, 10, IF(J76&gt;50,50,J76)),'Over to underbark'!$A$3:$C$43,IF(A76="Scots pine",3,IF(A76="Sitka spruce",2, "error")),TRUE)/100</f>
        <v>0.82</v>
      </c>
      <c r="W76">
        <f t="shared" si="14"/>
        <v>96.287598000000003</v>
      </c>
      <c r="X76">
        <f t="shared" si="15"/>
        <v>9.6301619999999986</v>
      </c>
      <c r="Y76">
        <f t="shared" si="18"/>
        <v>23.250240000000009</v>
      </c>
      <c r="Z76">
        <f t="shared" si="19"/>
        <v>65.0314891413</v>
      </c>
      <c r="AA76">
        <f t="shared" si="20"/>
        <v>22.216755780000007</v>
      </c>
      <c r="AB76">
        <f t="shared" si="21"/>
        <v>36.6039056547</v>
      </c>
      <c r="AC76">
        <f t="shared" si="22"/>
        <v>5.3158494239999987</v>
      </c>
      <c r="AD76">
        <f>LOOKUP($A76,'Over to underbark'!$A$47:$A$48,'Over to underbark'!E$47:E$48)*Z76</f>
        <v>27.313225439345999</v>
      </c>
      <c r="AE76">
        <f>LOOKUP($A76,'Over to underbark'!$A$47:$A$48,'Over to underbark'!E$47:E$48)*AA76</f>
        <v>9.3310374276000019</v>
      </c>
      <c r="AF76">
        <f>LOOKUP($A76,'Over to underbark'!$A$47:$A$48,'Over to underbark'!E$47:E$48)*AB76</f>
        <v>15.373640374974</v>
      </c>
      <c r="AG76">
        <f>LOOKUP($A76,'Over to underbark'!$A$47:$A$48,'Over to underbark'!E$47:E$48)*AC76</f>
        <v>2.2326567580799992</v>
      </c>
      <c r="AH76" t="b">
        <f t="shared" si="23"/>
        <v>1</v>
      </c>
      <c r="AI76" t="b">
        <f t="shared" si="24"/>
        <v>1</v>
      </c>
      <c r="AJ76">
        <f>LOOKUP(A76,'Over to underbark'!$A$47:$A$48,'Over to underbark'!E$47:E$48)*M76</f>
        <v>60.278400000000005</v>
      </c>
      <c r="AK76" s="22">
        <f>LOOKUP(A76,'Over to underbark'!$A$47:$A$48,'Over to underbark'!$B$47:$B$48)*AJ76</f>
        <v>20.494656000000003</v>
      </c>
      <c r="AL76" s="22">
        <f>LOOKUP(A76,'Over to underbark'!$A$47:$A$48,'Over to underbark'!C$47:C$48)*AJ76</f>
        <v>21.097439999999999</v>
      </c>
      <c r="AM76" s="22">
        <f t="shared" si="25"/>
        <v>80.773056000000011</v>
      </c>
      <c r="AN76" s="36">
        <v>192.32</v>
      </c>
      <c r="AO76" s="23">
        <f t="shared" si="26"/>
        <v>161.54611200000002</v>
      </c>
      <c r="AQ76">
        <f t="shared" si="27"/>
        <v>0.67164179104477606</v>
      </c>
    </row>
    <row r="77" spans="1:43" x14ac:dyDescent="0.35">
      <c r="A77" t="s">
        <v>41</v>
      </c>
      <c r="B77">
        <v>6</v>
      </c>
      <c r="C77">
        <v>2</v>
      </c>
      <c r="D77" t="s">
        <v>42</v>
      </c>
      <c r="E77">
        <v>2</v>
      </c>
      <c r="F77">
        <v>1</v>
      </c>
      <c r="G77" s="12">
        <v>43</v>
      </c>
      <c r="H77" s="12">
        <v>11.773999999999999</v>
      </c>
      <c r="I77" s="12">
        <v>1942</v>
      </c>
      <c r="J77" s="12">
        <v>14.566000000000001</v>
      </c>
      <c r="K77" s="12">
        <v>32.360999999999997</v>
      </c>
      <c r="L77" s="12">
        <v>7.8E-2</v>
      </c>
      <c r="M77" s="19">
        <v>151.88</v>
      </c>
      <c r="N77" s="12">
        <v>0.40699999999999997</v>
      </c>
      <c r="O77" s="13">
        <v>3.532</v>
      </c>
      <c r="P77" s="14">
        <v>43</v>
      </c>
      <c r="Q77" s="14">
        <v>14.566000000000001</v>
      </c>
      <c r="R77" s="14">
        <v>135.42699999999999</v>
      </c>
      <c r="S77" s="14">
        <v>16.452999999999999</v>
      </c>
      <c r="T77" s="10" t="b">
        <f t="shared" si="16"/>
        <v>1</v>
      </c>
      <c r="U77" s="10" t="b">
        <f t="shared" si="17"/>
        <v>1</v>
      </c>
      <c r="V77" s="11">
        <f>VLOOKUP(IF(J77&lt;10, 10, IF(J77&gt;50,50,J77)),'Over to underbark'!$A$3:$C$43,IF(A77="Scots pine",3,IF(A77="Sitka spruce",2, "error")),TRUE)/100</f>
        <v>0.82</v>
      </c>
      <c r="W77">
        <f t="shared" si="14"/>
        <v>99.945125999999988</v>
      </c>
      <c r="X77">
        <f t="shared" si="15"/>
        <v>12.142313999999999</v>
      </c>
      <c r="Y77">
        <f t="shared" si="18"/>
        <v>24.604560000000006</v>
      </c>
      <c r="Z77">
        <f t="shared" si="19"/>
        <v>68.430583988100011</v>
      </c>
      <c r="AA77">
        <f t="shared" si="20"/>
        <v>23.296243860000004</v>
      </c>
      <c r="AB77">
        <f t="shared" si="21"/>
        <v>38.262614823899995</v>
      </c>
      <c r="AC77">
        <f t="shared" si="22"/>
        <v>6.7025573279999993</v>
      </c>
      <c r="AD77">
        <f>LOOKUP($A77,'Over to underbark'!$A$47:$A$48,'Over to underbark'!E$47:E$48)*Z77</f>
        <v>28.740845275002005</v>
      </c>
      <c r="AE77">
        <f>LOOKUP($A77,'Over to underbark'!$A$47:$A$48,'Over to underbark'!E$47:E$48)*AA77</f>
        <v>9.7844224212000022</v>
      </c>
      <c r="AF77">
        <f>LOOKUP($A77,'Over to underbark'!$A$47:$A$48,'Over to underbark'!E$47:E$48)*AB77</f>
        <v>16.070298226037998</v>
      </c>
      <c r="AG77">
        <f>LOOKUP($A77,'Over to underbark'!$A$47:$A$48,'Over to underbark'!E$47:E$48)*AC77</f>
        <v>2.8150740777599994</v>
      </c>
      <c r="AH77" t="b">
        <f t="shared" si="23"/>
        <v>1</v>
      </c>
      <c r="AI77" t="b">
        <f t="shared" si="24"/>
        <v>1</v>
      </c>
      <c r="AJ77">
        <f>LOOKUP(A77,'Over to underbark'!$A$47:$A$48,'Over to underbark'!E$47:E$48)*M77</f>
        <v>63.789599999999993</v>
      </c>
      <c r="AK77" s="22">
        <f>LOOKUP(A77,'Over to underbark'!$A$47:$A$48,'Over to underbark'!$B$47:$B$48)*AJ77</f>
        <v>21.688464</v>
      </c>
      <c r="AL77" s="22">
        <f>LOOKUP(A77,'Over to underbark'!$A$47:$A$48,'Over to underbark'!C$47:C$48)*AJ77</f>
        <v>22.326359999999998</v>
      </c>
      <c r="AM77" s="22">
        <f t="shared" si="25"/>
        <v>85.478063999999989</v>
      </c>
      <c r="AN77" s="36">
        <v>203.52</v>
      </c>
      <c r="AO77" s="23">
        <f t="shared" si="26"/>
        <v>170.95612799999998</v>
      </c>
      <c r="AQ77">
        <f t="shared" si="27"/>
        <v>0.67164179104477628</v>
      </c>
    </row>
    <row r="78" spans="1:43" x14ac:dyDescent="0.35">
      <c r="A78" t="s">
        <v>41</v>
      </c>
      <c r="B78">
        <v>6</v>
      </c>
      <c r="C78">
        <v>2</v>
      </c>
      <c r="D78" t="s">
        <v>42</v>
      </c>
      <c r="E78">
        <v>2</v>
      </c>
      <c r="F78">
        <v>1</v>
      </c>
      <c r="G78" s="12">
        <v>44</v>
      </c>
      <c r="H78" s="12">
        <v>12.032</v>
      </c>
      <c r="I78" s="12">
        <v>1921</v>
      </c>
      <c r="J78" s="12">
        <v>14.858000000000001</v>
      </c>
      <c r="K78" s="12">
        <v>33.305999999999997</v>
      </c>
      <c r="L78" s="12">
        <v>8.3000000000000004E-2</v>
      </c>
      <c r="M78" s="19">
        <v>160.24</v>
      </c>
      <c r="N78" s="12">
        <v>0.47199999999999998</v>
      </c>
      <c r="O78" s="13">
        <v>3.6419999999999999</v>
      </c>
      <c r="P78" s="14">
        <v>44</v>
      </c>
      <c r="Q78" s="14">
        <v>14.858000000000001</v>
      </c>
      <c r="R78" s="14">
        <v>140.059</v>
      </c>
      <c r="S78" s="14">
        <v>20.181000000000001</v>
      </c>
      <c r="T78" s="10" t="b">
        <f t="shared" si="16"/>
        <v>1</v>
      </c>
      <c r="U78" s="10" t="b">
        <f t="shared" si="17"/>
        <v>1</v>
      </c>
      <c r="V78" s="11">
        <f>VLOOKUP(IF(J78&lt;10, 10, IF(J78&gt;50,50,J78)),'Over to underbark'!$A$3:$C$43,IF(A78="Scots pine",3,IF(A78="Sitka spruce",2, "error")),TRUE)/100</f>
        <v>0.82</v>
      </c>
      <c r="W78">
        <f t="shared" si="14"/>
        <v>103.363542</v>
      </c>
      <c r="X78">
        <f t="shared" si="15"/>
        <v>14.893578</v>
      </c>
      <c r="Y78">
        <f t="shared" si="18"/>
        <v>25.958880000000008</v>
      </c>
      <c r="Z78">
        <f t="shared" si="19"/>
        <v>71.782011857700013</v>
      </c>
      <c r="AA78">
        <f t="shared" si="20"/>
        <v>24.349429620000002</v>
      </c>
      <c r="AB78">
        <f t="shared" si="21"/>
        <v>39.863303466299996</v>
      </c>
      <c r="AC78">
        <f t="shared" si="22"/>
        <v>8.2212550560000004</v>
      </c>
      <c r="AD78">
        <f>LOOKUP($A78,'Over to underbark'!$A$47:$A$48,'Over to underbark'!E$47:E$48)*Z78</f>
        <v>30.148444980234004</v>
      </c>
      <c r="AE78">
        <f>LOOKUP($A78,'Over to underbark'!$A$47:$A$48,'Over to underbark'!E$47:E$48)*AA78</f>
        <v>10.226760440400001</v>
      </c>
      <c r="AF78">
        <f>LOOKUP($A78,'Over to underbark'!$A$47:$A$48,'Over to underbark'!E$47:E$48)*AB78</f>
        <v>16.742587455846</v>
      </c>
      <c r="AG78">
        <f>LOOKUP($A78,'Over to underbark'!$A$47:$A$48,'Over to underbark'!E$47:E$48)*AC78</f>
        <v>3.4529271235199999</v>
      </c>
      <c r="AH78" t="b">
        <f t="shared" si="23"/>
        <v>1</v>
      </c>
      <c r="AI78" t="b">
        <f t="shared" si="24"/>
        <v>1</v>
      </c>
      <c r="AJ78">
        <f>LOOKUP(A78,'Over to underbark'!$A$47:$A$48,'Over to underbark'!E$47:E$48)*M78</f>
        <v>67.300799999999995</v>
      </c>
      <c r="AK78" s="22">
        <f>LOOKUP(A78,'Over to underbark'!$A$47:$A$48,'Over to underbark'!$B$47:$B$48)*AJ78</f>
        <v>22.882272</v>
      </c>
      <c r="AL78" s="22">
        <f>LOOKUP(A78,'Over to underbark'!$A$47:$A$48,'Over to underbark'!C$47:C$48)*AJ78</f>
        <v>23.555279999999996</v>
      </c>
      <c r="AM78" s="22">
        <f t="shared" si="25"/>
        <v>90.183071999999996</v>
      </c>
      <c r="AN78" s="36">
        <v>214.72</v>
      </c>
      <c r="AO78" s="23">
        <f t="shared" si="26"/>
        <v>180.36614399999999</v>
      </c>
      <c r="AQ78">
        <f t="shared" si="27"/>
        <v>0.67164179104477617</v>
      </c>
    </row>
    <row r="79" spans="1:43" x14ac:dyDescent="0.35">
      <c r="A79" t="s">
        <v>41</v>
      </c>
      <c r="B79">
        <v>6</v>
      </c>
      <c r="C79">
        <v>2</v>
      </c>
      <c r="D79" t="s">
        <v>42</v>
      </c>
      <c r="E79">
        <v>2</v>
      </c>
      <c r="F79">
        <v>1</v>
      </c>
      <c r="G79" s="12">
        <v>45</v>
      </c>
      <c r="H79" s="12">
        <v>12.29</v>
      </c>
      <c r="I79" s="12">
        <v>1900</v>
      </c>
      <c r="J79" s="12">
        <v>15.15</v>
      </c>
      <c r="K79" s="12">
        <v>34.250999999999998</v>
      </c>
      <c r="L79" s="12">
        <v>8.8999999999999996E-2</v>
      </c>
      <c r="M79" s="19">
        <v>168.6</v>
      </c>
      <c r="N79" s="12">
        <v>0.53100000000000003</v>
      </c>
      <c r="O79" s="13">
        <v>3.7469999999999999</v>
      </c>
      <c r="P79" s="14">
        <v>45</v>
      </c>
      <c r="Q79" s="14">
        <v>15.15</v>
      </c>
      <c r="R79" s="14">
        <v>144.375</v>
      </c>
      <c r="S79" s="14">
        <v>24.225000000000001</v>
      </c>
      <c r="T79" s="10" t="b">
        <f t="shared" si="16"/>
        <v>1</v>
      </c>
      <c r="U79" s="10" t="b">
        <f t="shared" si="17"/>
        <v>1</v>
      </c>
      <c r="V79" s="11">
        <f>VLOOKUP(IF(J79&lt;10, 10, IF(J79&gt;50,50,J79)),'Over to underbark'!$A$3:$C$43,IF(A79="Scots pine",3,IF(A79="Sitka spruce",2, "error")),TRUE)/100</f>
        <v>0.84</v>
      </c>
      <c r="W79">
        <f t="shared" si="14"/>
        <v>109.14749999999999</v>
      </c>
      <c r="X79">
        <f t="shared" si="15"/>
        <v>18.3141</v>
      </c>
      <c r="Y79">
        <f t="shared" si="18"/>
        <v>24.278400000000005</v>
      </c>
      <c r="Z79">
        <f t="shared" si="19"/>
        <v>75.067850925000016</v>
      </c>
      <c r="AA79">
        <f t="shared" si="20"/>
        <v>24.145425000000003</v>
      </c>
      <c r="AB79">
        <f t="shared" si="21"/>
        <v>42.417340875000001</v>
      </c>
      <c r="AC79">
        <f t="shared" si="22"/>
        <v>10.1093832</v>
      </c>
      <c r="AD79">
        <f>LOOKUP($A79,'Over to underbark'!$A$47:$A$48,'Over to underbark'!E$47:E$48)*Z79</f>
        <v>31.528497388500007</v>
      </c>
      <c r="AE79">
        <f>LOOKUP($A79,'Over to underbark'!$A$47:$A$48,'Over to underbark'!E$47:E$48)*AA79</f>
        <v>10.141078500000001</v>
      </c>
      <c r="AF79">
        <f>LOOKUP($A79,'Over to underbark'!$A$47:$A$48,'Over to underbark'!E$47:E$48)*AB79</f>
        <v>17.815283167499999</v>
      </c>
      <c r="AG79">
        <f>LOOKUP($A79,'Over to underbark'!$A$47:$A$48,'Over to underbark'!E$47:E$48)*AC79</f>
        <v>4.245940944</v>
      </c>
      <c r="AH79" t="b">
        <f t="shared" si="23"/>
        <v>1</v>
      </c>
      <c r="AI79" t="b">
        <f t="shared" si="24"/>
        <v>1</v>
      </c>
      <c r="AJ79">
        <f>LOOKUP(A79,'Over to underbark'!$A$47:$A$48,'Over to underbark'!E$47:E$48)*M79</f>
        <v>70.811999999999998</v>
      </c>
      <c r="AK79" s="22">
        <f>LOOKUP(A79,'Over to underbark'!$A$47:$A$48,'Over to underbark'!$B$47:$B$48)*AJ79</f>
        <v>24.076080000000001</v>
      </c>
      <c r="AL79" s="22">
        <f>LOOKUP(A79,'Over to underbark'!$A$47:$A$48,'Over to underbark'!C$47:C$48)*AJ79</f>
        <v>24.784199999999998</v>
      </c>
      <c r="AM79" s="22">
        <f t="shared" si="25"/>
        <v>94.888080000000002</v>
      </c>
      <c r="AN79" s="36">
        <v>225.92</v>
      </c>
      <c r="AO79" s="23">
        <f t="shared" si="26"/>
        <v>189.77616</v>
      </c>
      <c r="AQ79">
        <f t="shared" si="27"/>
        <v>0.67164179104477617</v>
      </c>
    </row>
    <row r="80" spans="1:43" x14ac:dyDescent="0.35">
      <c r="A80" t="s">
        <v>41</v>
      </c>
      <c r="B80">
        <v>6</v>
      </c>
      <c r="C80">
        <v>2</v>
      </c>
      <c r="D80" t="s">
        <v>42</v>
      </c>
      <c r="E80">
        <v>2</v>
      </c>
      <c r="F80">
        <v>1</v>
      </c>
      <c r="G80" s="12">
        <v>46</v>
      </c>
      <c r="H80" s="12">
        <v>12.53</v>
      </c>
      <c r="I80" s="12">
        <v>1880</v>
      </c>
      <c r="J80" s="12">
        <v>15.427</v>
      </c>
      <c r="K80" s="12">
        <v>35.14</v>
      </c>
      <c r="L80" s="12">
        <v>9.4E-2</v>
      </c>
      <c r="M80" s="19">
        <v>177.3</v>
      </c>
      <c r="N80" s="12">
        <v>0.628</v>
      </c>
      <c r="O80" s="13">
        <v>3.8540000000000001</v>
      </c>
      <c r="P80" s="14">
        <v>46</v>
      </c>
      <c r="Q80" s="14">
        <v>15.427</v>
      </c>
      <c r="R80" s="14">
        <v>148.827</v>
      </c>
      <c r="S80" s="14">
        <v>28.472999999999999</v>
      </c>
      <c r="T80" s="10" t="b">
        <f t="shared" si="16"/>
        <v>1</v>
      </c>
      <c r="U80" s="10" t="b">
        <f t="shared" si="17"/>
        <v>1</v>
      </c>
      <c r="V80" s="11">
        <f>VLOOKUP(IF(J80&lt;10, 10, IF(J80&gt;50,50,J80)),'Over to underbark'!$A$3:$C$43,IF(A80="Scots pine",3,IF(A80="Sitka spruce",2, "error")),TRUE)/100</f>
        <v>0.84</v>
      </c>
      <c r="W80">
        <f t="shared" si="14"/>
        <v>112.513212</v>
      </c>
      <c r="X80">
        <f t="shared" si="15"/>
        <v>21.525587999999999</v>
      </c>
      <c r="Y80">
        <f t="shared" si="18"/>
        <v>25.531200000000009</v>
      </c>
      <c r="Z80">
        <f t="shared" si="19"/>
        <v>78.489641212199999</v>
      </c>
      <c r="AA80">
        <f t="shared" si="20"/>
        <v>25.142053320000002</v>
      </c>
      <c r="AB80">
        <f t="shared" si="21"/>
        <v>44.056180891799997</v>
      </c>
      <c r="AC80">
        <f t="shared" si="22"/>
        <v>11.882124575999999</v>
      </c>
      <c r="AD80">
        <f>LOOKUP($A80,'Over to underbark'!$A$47:$A$48,'Over to underbark'!E$47:E$48)*Z80</f>
        <v>32.965649309123997</v>
      </c>
      <c r="AE80">
        <f>LOOKUP($A80,'Over to underbark'!$A$47:$A$48,'Over to underbark'!E$47:E$48)*AA80</f>
        <v>10.5596623944</v>
      </c>
      <c r="AF80">
        <f>LOOKUP($A80,'Over to underbark'!$A$47:$A$48,'Over to underbark'!E$47:E$48)*AB80</f>
        <v>18.503595974555999</v>
      </c>
      <c r="AG80">
        <f>LOOKUP($A80,'Over to underbark'!$A$47:$A$48,'Over to underbark'!E$47:E$48)*AC80</f>
        <v>4.9904923219199997</v>
      </c>
      <c r="AH80" t="b">
        <f t="shared" si="23"/>
        <v>1</v>
      </c>
      <c r="AI80" t="b">
        <f t="shared" si="24"/>
        <v>1</v>
      </c>
      <c r="AJ80">
        <f>LOOKUP(A80,'Over to underbark'!$A$47:$A$48,'Over to underbark'!E$47:E$48)*M80</f>
        <v>74.466000000000008</v>
      </c>
      <c r="AK80" s="22">
        <f>LOOKUP(A80,'Over to underbark'!$A$47:$A$48,'Over to underbark'!$B$47:$B$48)*AJ80</f>
        <v>25.318440000000006</v>
      </c>
      <c r="AL80" s="22">
        <f>LOOKUP(A80,'Over to underbark'!$A$47:$A$48,'Over to underbark'!C$47:C$48)*AJ80</f>
        <v>26.063100000000002</v>
      </c>
      <c r="AM80" s="22">
        <f t="shared" si="25"/>
        <v>99.784440000000018</v>
      </c>
      <c r="AN80" s="36">
        <v>237.58</v>
      </c>
      <c r="AO80" s="23">
        <f t="shared" si="26"/>
        <v>199.56888000000004</v>
      </c>
      <c r="AQ80">
        <f t="shared" si="27"/>
        <v>0.67164179104477595</v>
      </c>
    </row>
    <row r="81" spans="1:43" x14ac:dyDescent="0.35">
      <c r="A81" t="s">
        <v>41</v>
      </c>
      <c r="B81">
        <v>6</v>
      </c>
      <c r="C81">
        <v>2</v>
      </c>
      <c r="D81" t="s">
        <v>42</v>
      </c>
      <c r="E81">
        <v>2</v>
      </c>
      <c r="F81">
        <v>1</v>
      </c>
      <c r="G81" s="12">
        <v>47</v>
      </c>
      <c r="H81" s="12">
        <v>12.77</v>
      </c>
      <c r="I81" s="12">
        <v>1860</v>
      </c>
      <c r="J81" s="12">
        <v>15.705</v>
      </c>
      <c r="K81" s="12">
        <v>36.029000000000003</v>
      </c>
      <c r="L81" s="12">
        <v>0.1</v>
      </c>
      <c r="M81" s="19">
        <v>186</v>
      </c>
      <c r="N81" s="12">
        <v>0.71499999999999997</v>
      </c>
      <c r="O81" s="13">
        <v>3.9569999999999999</v>
      </c>
      <c r="P81" s="14">
        <v>47</v>
      </c>
      <c r="Q81" s="14">
        <v>15.705</v>
      </c>
      <c r="R81" s="14">
        <v>152.96299999999999</v>
      </c>
      <c r="S81" s="14">
        <v>33.036999999999999</v>
      </c>
      <c r="T81" s="10" t="b">
        <f t="shared" si="16"/>
        <v>1</v>
      </c>
      <c r="U81" s="10" t="b">
        <f t="shared" si="17"/>
        <v>1</v>
      </c>
      <c r="V81" s="11">
        <f>VLOOKUP(IF(J81&lt;10, 10, IF(J81&gt;50,50,J81)),'Over to underbark'!$A$3:$C$43,IF(A81="Scots pine",3,IF(A81="Sitka spruce",2, "error")),TRUE)/100</f>
        <v>0.84</v>
      </c>
      <c r="W81">
        <f t="shared" si="14"/>
        <v>115.64002799999999</v>
      </c>
      <c r="X81">
        <f t="shared" si="15"/>
        <v>24.975971999999999</v>
      </c>
      <c r="Y81">
        <f t="shared" si="18"/>
        <v>26.784000000000006</v>
      </c>
      <c r="Z81">
        <f t="shared" si="19"/>
        <v>81.863807581800003</v>
      </c>
      <c r="AA81">
        <f t="shared" si="20"/>
        <v>26.11240308</v>
      </c>
      <c r="AB81">
        <f t="shared" si="21"/>
        <v>45.637052794200002</v>
      </c>
      <c r="AC81">
        <f t="shared" si="22"/>
        <v>13.786736544</v>
      </c>
      <c r="AD81">
        <f>LOOKUP($A81,'Over to underbark'!$A$47:$A$48,'Over to underbark'!E$47:E$48)*Z81</f>
        <v>34.382799184356003</v>
      </c>
      <c r="AE81">
        <f>LOOKUP($A81,'Over to underbark'!$A$47:$A$48,'Over to underbark'!E$47:E$48)*AA81</f>
        <v>10.9672092936</v>
      </c>
      <c r="AF81">
        <f>LOOKUP($A81,'Over to underbark'!$A$47:$A$48,'Over to underbark'!E$47:E$48)*AB81</f>
        <v>19.167562173564001</v>
      </c>
      <c r="AG81">
        <f>LOOKUP($A81,'Over to underbark'!$A$47:$A$48,'Over to underbark'!E$47:E$48)*AC81</f>
        <v>5.79042934848</v>
      </c>
      <c r="AH81" t="b">
        <f t="shared" si="23"/>
        <v>1</v>
      </c>
      <c r="AI81" t="b">
        <f t="shared" si="24"/>
        <v>1</v>
      </c>
      <c r="AJ81">
        <f>LOOKUP(A81,'Over to underbark'!$A$47:$A$48,'Over to underbark'!E$47:E$48)*M81</f>
        <v>78.11999999999999</v>
      </c>
      <c r="AK81" s="22">
        <f>LOOKUP(A81,'Over to underbark'!$A$47:$A$48,'Over to underbark'!$B$47:$B$48)*AJ81</f>
        <v>26.560799999999997</v>
      </c>
      <c r="AL81" s="22">
        <f>LOOKUP(A81,'Over to underbark'!$A$47:$A$48,'Over to underbark'!C$47:C$48)*AJ81</f>
        <v>27.341999999999995</v>
      </c>
      <c r="AM81" s="22">
        <f t="shared" si="25"/>
        <v>104.68079999999999</v>
      </c>
      <c r="AN81" s="36">
        <v>249.24</v>
      </c>
      <c r="AO81" s="23">
        <f t="shared" si="26"/>
        <v>209.36159999999998</v>
      </c>
      <c r="AQ81">
        <f t="shared" si="27"/>
        <v>0.67164179104477628</v>
      </c>
    </row>
    <row r="82" spans="1:43" x14ac:dyDescent="0.35">
      <c r="A82" t="s">
        <v>41</v>
      </c>
      <c r="B82">
        <v>6</v>
      </c>
      <c r="C82">
        <v>2</v>
      </c>
      <c r="D82" t="s">
        <v>42</v>
      </c>
      <c r="E82">
        <v>2</v>
      </c>
      <c r="F82">
        <v>1</v>
      </c>
      <c r="G82" s="12">
        <v>48</v>
      </c>
      <c r="H82" s="12">
        <v>13.01</v>
      </c>
      <c r="I82" s="12">
        <v>1840</v>
      </c>
      <c r="J82" s="12">
        <v>15.983000000000001</v>
      </c>
      <c r="K82" s="12">
        <v>36.917999999999999</v>
      </c>
      <c r="L82" s="12">
        <v>0.106</v>
      </c>
      <c r="M82" s="19">
        <v>194.7</v>
      </c>
      <c r="N82" s="12">
        <v>0.79500000000000004</v>
      </c>
      <c r="O82" s="13">
        <v>4.056</v>
      </c>
      <c r="P82" s="14">
        <v>48</v>
      </c>
      <c r="Q82" s="14">
        <v>15.983000000000001</v>
      </c>
      <c r="R82" s="14">
        <v>156.79599999999999</v>
      </c>
      <c r="S82" s="14">
        <v>37.904000000000003</v>
      </c>
      <c r="T82" s="10" t="b">
        <f t="shared" si="16"/>
        <v>1</v>
      </c>
      <c r="U82" s="10" t="b">
        <f t="shared" si="17"/>
        <v>1</v>
      </c>
      <c r="V82" s="11">
        <f>VLOOKUP(IF(J82&lt;10, 10, IF(J82&gt;50,50,J82)),'Over to underbark'!$A$3:$C$43,IF(A82="Scots pine",3,IF(A82="Sitka spruce",2, "error")),TRUE)/100</f>
        <v>0.84</v>
      </c>
      <c r="W82">
        <f t="shared" si="14"/>
        <v>118.53777599999999</v>
      </c>
      <c r="X82">
        <f t="shared" si="15"/>
        <v>28.655424000000004</v>
      </c>
      <c r="Y82">
        <f t="shared" si="18"/>
        <v>28.036800000000003</v>
      </c>
      <c r="Z82">
        <f t="shared" si="19"/>
        <v>85.192309245600001</v>
      </c>
      <c r="AA82">
        <f t="shared" si="20"/>
        <v>27.057555360000002</v>
      </c>
      <c r="AB82">
        <f t="shared" si="21"/>
        <v>47.162341346399991</v>
      </c>
      <c r="AC82">
        <f t="shared" si="22"/>
        <v>15.817794048000001</v>
      </c>
      <c r="AD82">
        <f>LOOKUP($A82,'Over to underbark'!$A$47:$A$48,'Over to underbark'!E$47:E$48)*Z82</f>
        <v>35.780769883151997</v>
      </c>
      <c r="AE82">
        <f>LOOKUP($A82,'Over to underbark'!$A$47:$A$48,'Over to underbark'!E$47:E$48)*AA82</f>
        <v>11.3641732512</v>
      </c>
      <c r="AF82">
        <f>LOOKUP($A82,'Over to underbark'!$A$47:$A$48,'Over to underbark'!E$47:E$48)*AB82</f>
        <v>19.808183365487995</v>
      </c>
      <c r="AG82">
        <f>LOOKUP($A82,'Over to underbark'!$A$47:$A$48,'Over to underbark'!E$47:E$48)*AC82</f>
        <v>6.6434735001600007</v>
      </c>
      <c r="AH82" t="b">
        <f t="shared" si="23"/>
        <v>1</v>
      </c>
      <c r="AI82" t="b">
        <f t="shared" si="24"/>
        <v>1</v>
      </c>
      <c r="AJ82">
        <f>LOOKUP(A82,'Over to underbark'!$A$47:$A$48,'Over to underbark'!E$47:E$48)*M82</f>
        <v>81.773999999999987</v>
      </c>
      <c r="AK82" s="22">
        <f>LOOKUP(A82,'Over to underbark'!$A$47:$A$48,'Over to underbark'!$B$47:$B$48)*AJ82</f>
        <v>27.803159999999998</v>
      </c>
      <c r="AL82" s="22">
        <f>LOOKUP(A82,'Over to underbark'!$A$47:$A$48,'Over to underbark'!C$47:C$48)*AJ82</f>
        <v>28.620899999999992</v>
      </c>
      <c r="AM82" s="22">
        <f t="shared" si="25"/>
        <v>109.57715999999999</v>
      </c>
      <c r="AN82" s="36">
        <v>260.89999999999998</v>
      </c>
      <c r="AO82" s="23">
        <f t="shared" si="26"/>
        <v>219.15431999999998</v>
      </c>
      <c r="AQ82">
        <f t="shared" si="27"/>
        <v>0.67164179104477617</v>
      </c>
    </row>
    <row r="83" spans="1:43" x14ac:dyDescent="0.35">
      <c r="A83" t="s">
        <v>41</v>
      </c>
      <c r="B83">
        <v>6</v>
      </c>
      <c r="C83">
        <v>2</v>
      </c>
      <c r="D83" t="s">
        <v>42</v>
      </c>
      <c r="E83">
        <v>2</v>
      </c>
      <c r="F83">
        <v>1</v>
      </c>
      <c r="G83" s="12">
        <v>49</v>
      </c>
      <c r="H83" s="12">
        <v>13.25</v>
      </c>
      <c r="I83" s="12">
        <v>1820</v>
      </c>
      <c r="J83" s="12">
        <v>16.263000000000002</v>
      </c>
      <c r="K83" s="12">
        <v>37.808</v>
      </c>
      <c r="L83" s="12">
        <v>0.112</v>
      </c>
      <c r="M83" s="19">
        <v>203.4</v>
      </c>
      <c r="N83" s="12">
        <v>0.86799999999999999</v>
      </c>
      <c r="O83" s="13">
        <v>4.1509999999999998</v>
      </c>
      <c r="P83" s="14">
        <v>49</v>
      </c>
      <c r="Q83" s="14">
        <v>16.263000000000002</v>
      </c>
      <c r="R83" s="14">
        <v>160.30600000000001</v>
      </c>
      <c r="S83" s="14">
        <v>43.094000000000001</v>
      </c>
      <c r="T83" s="10" t="b">
        <f t="shared" si="16"/>
        <v>1</v>
      </c>
      <c r="U83" s="10" t="b">
        <f t="shared" si="17"/>
        <v>1</v>
      </c>
      <c r="V83" s="11">
        <f>VLOOKUP(IF(J83&lt;10, 10, IF(J83&gt;50,50,J83)),'Over to underbark'!$A$3:$C$43,IF(A83="Scots pine",3,IF(A83="Sitka spruce",2, "error")),TRUE)/100</f>
        <v>0.84</v>
      </c>
      <c r="W83">
        <f t="shared" si="14"/>
        <v>121.19133600000001</v>
      </c>
      <c r="X83">
        <f t="shared" si="15"/>
        <v>32.579064000000002</v>
      </c>
      <c r="Y83">
        <f t="shared" si="18"/>
        <v>29.289600000000007</v>
      </c>
      <c r="Z83">
        <f t="shared" si="19"/>
        <v>88.472132031600012</v>
      </c>
      <c r="AA83">
        <f t="shared" si="20"/>
        <v>27.975846960000005</v>
      </c>
      <c r="AB83">
        <f t="shared" si="21"/>
        <v>48.6283776804</v>
      </c>
      <c r="AC83">
        <f t="shared" si="22"/>
        <v>17.983643328000003</v>
      </c>
      <c r="AD83">
        <f>LOOKUP($A83,'Over to underbark'!$A$47:$A$48,'Over to underbark'!E$47:E$48)*Z83</f>
        <v>37.158295453272004</v>
      </c>
      <c r="AE83">
        <f>LOOKUP($A83,'Over to underbark'!$A$47:$A$48,'Over to underbark'!E$47:E$48)*AA83</f>
        <v>11.749855723200001</v>
      </c>
      <c r="AF83">
        <f>LOOKUP($A83,'Over to underbark'!$A$47:$A$48,'Over to underbark'!E$47:E$48)*AB83</f>
        <v>20.423918625768</v>
      </c>
      <c r="AG83">
        <f>LOOKUP($A83,'Over to underbark'!$A$47:$A$48,'Over to underbark'!E$47:E$48)*AC83</f>
        <v>7.5531301977600007</v>
      </c>
      <c r="AH83" t="b">
        <f t="shared" si="23"/>
        <v>1</v>
      </c>
      <c r="AI83" t="b">
        <f t="shared" si="24"/>
        <v>1</v>
      </c>
      <c r="AJ83">
        <f>LOOKUP(A83,'Over to underbark'!$A$47:$A$48,'Over to underbark'!E$47:E$48)*M83</f>
        <v>85.427999999999997</v>
      </c>
      <c r="AK83" s="22">
        <f>LOOKUP(A83,'Over to underbark'!$A$47:$A$48,'Over to underbark'!$B$47:$B$48)*AJ83</f>
        <v>29.04552</v>
      </c>
      <c r="AL83" s="22">
        <f>LOOKUP(A83,'Over to underbark'!$A$47:$A$48,'Over to underbark'!C$47:C$48)*AJ83</f>
        <v>29.899799999999995</v>
      </c>
      <c r="AM83" s="22">
        <f t="shared" si="25"/>
        <v>114.47351999999999</v>
      </c>
      <c r="AN83" s="36">
        <v>272.56</v>
      </c>
      <c r="AO83" s="23">
        <f t="shared" si="26"/>
        <v>228.94703999999999</v>
      </c>
      <c r="AQ83">
        <f t="shared" si="27"/>
        <v>0.67164179104477617</v>
      </c>
    </row>
    <row r="84" spans="1:43" x14ac:dyDescent="0.35">
      <c r="A84" t="s">
        <v>41</v>
      </c>
      <c r="B84">
        <v>6</v>
      </c>
      <c r="C84">
        <v>2</v>
      </c>
      <c r="D84" t="s">
        <v>42</v>
      </c>
      <c r="E84">
        <v>2</v>
      </c>
      <c r="F84">
        <v>1</v>
      </c>
      <c r="G84" s="12">
        <v>50</v>
      </c>
      <c r="H84" s="12">
        <v>13.49</v>
      </c>
      <c r="I84" s="12">
        <v>1801</v>
      </c>
      <c r="J84" s="12">
        <v>16.54</v>
      </c>
      <c r="K84" s="12">
        <v>38.697000000000003</v>
      </c>
      <c r="L84" s="12">
        <v>0.11799999999999999</v>
      </c>
      <c r="M84" s="19">
        <v>212.1</v>
      </c>
      <c r="N84" s="12">
        <v>0.93400000000000005</v>
      </c>
      <c r="O84" s="13">
        <v>4.242</v>
      </c>
      <c r="P84" s="14">
        <v>50</v>
      </c>
      <c r="Q84" s="14">
        <v>16.54</v>
      </c>
      <c r="R84" s="14">
        <v>163.55799999999999</v>
      </c>
      <c r="S84" s="14">
        <v>48.542000000000002</v>
      </c>
      <c r="T84" s="10" t="b">
        <f t="shared" si="16"/>
        <v>1</v>
      </c>
      <c r="U84" s="10" t="b">
        <f t="shared" si="17"/>
        <v>1</v>
      </c>
      <c r="V84" s="11">
        <f>VLOOKUP(IF(J84&lt;10, 10, IF(J84&gt;50,50,J84)),'Over to underbark'!$A$3:$C$43,IF(A84="Scots pine",3,IF(A84="Sitka spruce",2, "error")),TRUE)/100</f>
        <v>0.84</v>
      </c>
      <c r="W84">
        <f t="shared" si="14"/>
        <v>123.64984800000001</v>
      </c>
      <c r="X84">
        <f t="shared" si="15"/>
        <v>36.697752000000001</v>
      </c>
      <c r="Y84">
        <f t="shared" si="18"/>
        <v>30.542400000000004</v>
      </c>
      <c r="Z84">
        <f t="shared" si="19"/>
        <v>91.713071998800018</v>
      </c>
      <c r="AA84">
        <f t="shared" si="20"/>
        <v>28.872683280000004</v>
      </c>
      <c r="AB84">
        <f t="shared" si="21"/>
        <v>50.047085617199997</v>
      </c>
      <c r="AC84">
        <f t="shared" si="22"/>
        <v>20.257159104000003</v>
      </c>
      <c r="AD84">
        <f>LOOKUP($A84,'Over to underbark'!$A$47:$A$48,'Over to underbark'!E$47:E$48)*Z84</f>
        <v>38.519490239496008</v>
      </c>
      <c r="AE84">
        <f>LOOKUP($A84,'Over to underbark'!$A$47:$A$48,'Over to underbark'!E$47:E$48)*AA84</f>
        <v>12.126526977600001</v>
      </c>
      <c r="AF84">
        <f>LOOKUP($A84,'Over to underbark'!$A$47:$A$48,'Over to underbark'!E$47:E$48)*AB84</f>
        <v>21.019775959223999</v>
      </c>
      <c r="AG84">
        <f>LOOKUP($A84,'Over to underbark'!$A$47:$A$48,'Over to underbark'!E$47:E$48)*AC84</f>
        <v>8.5080068236800006</v>
      </c>
      <c r="AH84" t="b">
        <f t="shared" si="23"/>
        <v>1</v>
      </c>
      <c r="AI84" t="b">
        <f t="shared" si="24"/>
        <v>1</v>
      </c>
      <c r="AJ84">
        <f>LOOKUP(A84,'Over to underbark'!$A$47:$A$48,'Over to underbark'!E$47:E$48)*M84</f>
        <v>89.081999999999994</v>
      </c>
      <c r="AK84" s="22">
        <f>LOOKUP(A84,'Over to underbark'!$A$47:$A$48,'Over to underbark'!$B$47:$B$48)*AJ84</f>
        <v>30.287880000000001</v>
      </c>
      <c r="AL84" s="22">
        <f>LOOKUP(A84,'Over to underbark'!$A$47:$A$48,'Over to underbark'!C$47:C$48)*AJ84</f>
        <v>31.178699999999996</v>
      </c>
      <c r="AM84" s="22">
        <f t="shared" si="25"/>
        <v>119.36987999999999</v>
      </c>
      <c r="AN84" s="36">
        <v>284.20999999999998</v>
      </c>
      <c r="AO84" s="23">
        <f t="shared" si="26"/>
        <v>238.73975999999999</v>
      </c>
      <c r="AQ84">
        <f t="shared" si="27"/>
        <v>0.67164179104477628</v>
      </c>
    </row>
    <row r="85" spans="1:43" x14ac:dyDescent="0.35">
      <c r="A85" t="s">
        <v>41</v>
      </c>
      <c r="B85">
        <v>6</v>
      </c>
      <c r="C85">
        <v>2</v>
      </c>
      <c r="D85" t="s">
        <v>42</v>
      </c>
      <c r="E85">
        <v>2</v>
      </c>
      <c r="F85">
        <v>1</v>
      </c>
      <c r="G85" s="12">
        <v>51</v>
      </c>
      <c r="H85" s="12">
        <v>13.71</v>
      </c>
      <c r="I85" s="12">
        <v>1781</v>
      </c>
      <c r="J85" s="12">
        <v>16.8</v>
      </c>
      <c r="K85" s="12">
        <v>39.481000000000002</v>
      </c>
      <c r="L85" s="12">
        <v>0.124</v>
      </c>
      <c r="M85" s="19">
        <v>220.76</v>
      </c>
      <c r="N85" s="12">
        <v>1.0669999999999999</v>
      </c>
      <c r="O85" s="13">
        <v>4.3289999999999997</v>
      </c>
      <c r="P85" s="14">
        <v>51</v>
      </c>
      <c r="Q85" s="14">
        <v>16.8</v>
      </c>
      <c r="R85" s="14">
        <v>166.72200000000001</v>
      </c>
      <c r="S85" s="14">
        <v>54.037999999999997</v>
      </c>
      <c r="T85" s="10" t="b">
        <f t="shared" si="16"/>
        <v>1</v>
      </c>
      <c r="U85" s="10" t="b">
        <f t="shared" si="17"/>
        <v>1</v>
      </c>
      <c r="V85" s="11">
        <f>VLOOKUP(IF(J85&lt;10, 10, IF(J85&gt;50,50,J85)),'Over to underbark'!$A$3:$C$43,IF(A85="Scots pine",3,IF(A85="Sitka spruce",2, "error")),TRUE)/100</f>
        <v>0.84</v>
      </c>
      <c r="W85">
        <f t="shared" si="14"/>
        <v>126.041832</v>
      </c>
      <c r="X85">
        <f t="shared" si="15"/>
        <v>40.852727999999999</v>
      </c>
      <c r="Y85">
        <f t="shared" si="18"/>
        <v>31.789440000000006</v>
      </c>
      <c r="Z85">
        <f t="shared" si="19"/>
        <v>94.928102089199996</v>
      </c>
      <c r="AA85">
        <f t="shared" si="20"/>
        <v>29.759321520000004</v>
      </c>
      <c r="AB85">
        <f t="shared" si="21"/>
        <v>51.445870534799994</v>
      </c>
      <c r="AC85">
        <f t="shared" si="22"/>
        <v>22.550705856</v>
      </c>
      <c r="AD85">
        <f>LOOKUP($A85,'Over to underbark'!$A$47:$A$48,'Over to underbark'!E$47:E$48)*Z85</f>
        <v>39.869802877463997</v>
      </c>
      <c r="AE85">
        <f>LOOKUP($A85,'Over to underbark'!$A$47:$A$48,'Over to underbark'!E$47:E$48)*AA85</f>
        <v>12.498915038400002</v>
      </c>
      <c r="AF85">
        <f>LOOKUP($A85,'Over to underbark'!$A$47:$A$48,'Over to underbark'!E$47:E$48)*AB85</f>
        <v>21.607265624615998</v>
      </c>
      <c r="AG85">
        <f>LOOKUP($A85,'Over to underbark'!$A$47:$A$48,'Over to underbark'!E$47:E$48)*AC85</f>
        <v>9.4712964595199995</v>
      </c>
      <c r="AH85" t="b">
        <f t="shared" si="23"/>
        <v>1</v>
      </c>
      <c r="AI85" t="b">
        <f t="shared" si="24"/>
        <v>1</v>
      </c>
      <c r="AJ85">
        <f>LOOKUP(A85,'Over to underbark'!$A$47:$A$48,'Over to underbark'!E$47:E$48)*M85</f>
        <v>92.719199999999987</v>
      </c>
      <c r="AK85" s="22">
        <f>LOOKUP(A85,'Over to underbark'!$A$47:$A$48,'Over to underbark'!$B$47:$B$48)*AJ85</f>
        <v>31.524527999999997</v>
      </c>
      <c r="AL85" s="22">
        <f>LOOKUP(A85,'Over to underbark'!$A$47:$A$48,'Over to underbark'!C$47:C$48)*AJ85</f>
        <v>32.451719999999995</v>
      </c>
      <c r="AM85" s="22">
        <f t="shared" si="25"/>
        <v>124.24372799999998</v>
      </c>
      <c r="AN85" s="36">
        <v>295.82</v>
      </c>
      <c r="AO85" s="23">
        <f t="shared" si="26"/>
        <v>248.48745599999995</v>
      </c>
      <c r="AQ85">
        <f t="shared" si="27"/>
        <v>0.67164179104477628</v>
      </c>
    </row>
    <row r="86" spans="1:43" x14ac:dyDescent="0.35">
      <c r="A86" t="s">
        <v>41</v>
      </c>
      <c r="B86">
        <v>6</v>
      </c>
      <c r="C86">
        <v>2</v>
      </c>
      <c r="D86" t="s">
        <v>42</v>
      </c>
      <c r="E86">
        <v>2</v>
      </c>
      <c r="F86">
        <v>1</v>
      </c>
      <c r="G86" s="12">
        <v>52</v>
      </c>
      <c r="H86" s="12">
        <v>13.93</v>
      </c>
      <c r="I86" s="12">
        <v>1761</v>
      </c>
      <c r="J86" s="12">
        <v>17.062000000000001</v>
      </c>
      <c r="K86" s="12">
        <v>40.265000000000001</v>
      </c>
      <c r="L86" s="12">
        <v>0.13</v>
      </c>
      <c r="M86" s="19">
        <v>229.42</v>
      </c>
      <c r="N86" s="12">
        <v>1.1890000000000001</v>
      </c>
      <c r="O86" s="13">
        <v>4.4119999999999999</v>
      </c>
      <c r="P86" s="14">
        <v>52</v>
      </c>
      <c r="Q86" s="14">
        <v>17.062000000000001</v>
      </c>
      <c r="R86" s="14">
        <v>169.59299999999999</v>
      </c>
      <c r="S86" s="14">
        <v>59.826999999999998</v>
      </c>
      <c r="T86" s="10" t="b">
        <f t="shared" si="16"/>
        <v>1</v>
      </c>
      <c r="U86" s="10" t="b">
        <f t="shared" si="17"/>
        <v>1</v>
      </c>
      <c r="V86" s="11">
        <f>VLOOKUP(IF(J86&lt;10, 10, IF(J86&gt;50,50,J86)),'Over to underbark'!$A$3:$C$43,IF(A86="Scots pine",3,IF(A86="Sitka spruce",2, "error")),TRUE)/100</f>
        <v>0.84</v>
      </c>
      <c r="W86">
        <f t="shared" si="14"/>
        <v>128.21230800000001</v>
      </c>
      <c r="X86">
        <f t="shared" si="15"/>
        <v>45.229211999999997</v>
      </c>
      <c r="Y86">
        <f t="shared" si="18"/>
        <v>33.036480000000005</v>
      </c>
      <c r="Z86">
        <f t="shared" si="19"/>
        <v>98.098974559799998</v>
      </c>
      <c r="AA86">
        <f t="shared" si="20"/>
        <v>30.621593880000002</v>
      </c>
      <c r="AB86">
        <f t="shared" si="21"/>
        <v>52.790906536200005</v>
      </c>
      <c r="AC86">
        <f t="shared" si="22"/>
        <v>24.966525023999999</v>
      </c>
      <c r="AD86">
        <f>LOOKUP($A86,'Over to underbark'!$A$47:$A$48,'Over to underbark'!E$47:E$48)*Z86</f>
        <v>41.201569315115997</v>
      </c>
      <c r="AE86">
        <f>LOOKUP($A86,'Over to underbark'!$A$47:$A$48,'Over to underbark'!E$47:E$48)*AA86</f>
        <v>12.861069429600001</v>
      </c>
      <c r="AF86">
        <f>LOOKUP($A86,'Over to underbark'!$A$47:$A$48,'Over to underbark'!E$47:E$48)*AB86</f>
        <v>22.172180745204003</v>
      </c>
      <c r="AG86">
        <f>LOOKUP($A86,'Over to underbark'!$A$47:$A$48,'Over to underbark'!E$47:E$48)*AC86</f>
        <v>10.485940510079999</v>
      </c>
      <c r="AH86" t="b">
        <f t="shared" si="23"/>
        <v>1</v>
      </c>
      <c r="AI86" t="b">
        <f t="shared" si="24"/>
        <v>1</v>
      </c>
      <c r="AJ86">
        <f>LOOKUP(A86,'Over to underbark'!$A$47:$A$48,'Over to underbark'!E$47:E$48)*M86</f>
        <v>96.356399999999994</v>
      </c>
      <c r="AK86" s="22">
        <f>LOOKUP(A86,'Over to underbark'!$A$47:$A$48,'Over to underbark'!$B$47:$B$48)*AJ86</f>
        <v>32.761175999999999</v>
      </c>
      <c r="AL86" s="22">
        <f>LOOKUP(A86,'Over to underbark'!$A$47:$A$48,'Over to underbark'!C$47:C$48)*AJ86</f>
        <v>33.724739999999997</v>
      </c>
      <c r="AM86" s="22">
        <f t="shared" si="25"/>
        <v>129.11757599999999</v>
      </c>
      <c r="AN86" s="36">
        <v>307.42</v>
      </c>
      <c r="AO86" s="23">
        <f t="shared" si="26"/>
        <v>258.23515199999997</v>
      </c>
      <c r="AQ86">
        <f t="shared" si="27"/>
        <v>0.67164179104477617</v>
      </c>
    </row>
    <row r="87" spans="1:43" x14ac:dyDescent="0.35">
      <c r="A87" t="s">
        <v>41</v>
      </c>
      <c r="B87">
        <v>6</v>
      </c>
      <c r="C87">
        <v>2</v>
      </c>
      <c r="D87" t="s">
        <v>42</v>
      </c>
      <c r="E87">
        <v>2</v>
      </c>
      <c r="F87">
        <v>1</v>
      </c>
      <c r="G87" s="12">
        <v>53</v>
      </c>
      <c r="H87" s="12">
        <v>14.15</v>
      </c>
      <c r="I87" s="12">
        <v>1742</v>
      </c>
      <c r="J87" s="12">
        <v>17.321000000000002</v>
      </c>
      <c r="K87" s="12">
        <v>41.048999999999999</v>
      </c>
      <c r="L87" s="12">
        <v>0.13700000000000001</v>
      </c>
      <c r="M87" s="19">
        <v>238.08</v>
      </c>
      <c r="N87" s="12">
        <v>1.302</v>
      </c>
      <c r="O87" s="13">
        <v>4.492</v>
      </c>
      <c r="P87" s="14">
        <v>53</v>
      </c>
      <c r="Q87" s="14">
        <v>17.321000000000002</v>
      </c>
      <c r="R87" s="14">
        <v>172.24700000000001</v>
      </c>
      <c r="S87" s="14">
        <v>65.832999999999998</v>
      </c>
      <c r="T87" s="10" t="b">
        <f t="shared" si="16"/>
        <v>1</v>
      </c>
      <c r="U87" s="10" t="b">
        <f t="shared" si="17"/>
        <v>1</v>
      </c>
      <c r="V87" s="11">
        <f>VLOOKUP(IF(J87&lt;10, 10, IF(J87&gt;50,50,J87)),'Over to underbark'!$A$3:$C$43,IF(A87="Scots pine",3,IF(A87="Sitka spruce",2, "error")),TRUE)/100</f>
        <v>0.84</v>
      </c>
      <c r="W87">
        <f t="shared" si="14"/>
        <v>130.21873200000002</v>
      </c>
      <c r="X87">
        <f t="shared" si="15"/>
        <v>49.769747999999993</v>
      </c>
      <c r="Y87">
        <f t="shared" si="18"/>
        <v>34.28352000000001</v>
      </c>
      <c r="Z87">
        <f t="shared" si="19"/>
        <v>101.23714326420004</v>
      </c>
      <c r="AA87">
        <f t="shared" si="20"/>
        <v>31.465820520000008</v>
      </c>
      <c r="AB87">
        <f t="shared" si="21"/>
        <v>54.096135319799998</v>
      </c>
      <c r="AC87">
        <f t="shared" si="22"/>
        <v>27.472900895999995</v>
      </c>
      <c r="AD87">
        <f>LOOKUP($A87,'Over to underbark'!$A$47:$A$48,'Over to underbark'!E$47:E$48)*Z87</f>
        <v>42.519600170964019</v>
      </c>
      <c r="AE87">
        <f>LOOKUP($A87,'Over to underbark'!$A$47:$A$48,'Over to underbark'!E$47:E$48)*AA87</f>
        <v>13.215644618400002</v>
      </c>
      <c r="AF87">
        <f>LOOKUP($A87,'Over to underbark'!$A$47:$A$48,'Over to underbark'!E$47:E$48)*AB87</f>
        <v>22.720376834315999</v>
      </c>
      <c r="AG87">
        <f>LOOKUP($A87,'Over to underbark'!$A$47:$A$48,'Over to underbark'!E$47:E$48)*AC87</f>
        <v>11.538618376319997</v>
      </c>
      <c r="AH87" t="b">
        <f t="shared" si="23"/>
        <v>1</v>
      </c>
      <c r="AI87" t="b">
        <f t="shared" si="24"/>
        <v>1</v>
      </c>
      <c r="AJ87">
        <f>LOOKUP(A87,'Over to underbark'!$A$47:$A$48,'Over to underbark'!E$47:E$48)*M87</f>
        <v>99.993600000000001</v>
      </c>
      <c r="AK87" s="22">
        <f>LOOKUP(A87,'Over to underbark'!$A$47:$A$48,'Over to underbark'!$B$47:$B$48)*AJ87</f>
        <v>33.997824000000001</v>
      </c>
      <c r="AL87" s="22">
        <f>LOOKUP(A87,'Over to underbark'!$A$47:$A$48,'Over to underbark'!C$47:C$48)*AJ87</f>
        <v>34.99776</v>
      </c>
      <c r="AM87" s="22">
        <f t="shared" si="25"/>
        <v>133.99142399999999</v>
      </c>
      <c r="AN87" s="36">
        <v>319.02999999999997</v>
      </c>
      <c r="AO87" s="23">
        <f t="shared" si="26"/>
        <v>267.98284799999999</v>
      </c>
      <c r="AQ87">
        <f t="shared" si="27"/>
        <v>0.67164179104477628</v>
      </c>
    </row>
    <row r="88" spans="1:43" x14ac:dyDescent="0.35">
      <c r="A88" t="s">
        <v>41</v>
      </c>
      <c r="B88">
        <v>6</v>
      </c>
      <c r="C88">
        <v>2</v>
      </c>
      <c r="D88" t="s">
        <v>42</v>
      </c>
      <c r="E88">
        <v>2</v>
      </c>
      <c r="F88">
        <v>1</v>
      </c>
      <c r="G88" s="12">
        <v>54</v>
      </c>
      <c r="H88" s="12">
        <v>14.37</v>
      </c>
      <c r="I88" s="12">
        <v>1722</v>
      </c>
      <c r="J88" s="12">
        <v>17.587</v>
      </c>
      <c r="K88" s="12">
        <v>41.832999999999998</v>
      </c>
      <c r="L88" s="12">
        <v>0.14299999999999999</v>
      </c>
      <c r="M88" s="19">
        <v>246.74</v>
      </c>
      <c r="N88" s="12">
        <v>1.407</v>
      </c>
      <c r="O88" s="13">
        <v>4.569</v>
      </c>
      <c r="P88" s="14">
        <v>54</v>
      </c>
      <c r="Q88" s="14">
        <v>17.587</v>
      </c>
      <c r="R88" s="14">
        <v>174.54400000000001</v>
      </c>
      <c r="S88" s="14">
        <v>72.195999999999998</v>
      </c>
      <c r="T88" s="10" t="b">
        <f t="shared" si="16"/>
        <v>1</v>
      </c>
      <c r="U88" s="10" t="b">
        <f t="shared" si="17"/>
        <v>1</v>
      </c>
      <c r="V88" s="11">
        <f>VLOOKUP(IF(J88&lt;10, 10, IF(J88&gt;50,50,J88)),'Over to underbark'!$A$3:$C$43,IF(A88="Scots pine",3,IF(A88="Sitka spruce",2, "error")),TRUE)/100</f>
        <v>0.84</v>
      </c>
      <c r="W88">
        <f t="shared" si="14"/>
        <v>131.955264</v>
      </c>
      <c r="X88">
        <f t="shared" si="15"/>
        <v>54.580175999999994</v>
      </c>
      <c r="Y88">
        <f t="shared" si="18"/>
        <v>35.530560000000008</v>
      </c>
      <c r="Z88">
        <f t="shared" si="19"/>
        <v>104.32150899839999</v>
      </c>
      <c r="AA88">
        <f t="shared" si="20"/>
        <v>32.280359040000008</v>
      </c>
      <c r="AB88">
        <f t="shared" si="21"/>
        <v>55.3358748096</v>
      </c>
      <c r="AC88">
        <f t="shared" si="22"/>
        <v>30.128257151999996</v>
      </c>
      <c r="AD88">
        <f>LOOKUP($A88,'Over to underbark'!$A$47:$A$48,'Over to underbark'!E$47:E$48)*Z88</f>
        <v>43.815033779327997</v>
      </c>
      <c r="AE88">
        <f>LOOKUP($A88,'Over to underbark'!$A$47:$A$48,'Over to underbark'!E$47:E$48)*AA88</f>
        <v>13.557750796800002</v>
      </c>
      <c r="AF88">
        <f>LOOKUP($A88,'Over to underbark'!$A$47:$A$48,'Over to underbark'!E$47:E$48)*AB88</f>
        <v>23.241067420032</v>
      </c>
      <c r="AG88">
        <f>LOOKUP($A88,'Over to underbark'!$A$47:$A$48,'Over to underbark'!E$47:E$48)*AC88</f>
        <v>12.653868003839998</v>
      </c>
      <c r="AH88" t="b">
        <f t="shared" si="23"/>
        <v>1</v>
      </c>
      <c r="AI88" t="b">
        <f t="shared" si="24"/>
        <v>1</v>
      </c>
      <c r="AJ88">
        <f>LOOKUP(A88,'Over to underbark'!$A$47:$A$48,'Over to underbark'!E$47:E$48)*M88</f>
        <v>103.63079999999999</v>
      </c>
      <c r="AK88" s="22">
        <f>LOOKUP(A88,'Over to underbark'!$A$47:$A$48,'Over to underbark'!$B$47:$B$48)*AJ88</f>
        <v>35.234472000000004</v>
      </c>
      <c r="AL88" s="22">
        <f>LOOKUP(A88,'Over to underbark'!$A$47:$A$48,'Over to underbark'!C$47:C$48)*AJ88</f>
        <v>36.270779999999995</v>
      </c>
      <c r="AM88" s="22">
        <f t="shared" si="25"/>
        <v>138.865272</v>
      </c>
      <c r="AN88" s="36">
        <v>330.63</v>
      </c>
      <c r="AO88" s="23">
        <f t="shared" si="26"/>
        <v>277.73054400000001</v>
      </c>
      <c r="AQ88">
        <f t="shared" si="27"/>
        <v>0.67164179104477606</v>
      </c>
    </row>
    <row r="89" spans="1:43" x14ac:dyDescent="0.35">
      <c r="A89" t="s">
        <v>41</v>
      </c>
      <c r="B89">
        <v>6</v>
      </c>
      <c r="C89">
        <v>2</v>
      </c>
      <c r="D89" t="s">
        <v>42</v>
      </c>
      <c r="E89">
        <v>2</v>
      </c>
      <c r="F89">
        <v>1</v>
      </c>
      <c r="G89" s="12">
        <v>55</v>
      </c>
      <c r="H89" s="12">
        <v>14.59</v>
      </c>
      <c r="I89" s="12">
        <v>1703</v>
      </c>
      <c r="J89" s="12">
        <v>17.850000000000001</v>
      </c>
      <c r="K89" s="12">
        <v>42.616999999999997</v>
      </c>
      <c r="L89" s="12">
        <v>0.15</v>
      </c>
      <c r="M89" s="19">
        <v>255.4</v>
      </c>
      <c r="N89" s="12">
        <v>1.504</v>
      </c>
      <c r="O89" s="13">
        <v>4.6440000000000001</v>
      </c>
      <c r="P89" s="14">
        <v>55</v>
      </c>
      <c r="Q89" s="14">
        <v>17.850000000000001</v>
      </c>
      <c r="R89" s="14">
        <v>176.63399999999999</v>
      </c>
      <c r="S89" s="14">
        <v>78.766000000000005</v>
      </c>
      <c r="T89" s="10" t="b">
        <f t="shared" si="16"/>
        <v>1</v>
      </c>
      <c r="U89" s="10" t="b">
        <f t="shared" si="17"/>
        <v>1</v>
      </c>
      <c r="V89" s="11">
        <f>VLOOKUP(IF(J89&lt;10, 10, IF(J89&gt;50,50,J89)),'Over to underbark'!$A$3:$C$43,IF(A89="Scots pine",3,IF(A89="Sitka spruce",2, "error")),TRUE)/100</f>
        <v>0.84</v>
      </c>
      <c r="W89">
        <f t="shared" si="14"/>
        <v>133.535304</v>
      </c>
      <c r="X89">
        <f t="shared" si="15"/>
        <v>59.547096000000003</v>
      </c>
      <c r="Y89">
        <f t="shared" si="18"/>
        <v>36.777600000000007</v>
      </c>
      <c r="Z89">
        <f t="shared" si="19"/>
        <v>107.3746780524</v>
      </c>
      <c r="AA89">
        <f t="shared" si="20"/>
        <v>33.077683440000001</v>
      </c>
      <c r="AB89">
        <f t="shared" si="21"/>
        <v>56.537641515599994</v>
      </c>
      <c r="AC89">
        <f t="shared" si="22"/>
        <v>32.869996991999997</v>
      </c>
      <c r="AD89">
        <f>LOOKUP($A89,'Over to underbark'!$A$47:$A$48,'Over to underbark'!E$47:E$48)*Z89</f>
        <v>45.097364782008</v>
      </c>
      <c r="AE89">
        <f>LOOKUP($A89,'Over to underbark'!$A$47:$A$48,'Over to underbark'!E$47:E$48)*AA89</f>
        <v>13.892627044799999</v>
      </c>
      <c r="AF89">
        <f>LOOKUP($A89,'Over to underbark'!$A$47:$A$48,'Over to underbark'!E$47:E$48)*AB89</f>
        <v>23.745809436551998</v>
      </c>
      <c r="AG89">
        <f>LOOKUP($A89,'Over to underbark'!$A$47:$A$48,'Over to underbark'!E$47:E$48)*AC89</f>
        <v>13.805398736639999</v>
      </c>
      <c r="AH89" t="b">
        <f t="shared" si="23"/>
        <v>1</v>
      </c>
      <c r="AI89" t="b">
        <f t="shared" si="24"/>
        <v>1</v>
      </c>
      <c r="AJ89">
        <f>LOOKUP(A89,'Over to underbark'!$A$47:$A$48,'Over to underbark'!E$47:E$48)*M89</f>
        <v>107.268</v>
      </c>
      <c r="AK89" s="22">
        <f>LOOKUP(A89,'Over to underbark'!$A$47:$A$48,'Over to underbark'!$B$47:$B$48)*AJ89</f>
        <v>36.471120000000006</v>
      </c>
      <c r="AL89" s="22">
        <f>LOOKUP(A89,'Over to underbark'!$A$47:$A$48,'Over to underbark'!C$47:C$48)*AJ89</f>
        <v>37.543799999999997</v>
      </c>
      <c r="AM89" s="22">
        <f t="shared" si="25"/>
        <v>143.73912000000001</v>
      </c>
      <c r="AN89" s="36">
        <v>342.24</v>
      </c>
      <c r="AO89" s="23">
        <f t="shared" si="26"/>
        <v>287.47824000000003</v>
      </c>
      <c r="AQ89">
        <f t="shared" si="27"/>
        <v>0.67164179104477606</v>
      </c>
    </row>
    <row r="90" spans="1:43" x14ac:dyDescent="0.35">
      <c r="A90" t="s">
        <v>41</v>
      </c>
      <c r="B90">
        <v>6</v>
      </c>
      <c r="C90">
        <v>2</v>
      </c>
      <c r="D90" t="s">
        <v>42</v>
      </c>
      <c r="E90">
        <v>2</v>
      </c>
      <c r="F90">
        <v>1</v>
      </c>
      <c r="G90" s="12">
        <v>56</v>
      </c>
      <c r="H90" s="12">
        <v>14.795999999999999</v>
      </c>
      <c r="I90" s="12">
        <v>1683</v>
      </c>
      <c r="J90" s="12">
        <v>18.097999999999999</v>
      </c>
      <c r="K90" s="12">
        <v>43.292999999999999</v>
      </c>
      <c r="L90" s="12">
        <v>0.157</v>
      </c>
      <c r="M90" s="19">
        <v>263.76</v>
      </c>
      <c r="N90" s="12">
        <v>1.655</v>
      </c>
      <c r="O90" s="13">
        <v>4.71</v>
      </c>
      <c r="P90" s="14">
        <v>56</v>
      </c>
      <c r="Q90" s="14">
        <v>18.097999999999999</v>
      </c>
      <c r="R90" s="14">
        <v>178.51300000000001</v>
      </c>
      <c r="S90" s="14">
        <v>85.247</v>
      </c>
      <c r="T90" s="10" t="b">
        <f t="shared" si="16"/>
        <v>1</v>
      </c>
      <c r="U90" s="10" t="b">
        <f t="shared" si="17"/>
        <v>1</v>
      </c>
      <c r="V90" s="11">
        <f>VLOOKUP(IF(J90&lt;10, 10, IF(J90&gt;50,50,J90)),'Over to underbark'!$A$3:$C$43,IF(A90="Scots pine",3,IF(A90="Sitka spruce",2, "error")),TRUE)/100</f>
        <v>0.84</v>
      </c>
      <c r="W90">
        <f t="shared" si="14"/>
        <v>134.955828</v>
      </c>
      <c r="X90">
        <f t="shared" si="15"/>
        <v>64.446731999999997</v>
      </c>
      <c r="Y90">
        <f t="shared" si="18"/>
        <v>37.981440000000006</v>
      </c>
      <c r="Z90">
        <f t="shared" si="19"/>
        <v>110.3011911918</v>
      </c>
      <c r="AA90">
        <f t="shared" si="20"/>
        <v>33.835861080000001</v>
      </c>
      <c r="AB90">
        <f t="shared" si="21"/>
        <v>57.672351664200001</v>
      </c>
      <c r="AC90">
        <f t="shared" si="22"/>
        <v>35.574596063999998</v>
      </c>
      <c r="AD90">
        <f>LOOKUP($A90,'Over to underbark'!$A$47:$A$48,'Over to underbark'!E$47:E$48)*Z90</f>
        <v>46.326500300555999</v>
      </c>
      <c r="AE90">
        <f>LOOKUP($A90,'Over to underbark'!$A$47:$A$48,'Over to underbark'!E$47:E$48)*AA90</f>
        <v>14.2110616536</v>
      </c>
      <c r="AF90">
        <f>LOOKUP($A90,'Over to underbark'!$A$47:$A$48,'Over to underbark'!E$47:E$48)*AB90</f>
        <v>24.222387698963999</v>
      </c>
      <c r="AG90">
        <f>LOOKUP($A90,'Over to underbark'!$A$47:$A$48,'Over to underbark'!E$47:E$48)*AC90</f>
        <v>14.941330346879999</v>
      </c>
      <c r="AH90" t="b">
        <f t="shared" si="23"/>
        <v>1</v>
      </c>
      <c r="AI90" t="b">
        <f t="shared" si="24"/>
        <v>1</v>
      </c>
      <c r="AJ90">
        <f>LOOKUP(A90,'Over to underbark'!$A$47:$A$48,'Over to underbark'!E$47:E$48)*M90</f>
        <v>110.77919999999999</v>
      </c>
      <c r="AK90" s="22">
        <f>LOOKUP(A90,'Over to underbark'!$A$47:$A$48,'Over to underbark'!$B$47:$B$48)*AJ90</f>
        <v>37.664927999999996</v>
      </c>
      <c r="AL90" s="22">
        <f>LOOKUP(A90,'Over to underbark'!$A$47:$A$48,'Over to underbark'!C$47:C$48)*AJ90</f>
        <v>38.772719999999993</v>
      </c>
      <c r="AM90" s="22">
        <f t="shared" si="25"/>
        <v>148.44412799999998</v>
      </c>
      <c r="AN90" s="36">
        <v>353.44</v>
      </c>
      <c r="AO90" s="23">
        <f t="shared" si="26"/>
        <v>296.88825599999996</v>
      </c>
      <c r="AQ90">
        <f t="shared" si="27"/>
        <v>0.67164179104477617</v>
      </c>
    </row>
    <row r="91" spans="1:43" x14ac:dyDescent="0.35">
      <c r="A91" t="s">
        <v>41</v>
      </c>
      <c r="B91">
        <v>6</v>
      </c>
      <c r="C91">
        <v>2</v>
      </c>
      <c r="D91" t="s">
        <v>42</v>
      </c>
      <c r="E91">
        <v>2</v>
      </c>
      <c r="F91">
        <v>1</v>
      </c>
      <c r="G91" s="12">
        <v>57</v>
      </c>
      <c r="H91" s="12">
        <v>15.002000000000001</v>
      </c>
      <c r="I91" s="12">
        <v>1664</v>
      </c>
      <c r="J91" s="12">
        <v>18.341999999999999</v>
      </c>
      <c r="K91" s="12">
        <v>43.968000000000004</v>
      </c>
      <c r="L91" s="12">
        <v>0.16400000000000001</v>
      </c>
      <c r="M91" s="19">
        <v>272.12</v>
      </c>
      <c r="N91" s="12">
        <v>1.7969999999999999</v>
      </c>
      <c r="O91" s="13">
        <v>4.774</v>
      </c>
      <c r="P91" s="14">
        <v>57</v>
      </c>
      <c r="Q91" s="14">
        <v>18.341999999999999</v>
      </c>
      <c r="R91" s="14">
        <v>180.239</v>
      </c>
      <c r="S91" s="14">
        <v>91.881</v>
      </c>
      <c r="T91" s="10" t="b">
        <f t="shared" si="16"/>
        <v>1</v>
      </c>
      <c r="U91" s="10" t="b">
        <f t="shared" si="17"/>
        <v>1</v>
      </c>
      <c r="V91" s="11">
        <f>VLOOKUP(IF(J91&lt;10, 10, IF(J91&gt;50,50,J91)),'Over to underbark'!$A$3:$C$43,IF(A91="Scots pine",3,IF(A91="Sitka spruce",2, "error")),TRUE)/100</f>
        <v>0.84</v>
      </c>
      <c r="W91">
        <f t="shared" si="14"/>
        <v>136.260684</v>
      </c>
      <c r="X91">
        <f t="shared" si="15"/>
        <v>69.462035999999998</v>
      </c>
      <c r="Y91">
        <f t="shared" si="18"/>
        <v>39.185280000000013</v>
      </c>
      <c r="Z91">
        <f t="shared" si="19"/>
        <v>113.20464591540001</v>
      </c>
      <c r="AA91">
        <f t="shared" si="20"/>
        <v>34.581315240000009</v>
      </c>
      <c r="AB91">
        <f t="shared" si="21"/>
        <v>58.778994972599996</v>
      </c>
      <c r="AC91">
        <f t="shared" si="22"/>
        <v>38.343043871999996</v>
      </c>
      <c r="AD91">
        <f>LOOKUP($A91,'Over to underbark'!$A$47:$A$48,'Over to underbark'!E$47:E$48)*Z91</f>
        <v>47.545951284468003</v>
      </c>
      <c r="AE91">
        <f>LOOKUP($A91,'Over to underbark'!$A$47:$A$48,'Over to underbark'!E$47:E$48)*AA91</f>
        <v>14.524152400800004</v>
      </c>
      <c r="AF91">
        <f>LOOKUP($A91,'Over to underbark'!$A$47:$A$48,'Over to underbark'!E$47:E$48)*AB91</f>
        <v>24.687177888491998</v>
      </c>
      <c r="AG91">
        <f>LOOKUP($A91,'Over to underbark'!$A$47:$A$48,'Over to underbark'!E$47:E$48)*AC91</f>
        <v>16.104078426239997</v>
      </c>
      <c r="AH91" t="b">
        <f t="shared" si="23"/>
        <v>1</v>
      </c>
      <c r="AI91" t="b">
        <f t="shared" si="24"/>
        <v>1</v>
      </c>
      <c r="AJ91">
        <f>LOOKUP(A91,'Over to underbark'!$A$47:$A$48,'Over to underbark'!E$47:E$48)*M91</f>
        <v>114.29039999999999</v>
      </c>
      <c r="AK91" s="22">
        <f>LOOKUP(A91,'Over to underbark'!$A$47:$A$48,'Over to underbark'!$B$47:$B$48)*AJ91</f>
        <v>38.858736</v>
      </c>
      <c r="AL91" s="22">
        <f>LOOKUP(A91,'Over to underbark'!$A$47:$A$48,'Over to underbark'!C$47:C$48)*AJ91</f>
        <v>40.001639999999995</v>
      </c>
      <c r="AM91" s="22">
        <f t="shared" si="25"/>
        <v>153.149136</v>
      </c>
      <c r="AN91" s="36">
        <v>364.64</v>
      </c>
      <c r="AO91" s="23">
        <f t="shared" si="26"/>
        <v>306.298272</v>
      </c>
      <c r="AQ91">
        <f t="shared" si="27"/>
        <v>0.67164179104477617</v>
      </c>
    </row>
    <row r="92" spans="1:43" x14ac:dyDescent="0.35">
      <c r="A92" t="s">
        <v>41</v>
      </c>
      <c r="B92">
        <v>6</v>
      </c>
      <c r="C92">
        <v>2</v>
      </c>
      <c r="D92" t="s">
        <v>42</v>
      </c>
      <c r="E92">
        <v>2</v>
      </c>
      <c r="F92">
        <v>1</v>
      </c>
      <c r="G92" s="12">
        <v>58</v>
      </c>
      <c r="H92" s="12">
        <v>15.208</v>
      </c>
      <c r="I92" s="12">
        <v>1645</v>
      </c>
      <c r="J92" s="12">
        <v>18.588999999999999</v>
      </c>
      <c r="K92" s="12">
        <v>44.643999999999998</v>
      </c>
      <c r="L92" s="12">
        <v>0.17100000000000001</v>
      </c>
      <c r="M92" s="19">
        <v>280.48</v>
      </c>
      <c r="N92" s="12">
        <v>1.93</v>
      </c>
      <c r="O92" s="13">
        <v>4.8360000000000003</v>
      </c>
      <c r="P92" s="14">
        <v>58</v>
      </c>
      <c r="Q92" s="14">
        <v>18.588999999999999</v>
      </c>
      <c r="R92" s="14">
        <v>181.70699999999999</v>
      </c>
      <c r="S92" s="14">
        <v>98.772999999999996</v>
      </c>
      <c r="T92" s="10" t="b">
        <f t="shared" si="16"/>
        <v>1</v>
      </c>
      <c r="U92" s="10" t="b">
        <f t="shared" si="17"/>
        <v>1</v>
      </c>
      <c r="V92" s="11">
        <f>VLOOKUP(IF(J92&lt;10, 10, IF(J92&gt;50,50,J92)),'Over to underbark'!$A$3:$C$43,IF(A92="Scots pine",3,IF(A92="Sitka spruce",2, "error")),TRUE)/100</f>
        <v>0.84</v>
      </c>
      <c r="W92">
        <f t="shared" si="14"/>
        <v>137.37049200000001</v>
      </c>
      <c r="X92">
        <f t="shared" si="15"/>
        <v>74.672387999999998</v>
      </c>
      <c r="Y92">
        <f t="shared" si="18"/>
        <v>40.389120000000013</v>
      </c>
      <c r="Z92">
        <f t="shared" si="19"/>
        <v>116.06921782020001</v>
      </c>
      <c r="AA92">
        <f t="shared" si="20"/>
        <v>35.305314120000006</v>
      </c>
      <c r="AB92">
        <f t="shared" si="21"/>
        <v>59.838309883800001</v>
      </c>
      <c r="AC92">
        <f t="shared" si="22"/>
        <v>41.219158176000001</v>
      </c>
      <c r="AD92">
        <f>LOOKUP($A92,'Over to underbark'!$A$47:$A$48,'Over to underbark'!E$47:E$48)*Z92</f>
        <v>48.749071484484006</v>
      </c>
      <c r="AE92">
        <f>LOOKUP($A92,'Over to underbark'!$A$47:$A$48,'Over to underbark'!E$47:E$48)*AA92</f>
        <v>14.828231930400001</v>
      </c>
      <c r="AF92">
        <f>LOOKUP($A92,'Over to underbark'!$A$47:$A$48,'Over to underbark'!E$47:E$48)*AB92</f>
        <v>25.132090151196</v>
      </c>
      <c r="AG92">
        <f>LOOKUP($A92,'Over to underbark'!$A$47:$A$48,'Over to underbark'!E$47:E$48)*AC92</f>
        <v>17.312046433919999</v>
      </c>
      <c r="AH92" t="b">
        <f t="shared" si="23"/>
        <v>1</v>
      </c>
      <c r="AI92" t="b">
        <f t="shared" si="24"/>
        <v>1</v>
      </c>
      <c r="AJ92">
        <f>LOOKUP(A92,'Over to underbark'!$A$47:$A$48,'Over to underbark'!E$47:E$48)*M92</f>
        <v>117.80160000000001</v>
      </c>
      <c r="AK92" s="22">
        <f>LOOKUP(A92,'Over to underbark'!$A$47:$A$48,'Over to underbark'!$B$47:$B$48)*AJ92</f>
        <v>40.052544000000005</v>
      </c>
      <c r="AL92" s="22">
        <f>LOOKUP(A92,'Over to underbark'!$A$47:$A$48,'Over to underbark'!C$47:C$48)*AJ92</f>
        <v>41.230559999999997</v>
      </c>
      <c r="AM92" s="22">
        <f t="shared" si="25"/>
        <v>157.85414400000002</v>
      </c>
      <c r="AN92" s="36">
        <v>375.84</v>
      </c>
      <c r="AO92" s="23">
        <f t="shared" si="26"/>
        <v>315.70828800000004</v>
      </c>
      <c r="AQ92">
        <f t="shared" si="27"/>
        <v>0.67164179104477617</v>
      </c>
    </row>
    <row r="93" spans="1:43" x14ac:dyDescent="0.35">
      <c r="A93" t="s">
        <v>41</v>
      </c>
      <c r="B93">
        <v>6</v>
      </c>
      <c r="C93">
        <v>2</v>
      </c>
      <c r="D93" t="s">
        <v>42</v>
      </c>
      <c r="E93">
        <v>2</v>
      </c>
      <c r="F93">
        <v>1</v>
      </c>
      <c r="G93" s="12">
        <v>59</v>
      </c>
      <c r="H93" s="12">
        <v>15.414</v>
      </c>
      <c r="I93" s="12">
        <v>1626</v>
      </c>
      <c r="J93" s="12">
        <v>18.838000000000001</v>
      </c>
      <c r="K93" s="12">
        <v>45.32</v>
      </c>
      <c r="L93" s="12">
        <v>0.17799999999999999</v>
      </c>
      <c r="M93" s="19">
        <v>288.83999999999997</v>
      </c>
      <c r="N93" s="12">
        <v>2.0550000000000002</v>
      </c>
      <c r="O93" s="13">
        <v>4.8959999999999999</v>
      </c>
      <c r="P93" s="14">
        <v>59</v>
      </c>
      <c r="Q93" s="14">
        <v>18.838000000000001</v>
      </c>
      <c r="R93" s="14">
        <v>182.93799999999999</v>
      </c>
      <c r="S93" s="14">
        <v>105.902</v>
      </c>
      <c r="T93" s="10" t="b">
        <f t="shared" si="16"/>
        <v>1</v>
      </c>
      <c r="U93" s="10" t="b">
        <f t="shared" si="17"/>
        <v>1</v>
      </c>
      <c r="V93" s="11">
        <f>VLOOKUP(IF(J93&lt;10, 10, IF(J93&gt;50,50,J93)),'Over to underbark'!$A$3:$C$43,IF(A93="Scots pine",3,IF(A93="Sitka spruce",2, "error")),TRUE)/100</f>
        <v>0.84</v>
      </c>
      <c r="W93">
        <f t="shared" si="14"/>
        <v>138.30112799999998</v>
      </c>
      <c r="X93">
        <f t="shared" si="15"/>
        <v>80.061912000000007</v>
      </c>
      <c r="Y93">
        <f t="shared" si="18"/>
        <v>41.592960000000005</v>
      </c>
      <c r="Z93">
        <f t="shared" si="19"/>
        <v>118.89807178679999</v>
      </c>
      <c r="AA93">
        <f t="shared" si="20"/>
        <v>36.009604080000003</v>
      </c>
      <c r="AB93">
        <f t="shared" si="21"/>
        <v>60.85414870919999</v>
      </c>
      <c r="AC93">
        <f t="shared" si="22"/>
        <v>44.194175424000001</v>
      </c>
      <c r="AD93">
        <f>LOOKUP($A93,'Over to underbark'!$A$47:$A$48,'Over to underbark'!E$47:E$48)*Z93</f>
        <v>49.93719015045599</v>
      </c>
      <c r="AE93">
        <f>LOOKUP($A93,'Over to underbark'!$A$47:$A$48,'Over to underbark'!E$47:E$48)*AA93</f>
        <v>15.124033713600001</v>
      </c>
      <c r="AF93">
        <f>LOOKUP($A93,'Over to underbark'!$A$47:$A$48,'Over to underbark'!E$47:E$48)*AB93</f>
        <v>25.558742457863996</v>
      </c>
      <c r="AG93">
        <f>LOOKUP($A93,'Over to underbark'!$A$47:$A$48,'Over to underbark'!E$47:E$48)*AC93</f>
        <v>18.561553678079999</v>
      </c>
      <c r="AH93" t="b">
        <f t="shared" si="23"/>
        <v>1</v>
      </c>
      <c r="AI93" t="b">
        <f t="shared" si="24"/>
        <v>1</v>
      </c>
      <c r="AJ93">
        <f>LOOKUP(A93,'Over to underbark'!$A$47:$A$48,'Over to underbark'!E$47:E$48)*M93</f>
        <v>121.31279999999998</v>
      </c>
      <c r="AK93" s="22">
        <f>LOOKUP(A93,'Over to underbark'!$A$47:$A$48,'Over to underbark'!$B$47:$B$48)*AJ93</f>
        <v>41.246351999999995</v>
      </c>
      <c r="AL93" s="22">
        <f>LOOKUP(A93,'Over to underbark'!$A$47:$A$48,'Over to underbark'!C$47:C$48)*AJ93</f>
        <v>42.459479999999992</v>
      </c>
      <c r="AM93" s="22">
        <f t="shared" si="25"/>
        <v>162.55915199999998</v>
      </c>
      <c r="AN93" s="36">
        <v>387.05</v>
      </c>
      <c r="AO93" s="23">
        <f t="shared" si="26"/>
        <v>325.11830399999997</v>
      </c>
      <c r="AQ93">
        <f t="shared" si="27"/>
        <v>0.67164179104477617</v>
      </c>
    </row>
    <row r="94" spans="1:43" x14ac:dyDescent="0.35">
      <c r="A94" t="s">
        <v>41</v>
      </c>
      <c r="B94">
        <v>6</v>
      </c>
      <c r="C94">
        <v>2</v>
      </c>
      <c r="D94" t="s">
        <v>42</v>
      </c>
      <c r="E94">
        <v>2</v>
      </c>
      <c r="F94">
        <v>1</v>
      </c>
      <c r="G94" s="12">
        <v>60</v>
      </c>
      <c r="H94" s="12">
        <v>15.62</v>
      </c>
      <c r="I94" s="12">
        <v>1607</v>
      </c>
      <c r="J94" s="12">
        <v>19.09</v>
      </c>
      <c r="K94" s="12">
        <v>45.996000000000002</v>
      </c>
      <c r="L94" s="12">
        <v>0.185</v>
      </c>
      <c r="M94" s="19">
        <v>297.2</v>
      </c>
      <c r="N94" s="12">
        <v>2.1720000000000002</v>
      </c>
      <c r="O94" s="13">
        <v>4.9530000000000003</v>
      </c>
      <c r="P94" s="14">
        <v>60</v>
      </c>
      <c r="Q94" s="14">
        <v>19.09</v>
      </c>
      <c r="R94" s="14">
        <v>183.91900000000001</v>
      </c>
      <c r="S94" s="14">
        <v>113.28100000000001</v>
      </c>
      <c r="T94" s="10" t="b">
        <f t="shared" si="16"/>
        <v>1</v>
      </c>
      <c r="U94" s="10" t="b">
        <f t="shared" si="17"/>
        <v>1</v>
      </c>
      <c r="V94" s="11">
        <f>VLOOKUP(IF(J94&lt;10, 10, IF(J94&gt;50,50,J94)),'Over to underbark'!$A$3:$C$43,IF(A94="Scots pine",3,IF(A94="Sitka spruce",2, "error")),TRUE)/100</f>
        <v>0.84</v>
      </c>
      <c r="W94">
        <f t="shared" si="14"/>
        <v>139.04276400000001</v>
      </c>
      <c r="X94">
        <f t="shared" si="15"/>
        <v>85.640436000000008</v>
      </c>
      <c r="Y94">
        <f t="shared" si="18"/>
        <v>42.796800000000019</v>
      </c>
      <c r="Z94">
        <f t="shared" si="19"/>
        <v>121.68924860340002</v>
      </c>
      <c r="AA94">
        <f t="shared" si="20"/>
        <v>36.693104040000009</v>
      </c>
      <c r="AB94">
        <f t="shared" si="21"/>
        <v>61.824126684600003</v>
      </c>
      <c r="AC94">
        <f t="shared" si="22"/>
        <v>47.273520672000004</v>
      </c>
      <c r="AD94">
        <f>LOOKUP($A94,'Over to underbark'!$A$47:$A$48,'Over to underbark'!E$47:E$48)*Z94</f>
        <v>51.109484413428007</v>
      </c>
      <c r="AE94">
        <f>LOOKUP($A94,'Over to underbark'!$A$47:$A$48,'Over to underbark'!E$47:E$48)*AA94</f>
        <v>15.411103696800003</v>
      </c>
      <c r="AF94">
        <f>LOOKUP($A94,'Over to underbark'!$A$47:$A$48,'Over to underbark'!E$47:E$48)*AB94</f>
        <v>25.966133207532</v>
      </c>
      <c r="AG94">
        <f>LOOKUP($A94,'Over to underbark'!$A$47:$A$48,'Over to underbark'!E$47:E$48)*AC94</f>
        <v>19.854878682240003</v>
      </c>
      <c r="AH94" t="b">
        <f t="shared" si="23"/>
        <v>1</v>
      </c>
      <c r="AI94" t="b">
        <f t="shared" si="24"/>
        <v>1</v>
      </c>
      <c r="AJ94">
        <f>LOOKUP(A94,'Over to underbark'!$A$47:$A$48,'Over to underbark'!E$47:E$48)*M94</f>
        <v>124.82399999999998</v>
      </c>
      <c r="AK94" s="22">
        <f>LOOKUP(A94,'Over to underbark'!$A$47:$A$48,'Over to underbark'!$B$47:$B$48)*AJ94</f>
        <v>42.440159999999999</v>
      </c>
      <c r="AL94" s="22">
        <f>LOOKUP(A94,'Over to underbark'!$A$47:$A$48,'Over to underbark'!C$47:C$48)*AJ94</f>
        <v>43.688399999999994</v>
      </c>
      <c r="AM94" s="22">
        <f t="shared" si="25"/>
        <v>167.26415999999998</v>
      </c>
      <c r="AN94" s="36">
        <v>398.25</v>
      </c>
      <c r="AO94" s="23">
        <f t="shared" si="26"/>
        <v>334.52831999999995</v>
      </c>
      <c r="AQ94">
        <f t="shared" si="27"/>
        <v>0.67164179104477617</v>
      </c>
    </row>
    <row r="95" spans="1:43" x14ac:dyDescent="0.35">
      <c r="A95" t="s">
        <v>41</v>
      </c>
      <c r="B95">
        <v>6</v>
      </c>
      <c r="C95">
        <v>2</v>
      </c>
      <c r="D95" t="s">
        <v>42</v>
      </c>
      <c r="E95">
        <v>2</v>
      </c>
      <c r="F95">
        <v>1</v>
      </c>
      <c r="G95" s="12">
        <v>61</v>
      </c>
      <c r="H95" s="12">
        <v>15.805999999999999</v>
      </c>
      <c r="I95" s="12">
        <v>1589</v>
      </c>
      <c r="J95" s="12">
        <v>19.32</v>
      </c>
      <c r="K95" s="12">
        <v>46.584000000000003</v>
      </c>
      <c r="L95" s="12">
        <v>0.192</v>
      </c>
      <c r="M95" s="19">
        <v>305.06</v>
      </c>
      <c r="N95" s="12">
        <v>2.331</v>
      </c>
      <c r="O95" s="13">
        <v>5.0010000000000003</v>
      </c>
      <c r="P95" s="14">
        <v>61</v>
      </c>
      <c r="Q95" s="14">
        <v>19.32</v>
      </c>
      <c r="R95" s="14">
        <v>184.78299999999999</v>
      </c>
      <c r="S95" s="14">
        <v>120.277</v>
      </c>
      <c r="T95" s="10" t="b">
        <f t="shared" si="16"/>
        <v>1</v>
      </c>
      <c r="U95" s="10" t="b">
        <f t="shared" si="17"/>
        <v>1</v>
      </c>
      <c r="V95" s="11">
        <f>VLOOKUP(IF(J95&lt;10, 10, IF(J95&gt;50,50,J95)),'Over to underbark'!$A$3:$C$43,IF(A95="Scots pine",3,IF(A95="Sitka spruce",2, "error")),TRUE)/100</f>
        <v>0.84</v>
      </c>
      <c r="W95">
        <f t="shared" si="14"/>
        <v>139.69594799999999</v>
      </c>
      <c r="X95">
        <f t="shared" si="15"/>
        <v>90.929411999999999</v>
      </c>
      <c r="Y95">
        <f t="shared" si="18"/>
        <v>43.928640000000016</v>
      </c>
      <c r="Z95">
        <f t="shared" si="19"/>
        <v>124.30469851380002</v>
      </c>
      <c r="AA95">
        <f t="shared" si="20"/>
        <v>37.330874280000003</v>
      </c>
      <c r="AB95">
        <f t="shared" si="21"/>
        <v>62.725391782199992</v>
      </c>
      <c r="AC95">
        <f t="shared" si="22"/>
        <v>50.193035424000001</v>
      </c>
      <c r="AD95">
        <f>LOOKUP($A95,'Over to underbark'!$A$47:$A$48,'Over to underbark'!E$47:E$48)*Z95</f>
        <v>52.207973375796008</v>
      </c>
      <c r="AE95">
        <f>LOOKUP($A95,'Over to underbark'!$A$47:$A$48,'Over to underbark'!E$47:E$48)*AA95</f>
        <v>15.6789671976</v>
      </c>
      <c r="AF95">
        <f>LOOKUP($A95,'Over to underbark'!$A$47:$A$48,'Over to underbark'!E$47:E$48)*AB95</f>
        <v>26.344664548523994</v>
      </c>
      <c r="AG95">
        <f>LOOKUP($A95,'Over to underbark'!$A$47:$A$48,'Over to underbark'!E$47:E$48)*AC95</f>
        <v>21.081074878079999</v>
      </c>
      <c r="AH95" t="b">
        <f t="shared" si="23"/>
        <v>1</v>
      </c>
      <c r="AI95" t="b">
        <f t="shared" si="24"/>
        <v>1</v>
      </c>
      <c r="AJ95">
        <f>LOOKUP(A95,'Over to underbark'!$A$47:$A$48,'Over to underbark'!E$47:E$48)*M95</f>
        <v>128.12520000000001</v>
      </c>
      <c r="AK95" s="22">
        <f>LOOKUP(A95,'Over to underbark'!$A$47:$A$48,'Over to underbark'!$B$47:$B$48)*AJ95</f>
        <v>43.562568000000006</v>
      </c>
      <c r="AL95" s="22">
        <f>LOOKUP(A95,'Over to underbark'!$A$47:$A$48,'Over to underbark'!C$47:C$48)*AJ95</f>
        <v>44.843820000000001</v>
      </c>
      <c r="AM95" s="22">
        <f t="shared" si="25"/>
        <v>171.68776800000001</v>
      </c>
      <c r="AN95" s="36">
        <v>408.78</v>
      </c>
      <c r="AO95" s="23">
        <f t="shared" si="26"/>
        <v>343.37553600000001</v>
      </c>
      <c r="AQ95">
        <f t="shared" si="27"/>
        <v>0.67164179104477606</v>
      </c>
    </row>
    <row r="96" spans="1:43" x14ac:dyDescent="0.35">
      <c r="A96" t="s">
        <v>41</v>
      </c>
      <c r="B96">
        <v>6</v>
      </c>
      <c r="C96">
        <v>2</v>
      </c>
      <c r="D96" t="s">
        <v>42</v>
      </c>
      <c r="E96">
        <v>2</v>
      </c>
      <c r="F96">
        <v>1</v>
      </c>
      <c r="G96" s="12">
        <v>62</v>
      </c>
      <c r="H96" s="12">
        <v>15.992000000000001</v>
      </c>
      <c r="I96" s="12">
        <v>1571</v>
      </c>
      <c r="J96" s="12">
        <v>19.553000000000001</v>
      </c>
      <c r="K96" s="12">
        <v>47.171999999999997</v>
      </c>
      <c r="L96" s="12">
        <v>0.19900000000000001</v>
      </c>
      <c r="M96" s="19">
        <v>312.92</v>
      </c>
      <c r="N96" s="12">
        <v>2.4809999999999999</v>
      </c>
      <c r="O96" s="13">
        <v>5.0469999999999997</v>
      </c>
      <c r="P96" s="14">
        <v>62</v>
      </c>
      <c r="Q96" s="14">
        <v>19.553000000000001</v>
      </c>
      <c r="R96" s="14">
        <v>185.43100000000001</v>
      </c>
      <c r="S96" s="14">
        <v>127.489</v>
      </c>
      <c r="T96" s="10" t="b">
        <f t="shared" si="16"/>
        <v>1</v>
      </c>
      <c r="U96" s="10" t="b">
        <f t="shared" si="17"/>
        <v>1</v>
      </c>
      <c r="V96" s="11">
        <f>VLOOKUP(IF(J96&lt;10, 10, IF(J96&gt;50,50,J96)),'Over to underbark'!$A$3:$C$43,IF(A96="Scots pine",3,IF(A96="Sitka spruce",2, "error")),TRUE)/100</f>
        <v>0.84</v>
      </c>
      <c r="W96">
        <f t="shared" si="14"/>
        <v>140.18583599999999</v>
      </c>
      <c r="X96">
        <f t="shared" si="15"/>
        <v>96.381684000000007</v>
      </c>
      <c r="Y96">
        <f t="shared" si="18"/>
        <v>45.060480000000013</v>
      </c>
      <c r="Z96">
        <f t="shared" si="19"/>
        <v>126.88759536660001</v>
      </c>
      <c r="AA96">
        <f t="shared" si="20"/>
        <v>37.950681960000004</v>
      </c>
      <c r="AB96">
        <f t="shared" si="21"/>
        <v>63.587033105399996</v>
      </c>
      <c r="AC96">
        <f t="shared" si="22"/>
        <v>53.202689568000004</v>
      </c>
      <c r="AD96">
        <f>LOOKUP($A96,'Over to underbark'!$A$47:$A$48,'Over to underbark'!E$47:E$48)*Z96</f>
        <v>53.292790053972006</v>
      </c>
      <c r="AE96">
        <f>LOOKUP($A96,'Over to underbark'!$A$47:$A$48,'Over to underbark'!E$47:E$48)*AA96</f>
        <v>15.9392864232</v>
      </c>
      <c r="AF96">
        <f>LOOKUP($A96,'Over to underbark'!$A$47:$A$48,'Over to underbark'!E$47:E$48)*AB96</f>
        <v>26.706553904267999</v>
      </c>
      <c r="AG96">
        <f>LOOKUP($A96,'Over to underbark'!$A$47:$A$48,'Over to underbark'!E$47:E$48)*AC96</f>
        <v>22.345129618560001</v>
      </c>
      <c r="AH96" t="b">
        <f t="shared" si="23"/>
        <v>1</v>
      </c>
      <c r="AI96" t="b">
        <f t="shared" si="24"/>
        <v>1</v>
      </c>
      <c r="AJ96">
        <f>LOOKUP(A96,'Over to underbark'!$A$47:$A$48,'Over to underbark'!E$47:E$48)*M96</f>
        <v>131.4264</v>
      </c>
      <c r="AK96" s="22">
        <f>LOOKUP(A96,'Over to underbark'!$A$47:$A$48,'Over to underbark'!$B$47:$B$48)*AJ96</f>
        <v>44.684976000000006</v>
      </c>
      <c r="AL96" s="22">
        <f>LOOKUP(A96,'Over to underbark'!$A$47:$A$48,'Over to underbark'!C$47:C$48)*AJ96</f>
        <v>45.99924</v>
      </c>
      <c r="AM96" s="22">
        <f t="shared" si="25"/>
        <v>176.11137600000001</v>
      </c>
      <c r="AN96" s="36">
        <v>419.31</v>
      </c>
      <c r="AO96" s="23">
        <f t="shared" si="26"/>
        <v>352.22275200000001</v>
      </c>
      <c r="AQ96">
        <f t="shared" si="27"/>
        <v>0.67164179104477606</v>
      </c>
    </row>
    <row r="97" spans="1:43" x14ac:dyDescent="0.35">
      <c r="A97" t="s">
        <v>41</v>
      </c>
      <c r="B97">
        <v>6</v>
      </c>
      <c r="C97">
        <v>2</v>
      </c>
      <c r="D97" t="s">
        <v>42</v>
      </c>
      <c r="E97">
        <v>2</v>
      </c>
      <c r="F97">
        <v>1</v>
      </c>
      <c r="G97" s="12">
        <v>63</v>
      </c>
      <c r="H97" s="12">
        <v>16.178000000000001</v>
      </c>
      <c r="I97" s="12">
        <v>1553</v>
      </c>
      <c r="J97" s="12">
        <v>19.788</v>
      </c>
      <c r="K97" s="12">
        <v>47.761000000000003</v>
      </c>
      <c r="L97" s="12">
        <v>0.20699999999999999</v>
      </c>
      <c r="M97" s="19">
        <v>320.77999999999997</v>
      </c>
      <c r="N97" s="12">
        <v>2.6230000000000002</v>
      </c>
      <c r="O97" s="13">
        <v>5.0919999999999996</v>
      </c>
      <c r="P97" s="14">
        <v>63</v>
      </c>
      <c r="Q97" s="14">
        <v>19.788</v>
      </c>
      <c r="R97" s="14">
        <v>185.88499999999999</v>
      </c>
      <c r="S97" s="14">
        <v>134.89500000000001</v>
      </c>
      <c r="T97" s="10" t="b">
        <f t="shared" si="16"/>
        <v>1</v>
      </c>
      <c r="U97" s="10" t="b">
        <f t="shared" si="17"/>
        <v>1</v>
      </c>
      <c r="V97" s="11">
        <f>VLOOKUP(IF(J97&lt;10, 10, IF(J97&gt;50,50,J97)),'Over to underbark'!$A$3:$C$43,IF(A97="Scots pine",3,IF(A97="Sitka spruce",2, "error")),TRUE)/100</f>
        <v>0.84</v>
      </c>
      <c r="W97">
        <f t="shared" si="14"/>
        <v>140.52906000000002</v>
      </c>
      <c r="X97">
        <f t="shared" si="15"/>
        <v>101.98062000000002</v>
      </c>
      <c r="Y97">
        <f t="shared" si="18"/>
        <v>46.192320000000009</v>
      </c>
      <c r="Z97">
        <f t="shared" si="19"/>
        <v>129.44125475100003</v>
      </c>
      <c r="AA97">
        <f t="shared" si="20"/>
        <v>38.554356600000006</v>
      </c>
      <c r="AB97">
        <f t="shared" si="21"/>
        <v>64.413086409000002</v>
      </c>
      <c r="AC97">
        <f t="shared" si="22"/>
        <v>56.29330224000001</v>
      </c>
      <c r="AD97">
        <f>LOOKUP($A97,'Over to underbark'!$A$47:$A$48,'Over to underbark'!E$47:E$48)*Z97</f>
        <v>54.365326995420013</v>
      </c>
      <c r="AE97">
        <f>LOOKUP($A97,'Over to underbark'!$A$47:$A$48,'Over to underbark'!E$47:E$48)*AA97</f>
        <v>16.192829772000003</v>
      </c>
      <c r="AF97">
        <f>LOOKUP($A97,'Over to underbark'!$A$47:$A$48,'Over to underbark'!E$47:E$48)*AB97</f>
        <v>27.05349629178</v>
      </c>
      <c r="AG97">
        <f>LOOKUP($A97,'Over to underbark'!$A$47:$A$48,'Over to underbark'!E$47:E$48)*AC97</f>
        <v>23.643186940800003</v>
      </c>
      <c r="AH97" t="b">
        <f t="shared" si="23"/>
        <v>1</v>
      </c>
      <c r="AI97" t="b">
        <f t="shared" si="24"/>
        <v>1</v>
      </c>
      <c r="AJ97">
        <f>LOOKUP(A97,'Over to underbark'!$A$47:$A$48,'Over to underbark'!E$47:E$48)*M97</f>
        <v>134.7276</v>
      </c>
      <c r="AK97" s="22">
        <f>LOOKUP(A97,'Over to underbark'!$A$47:$A$48,'Over to underbark'!$B$47:$B$48)*AJ97</f>
        <v>45.807383999999999</v>
      </c>
      <c r="AL97" s="22">
        <f>LOOKUP(A97,'Over to underbark'!$A$47:$A$48,'Over to underbark'!C$47:C$48)*AJ97</f>
        <v>47.154659999999993</v>
      </c>
      <c r="AM97" s="22">
        <f t="shared" si="25"/>
        <v>180.53498400000001</v>
      </c>
      <c r="AN97" s="36">
        <v>429.85</v>
      </c>
      <c r="AO97" s="23">
        <f t="shared" si="26"/>
        <v>361.06996800000002</v>
      </c>
      <c r="AQ97">
        <f t="shared" si="27"/>
        <v>0.67164179104477628</v>
      </c>
    </row>
    <row r="98" spans="1:43" x14ac:dyDescent="0.35">
      <c r="A98" t="s">
        <v>41</v>
      </c>
      <c r="B98">
        <v>6</v>
      </c>
      <c r="C98">
        <v>2</v>
      </c>
      <c r="D98" t="s">
        <v>42</v>
      </c>
      <c r="E98">
        <v>2</v>
      </c>
      <c r="F98">
        <v>1</v>
      </c>
      <c r="G98" s="12">
        <v>64</v>
      </c>
      <c r="H98" s="12">
        <v>16.364000000000001</v>
      </c>
      <c r="I98" s="12">
        <v>1535</v>
      </c>
      <c r="J98" s="12">
        <v>20.026</v>
      </c>
      <c r="K98" s="12">
        <v>48.348999999999997</v>
      </c>
      <c r="L98" s="12">
        <v>0.214</v>
      </c>
      <c r="M98" s="19">
        <v>328.64</v>
      </c>
      <c r="N98" s="12">
        <v>2.758</v>
      </c>
      <c r="O98" s="13">
        <v>5.1349999999999998</v>
      </c>
      <c r="P98" s="14">
        <v>64</v>
      </c>
      <c r="Q98" s="14">
        <v>20.026</v>
      </c>
      <c r="R98" s="14">
        <v>186.13</v>
      </c>
      <c r="S98" s="14">
        <v>142.51</v>
      </c>
      <c r="T98" s="10" t="b">
        <f t="shared" si="16"/>
        <v>1</v>
      </c>
      <c r="U98" s="10" t="b">
        <f t="shared" si="17"/>
        <v>1</v>
      </c>
      <c r="V98" s="11">
        <f>VLOOKUP(IF(J98&lt;10, 10, IF(J98&gt;50,50,J98)),'Over to underbark'!$A$3:$C$43,IF(A98="Scots pine",3,IF(A98="Sitka spruce",2, "error")),TRUE)/100</f>
        <v>0.84</v>
      </c>
      <c r="W98">
        <f t="shared" si="14"/>
        <v>140.71428</v>
      </c>
      <c r="X98">
        <f t="shared" si="15"/>
        <v>107.73755999999999</v>
      </c>
      <c r="Y98">
        <f t="shared" si="18"/>
        <v>47.324160000000013</v>
      </c>
      <c r="Z98">
        <f t="shared" si="19"/>
        <v>131.96341603800002</v>
      </c>
      <c r="AA98">
        <f t="shared" si="20"/>
        <v>39.140650800000003</v>
      </c>
      <c r="AB98">
        <f t="shared" si="21"/>
        <v>65.200800041999997</v>
      </c>
      <c r="AC98">
        <f t="shared" si="22"/>
        <v>59.471133119999998</v>
      </c>
      <c r="AD98">
        <f>LOOKUP($A98,'Over to underbark'!$A$47:$A$48,'Over to underbark'!E$47:E$48)*Z98</f>
        <v>55.424634735960005</v>
      </c>
      <c r="AE98">
        <f>LOOKUP($A98,'Over to underbark'!$A$47:$A$48,'Over to underbark'!E$47:E$48)*AA98</f>
        <v>16.439073336</v>
      </c>
      <c r="AF98">
        <f>LOOKUP($A98,'Over to underbark'!$A$47:$A$48,'Over to underbark'!E$47:E$48)*AB98</f>
        <v>27.384336017639999</v>
      </c>
      <c r="AG98">
        <f>LOOKUP($A98,'Over to underbark'!$A$47:$A$48,'Over to underbark'!E$47:E$48)*AC98</f>
        <v>24.977875910399998</v>
      </c>
      <c r="AH98" t="b">
        <f t="shared" si="23"/>
        <v>1</v>
      </c>
      <c r="AI98" t="b">
        <f t="shared" si="24"/>
        <v>1</v>
      </c>
      <c r="AJ98">
        <f>LOOKUP(A98,'Over to underbark'!$A$47:$A$48,'Over to underbark'!E$47:E$48)*M98</f>
        <v>138.02879999999999</v>
      </c>
      <c r="AK98" s="22">
        <f>LOOKUP(A98,'Over to underbark'!$A$47:$A$48,'Over to underbark'!$B$47:$B$48)*AJ98</f>
        <v>46.929791999999999</v>
      </c>
      <c r="AL98" s="22">
        <f>LOOKUP(A98,'Over to underbark'!$A$47:$A$48,'Over to underbark'!C$47:C$48)*AJ98</f>
        <v>48.310079999999992</v>
      </c>
      <c r="AM98" s="22">
        <f t="shared" si="25"/>
        <v>184.95859199999998</v>
      </c>
      <c r="AN98" s="36">
        <v>440.38</v>
      </c>
      <c r="AO98" s="23">
        <f t="shared" si="26"/>
        <v>369.91718399999996</v>
      </c>
      <c r="AQ98">
        <f t="shared" si="27"/>
        <v>0.67164179104477617</v>
      </c>
    </row>
    <row r="99" spans="1:43" x14ac:dyDescent="0.35">
      <c r="A99" t="s">
        <v>41</v>
      </c>
      <c r="B99">
        <v>6</v>
      </c>
      <c r="C99">
        <v>2</v>
      </c>
      <c r="D99" t="s">
        <v>42</v>
      </c>
      <c r="E99">
        <v>2</v>
      </c>
      <c r="F99">
        <v>1</v>
      </c>
      <c r="G99" s="12">
        <v>65</v>
      </c>
      <c r="H99" s="12">
        <v>16.55</v>
      </c>
      <c r="I99" s="12">
        <v>1518</v>
      </c>
      <c r="J99" s="12">
        <v>20.260000000000002</v>
      </c>
      <c r="K99" s="12">
        <v>48.936999999999998</v>
      </c>
      <c r="L99" s="12">
        <v>0.222</v>
      </c>
      <c r="M99" s="19">
        <v>336.5</v>
      </c>
      <c r="N99" s="12">
        <v>2.8860000000000001</v>
      </c>
      <c r="O99" s="13">
        <v>5.1769999999999996</v>
      </c>
      <c r="P99" s="14">
        <v>65</v>
      </c>
      <c r="Q99" s="14">
        <v>20.260000000000002</v>
      </c>
      <c r="R99" s="14">
        <v>186.297</v>
      </c>
      <c r="S99" s="14">
        <v>150.203</v>
      </c>
      <c r="T99" s="10" t="b">
        <f t="shared" si="16"/>
        <v>1</v>
      </c>
      <c r="U99" s="10" t="b">
        <f t="shared" si="17"/>
        <v>1</v>
      </c>
      <c r="V99" s="11">
        <f>VLOOKUP(IF(J99&lt;10, 10, IF(J99&gt;50,50,J99)),'Over to underbark'!$A$3:$C$43,IF(A99="Scots pine",3,IF(A99="Sitka spruce",2, "error")),TRUE)/100</f>
        <v>0.84</v>
      </c>
      <c r="W99">
        <f t="shared" si="14"/>
        <v>140.840532</v>
      </c>
      <c r="X99">
        <f t="shared" si="15"/>
        <v>113.55346800000001</v>
      </c>
      <c r="Y99">
        <f t="shared" si="18"/>
        <v>48.45600000000001</v>
      </c>
      <c r="Z99">
        <f t="shared" si="19"/>
        <v>134.47382205419999</v>
      </c>
      <c r="AA99">
        <f t="shared" si="20"/>
        <v>39.720458520000008</v>
      </c>
      <c r="AB99">
        <f t="shared" si="21"/>
        <v>65.974205089799995</v>
      </c>
      <c r="AC99">
        <f t="shared" si="22"/>
        <v>62.681514335999999</v>
      </c>
      <c r="AD99">
        <f>LOOKUP($A99,'Over to underbark'!$A$47:$A$48,'Over to underbark'!E$47:E$48)*Z99</f>
        <v>56.479005262763991</v>
      </c>
      <c r="AE99">
        <f>LOOKUP($A99,'Over to underbark'!$A$47:$A$48,'Over to underbark'!E$47:E$48)*AA99</f>
        <v>16.682592578400001</v>
      </c>
      <c r="AF99">
        <f>LOOKUP($A99,'Over to underbark'!$A$47:$A$48,'Over to underbark'!E$47:E$48)*AB99</f>
        <v>27.709166137715997</v>
      </c>
      <c r="AG99">
        <f>LOOKUP($A99,'Over to underbark'!$A$47:$A$48,'Over to underbark'!E$47:E$48)*AC99</f>
        <v>26.32623602112</v>
      </c>
      <c r="AH99" t="b">
        <f t="shared" si="23"/>
        <v>1</v>
      </c>
      <c r="AI99" t="b">
        <f t="shared" si="24"/>
        <v>1</v>
      </c>
      <c r="AJ99">
        <f>LOOKUP(A99,'Over to underbark'!$A$47:$A$48,'Over to underbark'!E$47:E$48)*M99</f>
        <v>141.32999999999998</v>
      </c>
      <c r="AK99" s="22">
        <f>LOOKUP(A99,'Over to underbark'!$A$47:$A$48,'Over to underbark'!$B$47:$B$48)*AJ99</f>
        <v>48.052199999999999</v>
      </c>
      <c r="AL99" s="22">
        <f>LOOKUP(A99,'Over to underbark'!$A$47:$A$48,'Over to underbark'!C$47:C$48)*AJ99</f>
        <v>49.465499999999992</v>
      </c>
      <c r="AM99" s="22">
        <f t="shared" si="25"/>
        <v>189.38219999999998</v>
      </c>
      <c r="AN99" s="36">
        <v>450.91</v>
      </c>
      <c r="AO99" s="23">
        <f t="shared" si="26"/>
        <v>378.76439999999997</v>
      </c>
      <c r="AQ99">
        <f t="shared" si="27"/>
        <v>0.67164179104477617</v>
      </c>
    </row>
    <row r="100" spans="1:43" x14ac:dyDescent="0.35">
      <c r="A100" t="s">
        <v>41</v>
      </c>
      <c r="B100">
        <v>6</v>
      </c>
      <c r="C100">
        <v>2</v>
      </c>
      <c r="D100" t="s">
        <v>42</v>
      </c>
      <c r="E100">
        <v>2</v>
      </c>
      <c r="F100">
        <v>1</v>
      </c>
      <c r="G100" s="12">
        <v>66</v>
      </c>
      <c r="H100" s="12">
        <v>16.718</v>
      </c>
      <c r="I100" s="12">
        <v>1501</v>
      </c>
      <c r="J100" s="12">
        <v>20.477</v>
      </c>
      <c r="K100" s="12">
        <v>49.432000000000002</v>
      </c>
      <c r="L100" s="12">
        <v>0.22900000000000001</v>
      </c>
      <c r="M100" s="19">
        <v>343.68</v>
      </c>
      <c r="N100" s="12">
        <v>3.0630000000000002</v>
      </c>
      <c r="O100" s="13">
        <v>5.2069999999999999</v>
      </c>
      <c r="P100" s="14">
        <v>66</v>
      </c>
      <c r="Q100" s="14">
        <v>20.477</v>
      </c>
      <c r="R100" s="14">
        <v>186.26499999999999</v>
      </c>
      <c r="S100" s="14">
        <v>157.41499999999999</v>
      </c>
      <c r="T100" s="10" t="b">
        <f t="shared" si="16"/>
        <v>1</v>
      </c>
      <c r="U100" s="10" t="b">
        <f t="shared" si="17"/>
        <v>1</v>
      </c>
      <c r="V100" s="11">
        <f>VLOOKUP(IF(J100&lt;10, 10, IF(J100&gt;50,50,J100)),'Over to underbark'!$A$3:$C$43,IF(A100="Scots pine",3,IF(A100="Sitka spruce",2, "error")),TRUE)/100</f>
        <v>0.84</v>
      </c>
      <c r="W100">
        <f t="shared" si="14"/>
        <v>140.81634</v>
      </c>
      <c r="X100">
        <f t="shared" si="15"/>
        <v>119.00573999999999</v>
      </c>
      <c r="Y100">
        <f t="shared" si="18"/>
        <v>49.489920000000005</v>
      </c>
      <c r="Z100">
        <f t="shared" si="19"/>
        <v>136.73922921899998</v>
      </c>
      <c r="AA100">
        <f t="shared" si="20"/>
        <v>40.234757400000007</v>
      </c>
      <c r="AB100">
        <f t="shared" si="21"/>
        <v>66.646844900999994</v>
      </c>
      <c r="AC100">
        <f t="shared" si="22"/>
        <v>65.691168480000002</v>
      </c>
      <c r="AD100">
        <f>LOOKUP($A100,'Over to underbark'!$A$47:$A$48,'Over to underbark'!E$47:E$48)*Z100</f>
        <v>57.430476271979991</v>
      </c>
      <c r="AE100">
        <f>LOOKUP($A100,'Over to underbark'!$A$47:$A$48,'Over to underbark'!E$47:E$48)*AA100</f>
        <v>16.898598108000002</v>
      </c>
      <c r="AF100">
        <f>LOOKUP($A100,'Over to underbark'!$A$47:$A$48,'Over to underbark'!E$47:E$48)*AB100</f>
        <v>27.991674858419998</v>
      </c>
      <c r="AG100">
        <f>LOOKUP($A100,'Over to underbark'!$A$47:$A$48,'Over to underbark'!E$47:E$48)*AC100</f>
        <v>27.590290761599999</v>
      </c>
      <c r="AH100" t="b">
        <f t="shared" si="23"/>
        <v>1</v>
      </c>
      <c r="AI100" t="b">
        <f t="shared" si="24"/>
        <v>1</v>
      </c>
      <c r="AJ100">
        <f>LOOKUP(A100,'Over to underbark'!$A$47:$A$48,'Over to underbark'!E$47:E$48)*M100</f>
        <v>144.34559999999999</v>
      </c>
      <c r="AK100" s="22">
        <f>LOOKUP(A100,'Over to underbark'!$A$47:$A$48,'Over to underbark'!$B$47:$B$48)*AJ100</f>
        <v>49.077503999999998</v>
      </c>
      <c r="AL100" s="22">
        <f>LOOKUP(A100,'Over to underbark'!$A$47:$A$48,'Over to underbark'!C$47:C$48)*AJ100</f>
        <v>50.520959999999995</v>
      </c>
      <c r="AM100" s="22">
        <f t="shared" si="25"/>
        <v>193.423104</v>
      </c>
      <c r="AN100" s="36">
        <v>460.53</v>
      </c>
      <c r="AO100" s="23">
        <f t="shared" si="26"/>
        <v>386.84620799999999</v>
      </c>
      <c r="AQ100">
        <f t="shared" si="27"/>
        <v>0.67164179104477606</v>
      </c>
    </row>
    <row r="101" spans="1:43" x14ac:dyDescent="0.35">
      <c r="A101" t="s">
        <v>41</v>
      </c>
      <c r="B101">
        <v>6</v>
      </c>
      <c r="C101">
        <v>2</v>
      </c>
      <c r="D101" t="s">
        <v>42</v>
      </c>
      <c r="E101">
        <v>2</v>
      </c>
      <c r="F101">
        <v>1</v>
      </c>
      <c r="G101" s="12">
        <v>67</v>
      </c>
      <c r="H101" s="12">
        <v>16.885999999999999</v>
      </c>
      <c r="I101" s="12">
        <v>1485</v>
      </c>
      <c r="J101" s="12">
        <v>20.69</v>
      </c>
      <c r="K101" s="12">
        <v>49.926000000000002</v>
      </c>
      <c r="L101" s="12">
        <v>0.23599999999999999</v>
      </c>
      <c r="M101" s="19">
        <v>350.86</v>
      </c>
      <c r="N101" s="12">
        <v>3.2320000000000002</v>
      </c>
      <c r="O101" s="13">
        <v>5.2370000000000001</v>
      </c>
      <c r="P101" s="14">
        <v>67</v>
      </c>
      <c r="Q101" s="14">
        <v>20.69</v>
      </c>
      <c r="R101" s="14">
        <v>186.191</v>
      </c>
      <c r="S101" s="14">
        <v>164.66900000000001</v>
      </c>
      <c r="T101" s="10" t="b">
        <f t="shared" si="16"/>
        <v>1</v>
      </c>
      <c r="U101" s="10" t="b">
        <f t="shared" si="17"/>
        <v>1</v>
      </c>
      <c r="V101" s="11">
        <f>VLOOKUP(IF(J101&lt;10, 10, IF(J101&gt;50,50,J101)),'Over to underbark'!$A$3:$C$43,IF(A101="Scots pine",3,IF(A101="Sitka spruce",2, "error")),TRUE)/100</f>
        <v>0.84</v>
      </c>
      <c r="W101">
        <f t="shared" si="14"/>
        <v>140.76039599999999</v>
      </c>
      <c r="X101">
        <f t="shared" si="15"/>
        <v>124.48976399999999</v>
      </c>
      <c r="Y101">
        <f t="shared" si="18"/>
        <v>50.523840000000007</v>
      </c>
      <c r="Z101">
        <f t="shared" si="19"/>
        <v>138.99830662259998</v>
      </c>
      <c r="AA101">
        <f t="shared" si="20"/>
        <v>40.745563560000001</v>
      </c>
      <c r="AB101">
        <f t="shared" si="21"/>
        <v>67.311780089399988</v>
      </c>
      <c r="AC101">
        <f t="shared" si="22"/>
        <v>68.718349727999993</v>
      </c>
      <c r="AD101">
        <f>LOOKUP($A101,'Over to underbark'!$A$47:$A$48,'Over to underbark'!E$47:E$48)*Z101</f>
        <v>58.379288781491994</v>
      </c>
      <c r="AE101">
        <f>LOOKUP($A101,'Over to underbark'!$A$47:$A$48,'Over to underbark'!E$47:E$48)*AA101</f>
        <v>17.113136695200001</v>
      </c>
      <c r="AF101">
        <f>LOOKUP($A101,'Over to underbark'!$A$47:$A$48,'Over to underbark'!E$47:E$48)*AB101</f>
        <v>28.270947637547994</v>
      </c>
      <c r="AG101">
        <f>LOOKUP($A101,'Over to underbark'!$A$47:$A$48,'Over to underbark'!E$47:E$48)*AC101</f>
        <v>28.861706885759997</v>
      </c>
      <c r="AH101" t="b">
        <f t="shared" si="23"/>
        <v>1</v>
      </c>
      <c r="AI101" t="b">
        <f t="shared" si="24"/>
        <v>1</v>
      </c>
      <c r="AJ101">
        <f>LOOKUP(A101,'Over to underbark'!$A$47:$A$48,'Over to underbark'!E$47:E$48)*M101</f>
        <v>147.3612</v>
      </c>
      <c r="AK101" s="22">
        <f>LOOKUP(A101,'Over to underbark'!$A$47:$A$48,'Over to underbark'!$B$47:$B$48)*AJ101</f>
        <v>50.102808000000003</v>
      </c>
      <c r="AL101" s="22">
        <f>LOOKUP(A101,'Over to underbark'!$A$47:$A$48,'Over to underbark'!C$47:C$48)*AJ101</f>
        <v>51.576419999999999</v>
      </c>
      <c r="AM101" s="22">
        <f t="shared" si="25"/>
        <v>197.46400800000001</v>
      </c>
      <c r="AN101" s="36">
        <v>470.15</v>
      </c>
      <c r="AO101" s="23">
        <f t="shared" si="26"/>
        <v>394.92801600000001</v>
      </c>
      <c r="AQ101">
        <f t="shared" si="27"/>
        <v>0.67164179104477595</v>
      </c>
    </row>
    <row r="102" spans="1:43" x14ac:dyDescent="0.35">
      <c r="A102" t="s">
        <v>41</v>
      </c>
      <c r="B102">
        <v>6</v>
      </c>
      <c r="C102">
        <v>2</v>
      </c>
      <c r="D102" t="s">
        <v>42</v>
      </c>
      <c r="E102">
        <v>2</v>
      </c>
      <c r="F102">
        <v>1</v>
      </c>
      <c r="G102" s="12">
        <v>68</v>
      </c>
      <c r="H102" s="12">
        <v>17.053999999999998</v>
      </c>
      <c r="I102" s="12">
        <v>1468</v>
      </c>
      <c r="J102" s="12">
        <v>20.911999999999999</v>
      </c>
      <c r="K102" s="12">
        <v>50.42</v>
      </c>
      <c r="L102" s="12">
        <v>0.24399999999999999</v>
      </c>
      <c r="M102" s="19">
        <v>358.04</v>
      </c>
      <c r="N102" s="12">
        <v>3.3940000000000001</v>
      </c>
      <c r="O102" s="13">
        <v>5.2649999999999997</v>
      </c>
      <c r="P102" s="14">
        <v>68</v>
      </c>
      <c r="Q102" s="14">
        <v>20.911999999999999</v>
      </c>
      <c r="R102" s="14">
        <v>185.83799999999999</v>
      </c>
      <c r="S102" s="14">
        <v>172.202</v>
      </c>
      <c r="T102" s="10" t="b">
        <f t="shared" si="16"/>
        <v>1</v>
      </c>
      <c r="U102" s="10" t="b">
        <f t="shared" si="17"/>
        <v>1</v>
      </c>
      <c r="V102" s="11">
        <f>VLOOKUP(IF(J102&lt;10, 10, IF(J102&gt;50,50,J102)),'Over to underbark'!$A$3:$C$43,IF(A102="Scots pine",3,IF(A102="Sitka spruce",2, "error")),TRUE)/100</f>
        <v>0.84</v>
      </c>
      <c r="W102">
        <f t="shared" si="14"/>
        <v>140.493528</v>
      </c>
      <c r="X102">
        <f t="shared" si="15"/>
        <v>130.18471199999999</v>
      </c>
      <c r="Y102">
        <f t="shared" si="18"/>
        <v>51.557760000000009</v>
      </c>
      <c r="Z102">
        <f t="shared" si="19"/>
        <v>141.21533632679999</v>
      </c>
      <c r="AA102">
        <f t="shared" si="20"/>
        <v>41.233168080000006</v>
      </c>
      <c r="AB102">
        <f t="shared" si="21"/>
        <v>67.925534569199996</v>
      </c>
      <c r="AC102">
        <f t="shared" si="22"/>
        <v>71.861961023999996</v>
      </c>
      <c r="AD102">
        <f>LOOKUP($A102,'Over to underbark'!$A$47:$A$48,'Over to underbark'!E$47:E$48)*Z102</f>
        <v>59.310441257255988</v>
      </c>
      <c r="AE102">
        <f>LOOKUP($A102,'Over to underbark'!$A$47:$A$48,'Over to underbark'!E$47:E$48)*AA102</f>
        <v>17.317930593600003</v>
      </c>
      <c r="AF102">
        <f>LOOKUP($A102,'Over to underbark'!$A$47:$A$48,'Over to underbark'!E$47:E$48)*AB102</f>
        <v>28.528724519063996</v>
      </c>
      <c r="AG102">
        <f>LOOKUP($A102,'Over to underbark'!$A$47:$A$48,'Over to underbark'!E$47:E$48)*AC102</f>
        <v>30.182023630079996</v>
      </c>
      <c r="AH102" t="b">
        <f t="shared" si="23"/>
        <v>1</v>
      </c>
      <c r="AI102" t="b">
        <f t="shared" si="24"/>
        <v>1</v>
      </c>
      <c r="AJ102">
        <f>LOOKUP(A102,'Over to underbark'!$A$47:$A$48,'Over to underbark'!E$47:E$48)*M102</f>
        <v>150.3768</v>
      </c>
      <c r="AK102" s="22">
        <f>LOOKUP(A102,'Over to underbark'!$A$47:$A$48,'Over to underbark'!$B$47:$B$48)*AJ102</f>
        <v>51.128112000000002</v>
      </c>
      <c r="AL102" s="22">
        <f>LOOKUP(A102,'Over to underbark'!$A$47:$A$48,'Over to underbark'!C$47:C$48)*AJ102</f>
        <v>52.631879999999995</v>
      </c>
      <c r="AM102" s="22">
        <f t="shared" si="25"/>
        <v>201.50491199999999</v>
      </c>
      <c r="AN102" s="36">
        <v>479.77</v>
      </c>
      <c r="AO102" s="23">
        <f t="shared" si="26"/>
        <v>403.00982399999998</v>
      </c>
      <c r="AQ102">
        <f t="shared" si="27"/>
        <v>0.67164179104477606</v>
      </c>
    </row>
    <row r="103" spans="1:43" x14ac:dyDescent="0.35">
      <c r="A103" t="s">
        <v>41</v>
      </c>
      <c r="B103">
        <v>6</v>
      </c>
      <c r="C103">
        <v>2</v>
      </c>
      <c r="D103" t="s">
        <v>42</v>
      </c>
      <c r="E103">
        <v>2</v>
      </c>
      <c r="F103">
        <v>1</v>
      </c>
      <c r="G103" s="12">
        <v>69</v>
      </c>
      <c r="H103" s="12">
        <v>17.222000000000001</v>
      </c>
      <c r="I103" s="12">
        <v>1452</v>
      </c>
      <c r="J103" s="12">
        <v>21.13</v>
      </c>
      <c r="K103" s="12">
        <v>50.914999999999999</v>
      </c>
      <c r="L103" s="12">
        <v>0.252</v>
      </c>
      <c r="M103" s="19">
        <v>365.22</v>
      </c>
      <c r="N103" s="12">
        <v>3.5489999999999999</v>
      </c>
      <c r="O103" s="13">
        <v>5.2930000000000001</v>
      </c>
      <c r="P103" s="14">
        <v>69</v>
      </c>
      <c r="Q103" s="14">
        <v>21.13</v>
      </c>
      <c r="R103" s="14">
        <v>185.452</v>
      </c>
      <c r="S103" s="14">
        <v>179.768</v>
      </c>
      <c r="T103" s="10" t="b">
        <f t="shared" si="16"/>
        <v>1</v>
      </c>
      <c r="U103" s="10" t="b">
        <f t="shared" si="17"/>
        <v>1</v>
      </c>
      <c r="V103" s="11">
        <f>VLOOKUP(IF(J103&lt;10, 10, IF(J103&gt;50,50,J103)),'Over to underbark'!$A$3:$C$43,IF(A103="Scots pine",3,IF(A103="Sitka spruce",2, "error")),TRUE)/100</f>
        <v>0.84</v>
      </c>
      <c r="W103">
        <f t="shared" si="14"/>
        <v>140.20171199999999</v>
      </c>
      <c r="X103">
        <f t="shared" si="15"/>
        <v>135.904608</v>
      </c>
      <c r="Y103">
        <f t="shared" si="18"/>
        <v>52.591680000000018</v>
      </c>
      <c r="Z103">
        <f t="shared" si="19"/>
        <v>143.42739264720001</v>
      </c>
      <c r="AA103">
        <f t="shared" si="20"/>
        <v>41.718028320000009</v>
      </c>
      <c r="AB103">
        <f t="shared" si="21"/>
        <v>68.533235416799997</v>
      </c>
      <c r="AC103">
        <f t="shared" si="22"/>
        <v>75.019343616</v>
      </c>
      <c r="AD103">
        <f>LOOKUP($A103,'Over to underbark'!$A$47:$A$48,'Over to underbark'!E$47:E$48)*Z103</f>
        <v>60.239504911824</v>
      </c>
      <c r="AE103">
        <f>LOOKUP($A103,'Over to underbark'!$A$47:$A$48,'Over to underbark'!E$47:E$48)*AA103</f>
        <v>17.521571894400005</v>
      </c>
      <c r="AF103">
        <f>LOOKUP($A103,'Over to underbark'!$A$47:$A$48,'Over to underbark'!E$47:E$48)*AB103</f>
        <v>28.783958875055998</v>
      </c>
      <c r="AG103">
        <f>LOOKUP($A103,'Over to underbark'!$A$47:$A$48,'Over to underbark'!E$47:E$48)*AC103</f>
        <v>31.50812431872</v>
      </c>
      <c r="AH103" t="b">
        <f t="shared" si="23"/>
        <v>1</v>
      </c>
      <c r="AI103" t="b">
        <f t="shared" si="24"/>
        <v>1</v>
      </c>
      <c r="AJ103">
        <f>LOOKUP(A103,'Over to underbark'!$A$47:$A$48,'Over to underbark'!E$47:E$48)*M103</f>
        <v>153.39240000000001</v>
      </c>
      <c r="AK103" s="22">
        <f>LOOKUP(A103,'Over to underbark'!$A$47:$A$48,'Over to underbark'!$B$47:$B$48)*AJ103</f>
        <v>52.153416000000007</v>
      </c>
      <c r="AL103" s="22">
        <f>LOOKUP(A103,'Over to underbark'!$A$47:$A$48,'Over to underbark'!C$47:C$48)*AJ103</f>
        <v>53.687339999999999</v>
      </c>
      <c r="AM103" s="22">
        <f t="shared" si="25"/>
        <v>205.545816</v>
      </c>
      <c r="AN103" s="36">
        <v>489.39</v>
      </c>
      <c r="AO103" s="23">
        <f t="shared" si="26"/>
        <v>411.091632</v>
      </c>
      <c r="AQ103">
        <f t="shared" si="27"/>
        <v>0.67164179104477606</v>
      </c>
    </row>
    <row r="104" spans="1:43" x14ac:dyDescent="0.35">
      <c r="A104" t="s">
        <v>41</v>
      </c>
      <c r="B104">
        <v>6</v>
      </c>
      <c r="C104">
        <v>2</v>
      </c>
      <c r="D104" t="s">
        <v>42</v>
      </c>
      <c r="E104">
        <v>2</v>
      </c>
      <c r="F104">
        <v>1</v>
      </c>
      <c r="G104" s="12">
        <v>70</v>
      </c>
      <c r="H104" s="12">
        <v>17.39</v>
      </c>
      <c r="I104" s="12">
        <v>1436</v>
      </c>
      <c r="J104" s="12">
        <v>21.35</v>
      </c>
      <c r="K104" s="12">
        <v>51.408999999999999</v>
      </c>
      <c r="L104" s="12">
        <v>0.25900000000000001</v>
      </c>
      <c r="M104" s="19">
        <v>372.4</v>
      </c>
      <c r="N104" s="12">
        <v>3.698</v>
      </c>
      <c r="O104" s="13">
        <v>5.32</v>
      </c>
      <c r="P104" s="14">
        <v>70</v>
      </c>
      <c r="Q104" s="14">
        <v>21.35</v>
      </c>
      <c r="R104" s="14">
        <v>184.92500000000001</v>
      </c>
      <c r="S104" s="14">
        <v>187.47499999999999</v>
      </c>
      <c r="T104" s="10" t="b">
        <f t="shared" si="16"/>
        <v>1</v>
      </c>
      <c r="U104" s="10" t="b">
        <f t="shared" si="17"/>
        <v>1</v>
      </c>
      <c r="V104" s="11">
        <f>VLOOKUP(IF(J104&lt;10, 10, IF(J104&gt;50,50,J104)),'Over to underbark'!$A$3:$C$43,IF(A104="Scots pine",3,IF(A104="Sitka spruce",2, "error")),TRUE)/100</f>
        <v>0.84</v>
      </c>
      <c r="W104">
        <f t="shared" si="14"/>
        <v>139.80330000000001</v>
      </c>
      <c r="X104">
        <f t="shared" si="15"/>
        <v>141.7311</v>
      </c>
      <c r="Y104">
        <f t="shared" si="18"/>
        <v>53.625600000000006</v>
      </c>
      <c r="Z104">
        <f t="shared" si="19"/>
        <v>145.61819905500002</v>
      </c>
      <c r="AA104">
        <f t="shared" si="20"/>
        <v>42.191163000000003</v>
      </c>
      <c r="AB104">
        <f t="shared" si="21"/>
        <v>69.115070744999997</v>
      </c>
      <c r="AC104">
        <f t="shared" si="22"/>
        <v>78.235567199999991</v>
      </c>
      <c r="AD104">
        <f>LOOKUP($A104,'Over to underbark'!$A$47:$A$48,'Over to underbark'!E$47:E$48)*Z104</f>
        <v>61.159643603100008</v>
      </c>
      <c r="AE104">
        <f>LOOKUP($A104,'Over to underbark'!$A$47:$A$48,'Over to underbark'!E$47:E$48)*AA104</f>
        <v>17.720288459999999</v>
      </c>
      <c r="AF104">
        <f>LOOKUP($A104,'Over to underbark'!$A$47:$A$48,'Over to underbark'!E$47:E$48)*AB104</f>
        <v>29.028329712899996</v>
      </c>
      <c r="AG104">
        <f>LOOKUP($A104,'Over to underbark'!$A$47:$A$48,'Over to underbark'!E$47:E$48)*AC104</f>
        <v>32.858938223999992</v>
      </c>
      <c r="AH104" t="b">
        <f t="shared" si="23"/>
        <v>1</v>
      </c>
      <c r="AI104" t="b">
        <f t="shared" si="24"/>
        <v>1</v>
      </c>
      <c r="AJ104">
        <f>LOOKUP(A104,'Over to underbark'!$A$47:$A$48,'Over to underbark'!E$47:E$48)*M104</f>
        <v>156.40799999999999</v>
      </c>
      <c r="AK104" s="22">
        <f>LOOKUP(A104,'Over to underbark'!$A$47:$A$48,'Over to underbark'!$B$47:$B$48)*AJ104</f>
        <v>53.178719999999998</v>
      </c>
      <c r="AL104" s="22">
        <f>LOOKUP(A104,'Over to underbark'!$A$47:$A$48,'Over to underbark'!C$47:C$48)*AJ104</f>
        <v>54.742799999999995</v>
      </c>
      <c r="AM104" s="22">
        <f t="shared" si="25"/>
        <v>209.58671999999999</v>
      </c>
      <c r="AN104" s="36">
        <v>499.02</v>
      </c>
      <c r="AO104" s="23">
        <f t="shared" si="26"/>
        <v>419.17343999999997</v>
      </c>
      <c r="AQ104">
        <f t="shared" si="27"/>
        <v>0.67164179104477606</v>
      </c>
    </row>
    <row r="105" spans="1:43" x14ac:dyDescent="0.35">
      <c r="A105" t="s">
        <v>41</v>
      </c>
      <c r="B105">
        <v>6</v>
      </c>
      <c r="C105">
        <v>2</v>
      </c>
      <c r="D105" t="s">
        <v>42</v>
      </c>
      <c r="E105">
        <v>2</v>
      </c>
      <c r="F105">
        <v>1</v>
      </c>
      <c r="G105" s="12">
        <v>71</v>
      </c>
      <c r="H105" s="12">
        <v>17.536000000000001</v>
      </c>
      <c r="I105" s="12">
        <v>1421</v>
      </c>
      <c r="J105" s="12">
        <v>21.553999999999998</v>
      </c>
      <c r="K105" s="12">
        <v>51.847000000000001</v>
      </c>
      <c r="L105" s="12">
        <v>0.26700000000000002</v>
      </c>
      <c r="M105" s="19">
        <v>378.74</v>
      </c>
      <c r="N105" s="12">
        <v>3.8969999999999998</v>
      </c>
      <c r="O105" s="13">
        <v>5.3339999999999996</v>
      </c>
      <c r="P105" s="14">
        <v>71</v>
      </c>
      <c r="Q105" s="14">
        <v>21.553999999999998</v>
      </c>
      <c r="R105" s="14">
        <v>184.19200000000001</v>
      </c>
      <c r="S105" s="14">
        <v>194.548</v>
      </c>
      <c r="T105" s="10" t="b">
        <f t="shared" si="16"/>
        <v>1</v>
      </c>
      <c r="U105" s="10" t="b">
        <f t="shared" si="17"/>
        <v>1</v>
      </c>
      <c r="V105" s="11">
        <f>VLOOKUP(IF(J105&lt;10, 10, IF(J105&gt;50,50,J105)),'Over to underbark'!$A$3:$C$43,IF(A105="Scots pine",3,IF(A105="Sitka spruce",2, "error")),TRUE)/100</f>
        <v>0.84</v>
      </c>
      <c r="W105">
        <f t="shared" si="14"/>
        <v>139.24915200000001</v>
      </c>
      <c r="X105">
        <f t="shared" si="15"/>
        <v>147.07828799999999</v>
      </c>
      <c r="Y105">
        <f t="shared" si="18"/>
        <v>54.538560000000018</v>
      </c>
      <c r="Z105">
        <f t="shared" si="19"/>
        <v>147.51236157120002</v>
      </c>
      <c r="AA105">
        <f t="shared" si="20"/>
        <v>42.58668672000001</v>
      </c>
      <c r="AB105">
        <f t="shared" si="21"/>
        <v>69.579736732800001</v>
      </c>
      <c r="AC105">
        <f t="shared" si="22"/>
        <v>81.187214975999993</v>
      </c>
      <c r="AD105">
        <f>LOOKUP($A105,'Over to underbark'!$A$47:$A$48,'Over to underbark'!E$47:E$48)*Z105</f>
        <v>61.955191859904005</v>
      </c>
      <c r="AE105">
        <f>LOOKUP($A105,'Over to underbark'!$A$47:$A$48,'Over to underbark'!E$47:E$48)*AA105</f>
        <v>17.886408422400002</v>
      </c>
      <c r="AF105">
        <f>LOOKUP($A105,'Over to underbark'!$A$47:$A$48,'Over to underbark'!E$47:E$48)*AB105</f>
        <v>29.223489427775998</v>
      </c>
      <c r="AG105">
        <f>LOOKUP($A105,'Over to underbark'!$A$47:$A$48,'Over to underbark'!E$47:E$48)*AC105</f>
        <v>34.098630289919996</v>
      </c>
      <c r="AH105" t="b">
        <f t="shared" si="23"/>
        <v>1</v>
      </c>
      <c r="AI105" t="b">
        <f t="shared" si="24"/>
        <v>1</v>
      </c>
      <c r="AJ105">
        <f>LOOKUP(A105,'Over to underbark'!$A$47:$A$48,'Over to underbark'!E$47:E$48)*M105</f>
        <v>159.07079999999999</v>
      </c>
      <c r="AK105" s="22">
        <f>LOOKUP(A105,'Over to underbark'!$A$47:$A$48,'Over to underbark'!$B$47:$B$48)*AJ105</f>
        <v>54.084071999999999</v>
      </c>
      <c r="AL105" s="22">
        <f>LOOKUP(A105,'Over to underbark'!$A$47:$A$48,'Over to underbark'!C$47:C$48)*AJ105</f>
        <v>55.674779999999991</v>
      </c>
      <c r="AM105" s="22">
        <f t="shared" si="25"/>
        <v>213.15487199999998</v>
      </c>
      <c r="AN105" s="36">
        <v>507.51</v>
      </c>
      <c r="AO105" s="23">
        <f t="shared" si="26"/>
        <v>426.30974399999997</v>
      </c>
      <c r="AQ105">
        <f t="shared" si="27"/>
        <v>0.67164179104477628</v>
      </c>
    </row>
    <row r="106" spans="1:43" x14ac:dyDescent="0.35">
      <c r="A106" t="s">
        <v>41</v>
      </c>
      <c r="B106">
        <v>6</v>
      </c>
      <c r="C106">
        <v>2</v>
      </c>
      <c r="D106" t="s">
        <v>42</v>
      </c>
      <c r="E106">
        <v>2</v>
      </c>
      <c r="F106">
        <v>1</v>
      </c>
      <c r="G106" s="12">
        <v>72</v>
      </c>
      <c r="H106" s="12">
        <v>17.681999999999999</v>
      </c>
      <c r="I106" s="12">
        <v>1407</v>
      </c>
      <c r="J106" s="12">
        <v>21.751999999999999</v>
      </c>
      <c r="K106" s="12">
        <v>52.286000000000001</v>
      </c>
      <c r="L106" s="12">
        <v>0.27400000000000002</v>
      </c>
      <c r="M106" s="19">
        <v>385.08</v>
      </c>
      <c r="N106" s="12">
        <v>4.09</v>
      </c>
      <c r="O106" s="13">
        <v>5.3479999999999999</v>
      </c>
      <c r="P106" s="14">
        <v>72</v>
      </c>
      <c r="Q106" s="14">
        <v>21.751999999999999</v>
      </c>
      <c r="R106" s="14">
        <v>183.49700000000001</v>
      </c>
      <c r="S106" s="14">
        <v>201.583</v>
      </c>
      <c r="T106" s="10" t="b">
        <f t="shared" si="16"/>
        <v>1</v>
      </c>
      <c r="U106" s="10" t="b">
        <f t="shared" si="17"/>
        <v>1</v>
      </c>
      <c r="V106" s="11">
        <f>VLOOKUP(IF(J106&lt;10, 10, IF(J106&gt;50,50,J106)),'Over to underbark'!$A$3:$C$43,IF(A106="Scots pine",3,IF(A106="Sitka spruce",2, "error")),TRUE)/100</f>
        <v>0.84</v>
      </c>
      <c r="W106">
        <f t="shared" si="14"/>
        <v>138.72373200000001</v>
      </c>
      <c r="X106">
        <f t="shared" si="15"/>
        <v>152.396748</v>
      </c>
      <c r="Y106">
        <f t="shared" si="18"/>
        <v>55.451520000000023</v>
      </c>
      <c r="Z106">
        <f t="shared" si="19"/>
        <v>149.41225101420002</v>
      </c>
      <c r="AA106">
        <f t="shared" si="20"/>
        <v>42.985370520000011</v>
      </c>
      <c r="AB106">
        <f t="shared" si="21"/>
        <v>70.051373569800006</v>
      </c>
      <c r="AC106">
        <f t="shared" si="22"/>
        <v>84.123004896000012</v>
      </c>
      <c r="AD106">
        <f>LOOKUP($A106,'Over to underbark'!$A$47:$A$48,'Over to underbark'!E$47:E$48)*Z106</f>
        <v>62.753145425964007</v>
      </c>
      <c r="AE106">
        <f>LOOKUP($A106,'Over to underbark'!$A$47:$A$48,'Over to underbark'!E$47:E$48)*AA106</f>
        <v>18.053855618400004</v>
      </c>
      <c r="AF106">
        <f>LOOKUP($A106,'Over to underbark'!$A$47:$A$48,'Over to underbark'!E$47:E$48)*AB106</f>
        <v>29.421576899316001</v>
      </c>
      <c r="AG106">
        <f>LOOKUP($A106,'Over to underbark'!$A$47:$A$48,'Over to underbark'!E$47:E$48)*AC106</f>
        <v>35.331662056320006</v>
      </c>
      <c r="AH106" t="b">
        <f t="shared" si="23"/>
        <v>1</v>
      </c>
      <c r="AI106" t="b">
        <f t="shared" si="24"/>
        <v>1</v>
      </c>
      <c r="AJ106">
        <f>LOOKUP(A106,'Over to underbark'!$A$47:$A$48,'Over to underbark'!E$47:E$48)*M106</f>
        <v>161.7336</v>
      </c>
      <c r="AK106" s="22">
        <f>LOOKUP(A106,'Over to underbark'!$A$47:$A$48,'Over to underbark'!$B$47:$B$48)*AJ106</f>
        <v>54.989424</v>
      </c>
      <c r="AL106" s="22">
        <f>LOOKUP(A106,'Over to underbark'!$A$47:$A$48,'Over to underbark'!C$47:C$48)*AJ106</f>
        <v>56.606759999999994</v>
      </c>
      <c r="AM106" s="22">
        <f t="shared" si="25"/>
        <v>216.72302400000001</v>
      </c>
      <c r="AN106" s="36">
        <v>516.01</v>
      </c>
      <c r="AO106" s="23">
        <f t="shared" si="26"/>
        <v>433.44604800000002</v>
      </c>
      <c r="AQ106">
        <f t="shared" si="27"/>
        <v>0.67164179104477617</v>
      </c>
    </row>
    <row r="107" spans="1:43" x14ac:dyDescent="0.35">
      <c r="A107" t="s">
        <v>41</v>
      </c>
      <c r="B107">
        <v>6</v>
      </c>
      <c r="C107">
        <v>2</v>
      </c>
      <c r="D107" t="s">
        <v>42</v>
      </c>
      <c r="E107">
        <v>2</v>
      </c>
      <c r="F107">
        <v>1</v>
      </c>
      <c r="G107" s="12">
        <v>73</v>
      </c>
      <c r="H107" s="12">
        <v>17.827999999999999</v>
      </c>
      <c r="I107" s="12">
        <v>1393</v>
      </c>
      <c r="J107" s="12">
        <v>21.952000000000002</v>
      </c>
      <c r="K107" s="12">
        <v>52.723999999999997</v>
      </c>
      <c r="L107" s="12">
        <v>0.28100000000000003</v>
      </c>
      <c r="M107" s="19">
        <v>391.42</v>
      </c>
      <c r="N107" s="12">
        <v>4.2750000000000004</v>
      </c>
      <c r="O107" s="13">
        <v>5.3620000000000001</v>
      </c>
      <c r="P107" s="14">
        <v>73</v>
      </c>
      <c r="Q107" s="14">
        <v>21.952000000000002</v>
      </c>
      <c r="R107" s="14">
        <v>182.69300000000001</v>
      </c>
      <c r="S107" s="14">
        <v>208.727</v>
      </c>
      <c r="T107" s="10" t="b">
        <f t="shared" si="16"/>
        <v>1</v>
      </c>
      <c r="U107" s="10" t="b">
        <f t="shared" si="17"/>
        <v>1</v>
      </c>
      <c r="V107" s="11">
        <f>VLOOKUP(IF(J107&lt;10, 10, IF(J107&gt;50,50,J107)),'Over to underbark'!$A$3:$C$43,IF(A107="Scots pine",3,IF(A107="Sitka spruce",2, "error")),TRUE)/100</f>
        <v>0.84</v>
      </c>
      <c r="W107">
        <f t="shared" si="14"/>
        <v>138.11590800000002</v>
      </c>
      <c r="X107">
        <f t="shared" si="15"/>
        <v>157.79761199999999</v>
      </c>
      <c r="Y107">
        <f t="shared" si="18"/>
        <v>56.364480000000015</v>
      </c>
      <c r="Z107">
        <f t="shared" si="19"/>
        <v>151.29571321980001</v>
      </c>
      <c r="AA107">
        <f t="shared" si="20"/>
        <v>43.374989880000008</v>
      </c>
      <c r="AB107">
        <f t="shared" si="21"/>
        <v>70.503015076200001</v>
      </c>
      <c r="AC107">
        <f t="shared" si="22"/>
        <v>87.104281823999997</v>
      </c>
      <c r="AD107">
        <f>LOOKUP($A107,'Over to underbark'!$A$47:$A$48,'Over to underbark'!E$47:E$48)*Z107</f>
        <v>63.544199552316002</v>
      </c>
      <c r="AE107">
        <f>LOOKUP($A107,'Over to underbark'!$A$47:$A$48,'Over to underbark'!E$47:E$48)*AA107</f>
        <v>18.217495749600001</v>
      </c>
      <c r="AF107">
        <f>LOOKUP($A107,'Over to underbark'!$A$47:$A$48,'Over to underbark'!E$47:E$48)*AB107</f>
        <v>29.611266332004</v>
      </c>
      <c r="AG107">
        <f>LOOKUP($A107,'Over to underbark'!$A$47:$A$48,'Over to underbark'!E$47:E$48)*AC107</f>
        <v>36.583798366079996</v>
      </c>
      <c r="AH107" t="b">
        <f t="shared" si="23"/>
        <v>1</v>
      </c>
      <c r="AI107" t="b">
        <f t="shared" si="24"/>
        <v>1</v>
      </c>
      <c r="AJ107">
        <f>LOOKUP(A107,'Over to underbark'!$A$47:$A$48,'Over to underbark'!E$47:E$48)*M107</f>
        <v>164.3964</v>
      </c>
      <c r="AK107" s="22">
        <f>LOOKUP(A107,'Over to underbark'!$A$47:$A$48,'Over to underbark'!$B$47:$B$48)*AJ107</f>
        <v>55.894776000000007</v>
      </c>
      <c r="AL107" s="22">
        <f>LOOKUP(A107,'Over to underbark'!$A$47:$A$48,'Over to underbark'!C$47:C$48)*AJ107</f>
        <v>57.538739999999997</v>
      </c>
      <c r="AM107" s="22">
        <f t="shared" si="25"/>
        <v>220.29117600000001</v>
      </c>
      <c r="AN107" s="36">
        <v>524.5</v>
      </c>
      <c r="AO107" s="23">
        <f t="shared" si="26"/>
        <v>440.58235200000001</v>
      </c>
      <c r="AQ107">
        <f t="shared" si="27"/>
        <v>0.67164179104477606</v>
      </c>
    </row>
    <row r="108" spans="1:43" x14ac:dyDescent="0.35">
      <c r="A108" t="s">
        <v>41</v>
      </c>
      <c r="B108">
        <v>6</v>
      </c>
      <c r="C108">
        <v>2</v>
      </c>
      <c r="D108" t="s">
        <v>42</v>
      </c>
      <c r="E108">
        <v>2</v>
      </c>
      <c r="F108">
        <v>1</v>
      </c>
      <c r="G108" s="12">
        <v>74</v>
      </c>
      <c r="H108" s="12">
        <v>17.974</v>
      </c>
      <c r="I108" s="12">
        <v>1379</v>
      </c>
      <c r="J108" s="12">
        <v>22.155000000000001</v>
      </c>
      <c r="K108" s="12">
        <v>53.161999999999999</v>
      </c>
      <c r="L108" s="12">
        <v>0.28799999999999998</v>
      </c>
      <c r="M108" s="19">
        <v>397.76</v>
      </c>
      <c r="N108" s="12">
        <v>4.4539999999999997</v>
      </c>
      <c r="O108" s="13">
        <v>5.375</v>
      </c>
      <c r="P108" s="14">
        <v>74</v>
      </c>
      <c r="Q108" s="14">
        <v>22.155000000000001</v>
      </c>
      <c r="R108" s="14">
        <v>181.762</v>
      </c>
      <c r="S108" s="14">
        <v>215.99799999999999</v>
      </c>
      <c r="T108" s="10" t="b">
        <f t="shared" si="16"/>
        <v>1</v>
      </c>
      <c r="U108" s="10" t="b">
        <f t="shared" si="17"/>
        <v>1</v>
      </c>
      <c r="V108" s="11">
        <f>VLOOKUP(IF(J108&lt;10, 10, IF(J108&gt;50,50,J108)),'Over to underbark'!$A$3:$C$43,IF(A108="Scots pine",3,IF(A108="Sitka spruce",2, "error")),TRUE)/100</f>
        <v>0.84</v>
      </c>
      <c r="W108">
        <f t="shared" si="14"/>
        <v>137.41207199999999</v>
      </c>
      <c r="X108">
        <f t="shared" si="15"/>
        <v>163.294488</v>
      </c>
      <c r="Y108">
        <f t="shared" si="18"/>
        <v>57.277440000000006</v>
      </c>
      <c r="Z108">
        <f t="shared" si="19"/>
        <v>153.16003543319999</v>
      </c>
      <c r="AA108">
        <f t="shared" si="20"/>
        <v>43.754047920000005</v>
      </c>
      <c r="AB108">
        <f t="shared" si="21"/>
        <v>70.931359270799987</v>
      </c>
      <c r="AC108">
        <f t="shared" si="22"/>
        <v>90.138557375999994</v>
      </c>
      <c r="AD108">
        <f>LOOKUP($A108,'Over to underbark'!$A$47:$A$48,'Over to underbark'!E$47:E$48)*Z108</f>
        <v>64.327214881944002</v>
      </c>
      <c r="AE108">
        <f>LOOKUP($A108,'Over to underbark'!$A$47:$A$48,'Over to underbark'!E$47:E$48)*AA108</f>
        <v>18.376700126400003</v>
      </c>
      <c r="AF108">
        <f>LOOKUP($A108,'Over to underbark'!$A$47:$A$48,'Over to underbark'!E$47:E$48)*AB108</f>
        <v>29.791170893735995</v>
      </c>
      <c r="AG108">
        <f>LOOKUP($A108,'Over to underbark'!$A$47:$A$48,'Over to underbark'!E$47:E$48)*AC108</f>
        <v>37.858194097919998</v>
      </c>
      <c r="AH108" t="b">
        <f t="shared" si="23"/>
        <v>1</v>
      </c>
      <c r="AI108" t="b">
        <f t="shared" si="24"/>
        <v>1</v>
      </c>
      <c r="AJ108">
        <f>LOOKUP(A108,'Over to underbark'!$A$47:$A$48,'Over to underbark'!E$47:E$48)*M108</f>
        <v>167.0592</v>
      </c>
      <c r="AK108" s="22">
        <f>LOOKUP(A108,'Over to underbark'!$A$47:$A$48,'Over to underbark'!$B$47:$B$48)*AJ108</f>
        <v>56.800128000000008</v>
      </c>
      <c r="AL108" s="22">
        <f>LOOKUP(A108,'Over to underbark'!$A$47:$A$48,'Over to underbark'!C$47:C$48)*AJ108</f>
        <v>58.47072</v>
      </c>
      <c r="AM108" s="22">
        <f t="shared" si="25"/>
        <v>223.859328</v>
      </c>
      <c r="AN108" s="36">
        <v>533</v>
      </c>
      <c r="AO108" s="23">
        <f t="shared" si="26"/>
        <v>447.71865600000001</v>
      </c>
      <c r="AQ108">
        <f t="shared" si="27"/>
        <v>0.67164179104477617</v>
      </c>
    </row>
    <row r="109" spans="1:43" x14ac:dyDescent="0.35">
      <c r="A109" t="s">
        <v>41</v>
      </c>
      <c r="B109">
        <v>6</v>
      </c>
      <c r="C109">
        <v>2</v>
      </c>
      <c r="D109" t="s">
        <v>42</v>
      </c>
      <c r="E109">
        <v>2</v>
      </c>
      <c r="F109">
        <v>1</v>
      </c>
      <c r="G109" s="12">
        <v>75</v>
      </c>
      <c r="H109" s="12">
        <v>18.12</v>
      </c>
      <c r="I109" s="12">
        <v>1365</v>
      </c>
      <c r="J109" s="12">
        <v>22.36</v>
      </c>
      <c r="K109" s="12">
        <v>53.6</v>
      </c>
      <c r="L109" s="12">
        <v>0.29599999999999999</v>
      </c>
      <c r="M109" s="19">
        <v>404.1</v>
      </c>
      <c r="N109" s="12">
        <v>4.6260000000000003</v>
      </c>
      <c r="O109" s="13">
        <v>5.3879999999999999</v>
      </c>
      <c r="P109" s="14">
        <v>75</v>
      </c>
      <c r="Q109" s="14">
        <v>22.36</v>
      </c>
      <c r="R109" s="14">
        <v>180.72800000000001</v>
      </c>
      <c r="S109" s="14">
        <v>223.37200000000001</v>
      </c>
      <c r="T109" s="10" t="b">
        <f t="shared" si="16"/>
        <v>1</v>
      </c>
      <c r="U109" s="10" t="b">
        <f t="shared" si="17"/>
        <v>1</v>
      </c>
      <c r="V109" s="11">
        <f>VLOOKUP(IF(J109&lt;10, 10, IF(J109&gt;50,50,J109)),'Over to underbark'!$A$3:$C$43,IF(A109="Scots pine",3,IF(A109="Sitka spruce",2, "error")),TRUE)/100</f>
        <v>0.84</v>
      </c>
      <c r="W109">
        <f t="shared" si="14"/>
        <v>136.630368</v>
      </c>
      <c r="X109">
        <f t="shared" si="15"/>
        <v>168.86923200000001</v>
      </c>
      <c r="Y109">
        <f t="shared" si="18"/>
        <v>58.190400000000018</v>
      </c>
      <c r="Z109">
        <f t="shared" si="19"/>
        <v>155.00883466080001</v>
      </c>
      <c r="AA109">
        <f t="shared" si="20"/>
        <v>44.124540480000007</v>
      </c>
      <c r="AB109">
        <f t="shared" si="21"/>
        <v>71.34080879519999</v>
      </c>
      <c r="AC109">
        <f t="shared" si="22"/>
        <v>93.215816064000009</v>
      </c>
      <c r="AD109">
        <f>LOOKUP($A109,'Over to underbark'!$A$47:$A$48,'Over to underbark'!E$47:E$48)*Z109</f>
        <v>65.103710557536004</v>
      </c>
      <c r="AE109">
        <f>LOOKUP($A109,'Over to underbark'!$A$47:$A$48,'Over to underbark'!E$47:E$48)*AA109</f>
        <v>18.532307001600003</v>
      </c>
      <c r="AF109">
        <f>LOOKUP($A109,'Over to underbark'!$A$47:$A$48,'Over to underbark'!E$47:E$48)*AB109</f>
        <v>29.963139693983994</v>
      </c>
      <c r="AG109">
        <f>LOOKUP($A109,'Over to underbark'!$A$47:$A$48,'Over to underbark'!E$47:E$48)*AC109</f>
        <v>39.150642746880003</v>
      </c>
      <c r="AH109" t="b">
        <f t="shared" si="23"/>
        <v>1</v>
      </c>
      <c r="AI109" t="b">
        <f t="shared" si="24"/>
        <v>1</v>
      </c>
      <c r="AJ109">
        <f>LOOKUP(A109,'Over to underbark'!$A$47:$A$48,'Over to underbark'!E$47:E$48)*M109</f>
        <v>169.72200000000001</v>
      </c>
      <c r="AK109" s="22">
        <f>LOOKUP(A109,'Over to underbark'!$A$47:$A$48,'Over to underbark'!$B$47:$B$48)*AJ109</f>
        <v>57.705480000000009</v>
      </c>
      <c r="AL109" s="22">
        <f>LOOKUP(A109,'Over to underbark'!$A$47:$A$48,'Over to underbark'!C$47:C$48)*AJ109</f>
        <v>59.402699999999996</v>
      </c>
      <c r="AM109" s="22">
        <f t="shared" si="25"/>
        <v>227.42748</v>
      </c>
      <c r="AN109" s="36">
        <v>541.49</v>
      </c>
      <c r="AO109" s="23">
        <f t="shared" si="26"/>
        <v>454.85496000000001</v>
      </c>
      <c r="AQ109">
        <f t="shared" si="27"/>
        <v>0.67164179104477606</v>
      </c>
    </row>
    <row r="110" spans="1:43" x14ac:dyDescent="0.35">
      <c r="A110" t="s">
        <v>41</v>
      </c>
      <c r="B110">
        <v>6</v>
      </c>
      <c r="C110">
        <v>2</v>
      </c>
      <c r="D110" t="s">
        <v>42</v>
      </c>
      <c r="E110">
        <v>2</v>
      </c>
      <c r="F110">
        <v>1</v>
      </c>
      <c r="G110" s="12">
        <v>76</v>
      </c>
      <c r="H110" s="12">
        <v>18.245999999999999</v>
      </c>
      <c r="I110" s="12">
        <v>1352</v>
      </c>
      <c r="J110" s="12">
        <v>22.542999999999999</v>
      </c>
      <c r="K110" s="12">
        <v>53.963999999999999</v>
      </c>
      <c r="L110" s="12">
        <v>0.30299999999999999</v>
      </c>
      <c r="M110" s="19">
        <v>409.52</v>
      </c>
      <c r="N110" s="12">
        <v>4.8339999999999996</v>
      </c>
      <c r="O110" s="13">
        <v>5.3879999999999999</v>
      </c>
      <c r="P110" s="14">
        <v>76</v>
      </c>
      <c r="Q110" s="14">
        <v>22.542999999999999</v>
      </c>
      <c r="R110" s="14">
        <v>179.64599999999999</v>
      </c>
      <c r="S110" s="14">
        <v>229.874</v>
      </c>
      <c r="T110" s="10" t="b">
        <f t="shared" si="16"/>
        <v>1</v>
      </c>
      <c r="U110" s="10" t="b">
        <f t="shared" si="17"/>
        <v>1</v>
      </c>
      <c r="V110" s="11">
        <f>VLOOKUP(IF(J110&lt;10, 10, IF(J110&gt;50,50,J110)),'Over to underbark'!$A$3:$C$43,IF(A110="Scots pine",3,IF(A110="Sitka spruce",2, "error")),TRUE)/100</f>
        <v>0.84</v>
      </c>
      <c r="W110">
        <f t="shared" si="14"/>
        <v>135.812376</v>
      </c>
      <c r="X110">
        <f t="shared" si="15"/>
        <v>173.78474399999999</v>
      </c>
      <c r="Y110">
        <f t="shared" si="18"/>
        <v>58.970880000000008</v>
      </c>
      <c r="Z110">
        <f t="shared" si="19"/>
        <v>156.5595069156</v>
      </c>
      <c r="AA110">
        <f t="shared" si="20"/>
        <v>44.424801360000004</v>
      </c>
      <c r="AB110">
        <f t="shared" si="21"/>
        <v>71.654513036400004</v>
      </c>
      <c r="AC110">
        <f t="shared" si="22"/>
        <v>95.929178688000007</v>
      </c>
      <c r="AD110">
        <f>LOOKUP($A110,'Over to underbark'!$A$47:$A$48,'Over to underbark'!E$47:E$48)*Z110</f>
        <v>65.754992904551997</v>
      </c>
      <c r="AE110">
        <f>LOOKUP($A110,'Over to underbark'!$A$47:$A$48,'Over to underbark'!E$47:E$48)*AA110</f>
        <v>18.6584165712</v>
      </c>
      <c r="AF110">
        <f>LOOKUP($A110,'Over to underbark'!$A$47:$A$48,'Over to underbark'!E$47:E$48)*AB110</f>
        <v>30.094895475288002</v>
      </c>
      <c r="AG110">
        <f>LOOKUP($A110,'Over to underbark'!$A$47:$A$48,'Over to underbark'!E$47:E$48)*AC110</f>
        <v>40.290255048959999</v>
      </c>
      <c r="AH110" t="b">
        <f t="shared" si="23"/>
        <v>1</v>
      </c>
      <c r="AI110" t="b">
        <f t="shared" si="24"/>
        <v>1</v>
      </c>
      <c r="AJ110">
        <f>LOOKUP(A110,'Over to underbark'!$A$47:$A$48,'Over to underbark'!E$47:E$48)*M110</f>
        <v>171.99839999999998</v>
      </c>
      <c r="AK110" s="22">
        <f>LOOKUP(A110,'Over to underbark'!$A$47:$A$48,'Over to underbark'!$B$47:$B$48)*AJ110</f>
        <v>58.479455999999999</v>
      </c>
      <c r="AL110" s="22">
        <f>LOOKUP(A110,'Over to underbark'!$A$47:$A$48,'Over to underbark'!C$47:C$48)*AJ110</f>
        <v>60.199439999999989</v>
      </c>
      <c r="AM110" s="22">
        <f t="shared" si="25"/>
        <v>230.47785599999997</v>
      </c>
      <c r="AN110" s="36">
        <v>548.76</v>
      </c>
      <c r="AO110" s="23">
        <f t="shared" si="26"/>
        <v>460.95571199999995</v>
      </c>
      <c r="AQ110">
        <f t="shared" si="27"/>
        <v>0.67164179104477606</v>
      </c>
    </row>
    <row r="111" spans="1:43" x14ac:dyDescent="0.35">
      <c r="A111" t="s">
        <v>41</v>
      </c>
      <c r="B111">
        <v>6</v>
      </c>
      <c r="C111">
        <v>2</v>
      </c>
      <c r="D111" t="s">
        <v>42</v>
      </c>
      <c r="E111">
        <v>2</v>
      </c>
      <c r="F111">
        <v>1</v>
      </c>
      <c r="G111" s="12">
        <v>77</v>
      </c>
      <c r="H111" s="12">
        <v>18.372</v>
      </c>
      <c r="I111" s="12">
        <v>1339</v>
      </c>
      <c r="J111" s="12">
        <v>22.728999999999999</v>
      </c>
      <c r="K111" s="12">
        <v>54.328000000000003</v>
      </c>
      <c r="L111" s="12">
        <v>0.31</v>
      </c>
      <c r="M111" s="19">
        <v>414.94</v>
      </c>
      <c r="N111" s="12">
        <v>5.0350000000000001</v>
      </c>
      <c r="O111" s="13">
        <v>5.3890000000000002</v>
      </c>
      <c r="P111" s="14">
        <v>77</v>
      </c>
      <c r="Q111" s="14">
        <v>22.728999999999999</v>
      </c>
      <c r="R111" s="14">
        <v>178.46299999999999</v>
      </c>
      <c r="S111" s="14">
        <v>236.477</v>
      </c>
      <c r="T111" s="10" t="b">
        <f t="shared" si="16"/>
        <v>1</v>
      </c>
      <c r="U111" s="10" t="b">
        <f t="shared" si="17"/>
        <v>1</v>
      </c>
      <c r="V111" s="11">
        <f>VLOOKUP(IF(J111&lt;10, 10, IF(J111&gt;50,50,J111)),'Over to underbark'!$A$3:$C$43,IF(A111="Scots pine",3,IF(A111="Sitka spruce",2, "error")),TRUE)/100</f>
        <v>0.84</v>
      </c>
      <c r="W111">
        <f t="shared" si="14"/>
        <v>134.91802799999999</v>
      </c>
      <c r="X111">
        <f t="shared" si="15"/>
        <v>178.776612</v>
      </c>
      <c r="Y111">
        <f t="shared" si="18"/>
        <v>59.751360000000012</v>
      </c>
      <c r="Z111">
        <f t="shared" si="19"/>
        <v>158.09495760179999</v>
      </c>
      <c r="AA111">
        <f t="shared" si="20"/>
        <v>44.716663080000004</v>
      </c>
      <c r="AB111">
        <f t="shared" si="21"/>
        <v>71.949689494199987</v>
      </c>
      <c r="AC111">
        <f t="shared" si="22"/>
        <v>98.684689824000003</v>
      </c>
      <c r="AD111">
        <f>LOOKUP($A111,'Over to underbark'!$A$47:$A$48,'Over to underbark'!E$47:E$48)*Z111</f>
        <v>66.399882192755996</v>
      </c>
      <c r="AE111">
        <f>LOOKUP($A111,'Over to underbark'!$A$47:$A$48,'Over to underbark'!E$47:E$48)*AA111</f>
        <v>18.780998493600002</v>
      </c>
      <c r="AF111">
        <f>LOOKUP($A111,'Over to underbark'!$A$47:$A$48,'Over to underbark'!E$47:E$48)*AB111</f>
        <v>30.218869587563994</v>
      </c>
      <c r="AG111">
        <f>LOOKUP($A111,'Over to underbark'!$A$47:$A$48,'Over to underbark'!E$47:E$48)*AC111</f>
        <v>41.447569726079998</v>
      </c>
      <c r="AH111" t="b">
        <f t="shared" si="23"/>
        <v>1</v>
      </c>
      <c r="AI111" t="b">
        <f t="shared" si="24"/>
        <v>1</v>
      </c>
      <c r="AJ111">
        <f>LOOKUP(A111,'Over to underbark'!$A$47:$A$48,'Over to underbark'!E$47:E$48)*M111</f>
        <v>174.2748</v>
      </c>
      <c r="AK111" s="22">
        <f>LOOKUP(A111,'Over to underbark'!$A$47:$A$48,'Over to underbark'!$B$47:$B$48)*AJ111</f>
        <v>59.253432000000004</v>
      </c>
      <c r="AL111" s="22">
        <f>LOOKUP(A111,'Over to underbark'!$A$47:$A$48,'Over to underbark'!C$47:C$48)*AJ111</f>
        <v>60.996179999999995</v>
      </c>
      <c r="AM111" s="22">
        <f t="shared" si="25"/>
        <v>233.528232</v>
      </c>
      <c r="AN111" s="36">
        <v>556.02</v>
      </c>
      <c r="AO111" s="23">
        <f t="shared" si="26"/>
        <v>467.05646400000001</v>
      </c>
      <c r="AQ111">
        <f t="shared" si="27"/>
        <v>0.67164179104477606</v>
      </c>
    </row>
    <row r="112" spans="1:43" x14ac:dyDescent="0.35">
      <c r="A112" t="s">
        <v>41</v>
      </c>
      <c r="B112">
        <v>6</v>
      </c>
      <c r="C112">
        <v>2</v>
      </c>
      <c r="D112" t="s">
        <v>42</v>
      </c>
      <c r="E112">
        <v>2</v>
      </c>
      <c r="F112">
        <v>1</v>
      </c>
      <c r="G112" s="12">
        <v>78</v>
      </c>
      <c r="H112" s="12">
        <v>18.498000000000001</v>
      </c>
      <c r="I112" s="12">
        <v>1327</v>
      </c>
      <c r="J112" s="12">
        <v>22.908000000000001</v>
      </c>
      <c r="K112" s="12">
        <v>54.692</v>
      </c>
      <c r="L112" s="12">
        <v>0.317</v>
      </c>
      <c r="M112" s="19">
        <v>420.36</v>
      </c>
      <c r="N112" s="12">
        <v>5.23</v>
      </c>
      <c r="O112" s="13">
        <v>5.3890000000000002</v>
      </c>
      <c r="P112" s="14">
        <v>78</v>
      </c>
      <c r="Q112" s="14">
        <v>22.908000000000001</v>
      </c>
      <c r="R112" s="14">
        <v>177.37100000000001</v>
      </c>
      <c r="S112" s="14">
        <v>242.989</v>
      </c>
      <c r="T112" s="10" t="b">
        <f t="shared" si="16"/>
        <v>1</v>
      </c>
      <c r="U112" s="10" t="b">
        <f t="shared" si="17"/>
        <v>1</v>
      </c>
      <c r="V112" s="11">
        <f>VLOOKUP(IF(J112&lt;10, 10, IF(J112&gt;50,50,J112)),'Over to underbark'!$A$3:$C$43,IF(A112="Scots pine",3,IF(A112="Sitka spruce",2, "error")),TRUE)/100</f>
        <v>0.84</v>
      </c>
      <c r="W112">
        <f t="shared" si="14"/>
        <v>134.092476</v>
      </c>
      <c r="X112">
        <f t="shared" si="15"/>
        <v>183.69968399999999</v>
      </c>
      <c r="Y112">
        <f t="shared" si="18"/>
        <v>60.531840000000017</v>
      </c>
      <c r="Z112">
        <f t="shared" si="19"/>
        <v>159.64412277060001</v>
      </c>
      <c r="AA112">
        <f t="shared" si="20"/>
        <v>45.016092360000009</v>
      </c>
      <c r="AB112">
        <f t="shared" si="21"/>
        <v>72.261559301399998</v>
      </c>
      <c r="AC112">
        <f t="shared" si="22"/>
        <v>101.40222556799999</v>
      </c>
      <c r="AD112">
        <f>LOOKUP($A112,'Over to underbark'!$A$47:$A$48,'Over to underbark'!E$47:E$48)*Z112</f>
        <v>67.050531563652001</v>
      </c>
      <c r="AE112">
        <f>LOOKUP($A112,'Over to underbark'!$A$47:$A$48,'Over to underbark'!E$47:E$48)*AA112</f>
        <v>18.906758791200001</v>
      </c>
      <c r="AF112">
        <f>LOOKUP($A112,'Over to underbark'!$A$47:$A$48,'Over to underbark'!E$47:E$48)*AB112</f>
        <v>30.349854906588</v>
      </c>
      <c r="AG112">
        <f>LOOKUP($A112,'Over to underbark'!$A$47:$A$48,'Over to underbark'!E$47:E$48)*AC112</f>
        <v>42.588934738559992</v>
      </c>
      <c r="AH112" t="b">
        <f t="shared" si="23"/>
        <v>1</v>
      </c>
      <c r="AI112" t="b">
        <f t="shared" si="24"/>
        <v>1</v>
      </c>
      <c r="AJ112">
        <f>LOOKUP(A112,'Over to underbark'!$A$47:$A$48,'Over to underbark'!E$47:E$48)*M112</f>
        <v>176.55119999999999</v>
      </c>
      <c r="AK112" s="22">
        <f>LOOKUP(A112,'Over to underbark'!$A$47:$A$48,'Over to underbark'!$B$47:$B$48)*AJ112</f>
        <v>60.027408000000001</v>
      </c>
      <c r="AL112" s="22">
        <f>LOOKUP(A112,'Over to underbark'!$A$47:$A$48,'Over to underbark'!C$47:C$48)*AJ112</f>
        <v>61.792919999999995</v>
      </c>
      <c r="AM112" s="22">
        <f t="shared" si="25"/>
        <v>236.578608</v>
      </c>
      <c r="AN112" s="36">
        <v>563.28</v>
      </c>
      <c r="AO112" s="23">
        <f t="shared" si="26"/>
        <v>473.15721600000001</v>
      </c>
      <c r="AQ112">
        <f t="shared" si="27"/>
        <v>0.67164179104477617</v>
      </c>
    </row>
    <row r="113" spans="1:43" x14ac:dyDescent="0.35">
      <c r="A113" t="s">
        <v>41</v>
      </c>
      <c r="B113">
        <v>6</v>
      </c>
      <c r="C113">
        <v>2</v>
      </c>
      <c r="D113" t="s">
        <v>42</v>
      </c>
      <c r="E113">
        <v>2</v>
      </c>
      <c r="F113">
        <v>1</v>
      </c>
      <c r="G113" s="12">
        <v>79</v>
      </c>
      <c r="H113" s="12">
        <v>18.623999999999999</v>
      </c>
      <c r="I113" s="12">
        <v>1314</v>
      </c>
      <c r="J113" s="12">
        <v>23.097000000000001</v>
      </c>
      <c r="K113" s="12">
        <v>55.055999999999997</v>
      </c>
      <c r="L113" s="12">
        <v>0.32400000000000001</v>
      </c>
      <c r="M113" s="19">
        <v>425.78</v>
      </c>
      <c r="N113" s="12">
        <v>5.42</v>
      </c>
      <c r="O113" s="13">
        <v>5.39</v>
      </c>
      <c r="P113" s="14">
        <v>79</v>
      </c>
      <c r="Q113" s="14">
        <v>23.097000000000001</v>
      </c>
      <c r="R113" s="14">
        <v>176.05</v>
      </c>
      <c r="S113" s="14">
        <v>249.73</v>
      </c>
      <c r="T113" s="10" t="b">
        <f t="shared" si="16"/>
        <v>1</v>
      </c>
      <c r="U113" s="10" t="b">
        <f t="shared" si="17"/>
        <v>1</v>
      </c>
      <c r="V113" s="11">
        <f>VLOOKUP(IF(J113&lt;10, 10, IF(J113&gt;50,50,J113)),'Over to underbark'!$A$3:$C$43,IF(A113="Scots pine",3,IF(A113="Sitka spruce",2, "error")),TRUE)/100</f>
        <v>0.84</v>
      </c>
      <c r="W113">
        <f t="shared" si="14"/>
        <v>133.09380000000002</v>
      </c>
      <c r="X113">
        <f t="shared" si="15"/>
        <v>188.79588000000001</v>
      </c>
      <c r="Y113">
        <f t="shared" si="18"/>
        <v>61.312320000000014</v>
      </c>
      <c r="Z113">
        <f t="shared" si="19"/>
        <v>161.15877567000004</v>
      </c>
      <c r="AA113">
        <f t="shared" si="20"/>
        <v>45.296478000000008</v>
      </c>
      <c r="AB113">
        <f t="shared" si="21"/>
        <v>72.531420570000009</v>
      </c>
      <c r="AC113">
        <f t="shared" si="22"/>
        <v>104.21532576000001</v>
      </c>
      <c r="AD113">
        <f>LOOKUP($A113,'Over to underbark'!$A$47:$A$48,'Over to underbark'!E$47:E$48)*Z113</f>
        <v>67.686685781400016</v>
      </c>
      <c r="AE113">
        <f>LOOKUP($A113,'Over to underbark'!$A$47:$A$48,'Over to underbark'!E$47:E$48)*AA113</f>
        <v>19.024520760000001</v>
      </c>
      <c r="AF113">
        <f>LOOKUP($A113,'Over to underbark'!$A$47:$A$48,'Over to underbark'!E$47:E$48)*AB113</f>
        <v>30.463196639400003</v>
      </c>
      <c r="AG113">
        <f>LOOKUP($A113,'Over to underbark'!$A$47:$A$48,'Over to underbark'!E$47:E$48)*AC113</f>
        <v>43.7704368192</v>
      </c>
      <c r="AH113" t="b">
        <f t="shared" si="23"/>
        <v>1</v>
      </c>
      <c r="AI113" t="b">
        <f t="shared" si="24"/>
        <v>1</v>
      </c>
      <c r="AJ113">
        <f>LOOKUP(A113,'Over to underbark'!$A$47:$A$48,'Over to underbark'!E$47:E$48)*M113</f>
        <v>178.82759999999999</v>
      </c>
      <c r="AK113" s="22">
        <f>LOOKUP(A113,'Over to underbark'!$A$47:$A$48,'Over to underbark'!$B$47:$B$48)*AJ113</f>
        <v>60.801383999999999</v>
      </c>
      <c r="AL113" s="22">
        <f>LOOKUP(A113,'Over to underbark'!$A$47:$A$48,'Over to underbark'!C$47:C$48)*AJ113</f>
        <v>62.589659999999995</v>
      </c>
      <c r="AM113" s="22">
        <f t="shared" si="25"/>
        <v>239.628984</v>
      </c>
      <c r="AN113" s="36">
        <v>570.54999999999995</v>
      </c>
      <c r="AO113" s="23">
        <f t="shared" si="26"/>
        <v>479.25796800000001</v>
      </c>
      <c r="AQ113">
        <f t="shared" si="27"/>
        <v>0.67164179104477628</v>
      </c>
    </row>
    <row r="114" spans="1:43" x14ac:dyDescent="0.35">
      <c r="A114" t="s">
        <v>41</v>
      </c>
      <c r="B114">
        <v>6</v>
      </c>
      <c r="C114">
        <v>2</v>
      </c>
      <c r="D114" t="s">
        <v>42</v>
      </c>
      <c r="E114">
        <v>2</v>
      </c>
      <c r="F114">
        <v>1</v>
      </c>
      <c r="G114" s="12">
        <v>80</v>
      </c>
      <c r="H114" s="12">
        <v>18.75</v>
      </c>
      <c r="I114" s="12">
        <v>1302</v>
      </c>
      <c r="J114" s="12">
        <v>23.28</v>
      </c>
      <c r="K114" s="12">
        <v>55.42</v>
      </c>
      <c r="L114" s="12">
        <v>0.33100000000000002</v>
      </c>
      <c r="M114" s="19">
        <v>431.2</v>
      </c>
      <c r="N114" s="12">
        <v>5.6040000000000001</v>
      </c>
      <c r="O114" s="13">
        <v>5.39</v>
      </c>
      <c r="P114" s="14">
        <v>80</v>
      </c>
      <c r="Q114" s="14">
        <v>23.28</v>
      </c>
      <c r="R114" s="14">
        <v>174.80500000000001</v>
      </c>
      <c r="S114" s="14">
        <v>256.39499999999998</v>
      </c>
      <c r="T114" s="10" t="b">
        <f t="shared" si="16"/>
        <v>1</v>
      </c>
      <c r="U114" s="10" t="b">
        <f t="shared" si="17"/>
        <v>1</v>
      </c>
      <c r="V114" s="11">
        <f>VLOOKUP(IF(J114&lt;10, 10, IF(J114&gt;50,50,J114)),'Over to underbark'!$A$3:$C$43,IF(A114="Scots pine",3,IF(A114="Sitka spruce",2, "error")),TRUE)/100</f>
        <v>0.84</v>
      </c>
      <c r="W114">
        <f t="shared" si="14"/>
        <v>132.15258</v>
      </c>
      <c r="X114">
        <f t="shared" si="15"/>
        <v>193.83461999999997</v>
      </c>
      <c r="Y114">
        <f t="shared" si="18"/>
        <v>62.092800000000011</v>
      </c>
      <c r="Z114">
        <f t="shared" si="19"/>
        <v>162.684882423</v>
      </c>
      <c r="AA114">
        <f t="shared" si="20"/>
        <v>45.583183800000008</v>
      </c>
      <c r="AB114">
        <f t="shared" si="21"/>
        <v>72.81522353699998</v>
      </c>
      <c r="AC114">
        <f t="shared" si="22"/>
        <v>106.99671023999998</v>
      </c>
      <c r="AD114">
        <f>LOOKUP($A114,'Over to underbark'!$A$47:$A$48,'Over to underbark'!E$47:E$48)*Z114</f>
        <v>68.327650617659998</v>
      </c>
      <c r="AE114">
        <f>LOOKUP($A114,'Over to underbark'!$A$47:$A$48,'Over to underbark'!E$47:E$48)*AA114</f>
        <v>19.144937196000001</v>
      </c>
      <c r="AF114">
        <f>LOOKUP($A114,'Over to underbark'!$A$47:$A$48,'Over to underbark'!E$47:E$48)*AB114</f>
        <v>30.582393885539989</v>
      </c>
      <c r="AG114">
        <f>LOOKUP($A114,'Over to underbark'!$A$47:$A$48,'Over to underbark'!E$47:E$48)*AC114</f>
        <v>44.938618300799995</v>
      </c>
      <c r="AH114" t="b">
        <f t="shared" si="23"/>
        <v>1</v>
      </c>
      <c r="AI114" t="b">
        <f t="shared" si="24"/>
        <v>1</v>
      </c>
      <c r="AJ114">
        <f>LOOKUP(A114,'Over to underbark'!$A$47:$A$48,'Over to underbark'!E$47:E$48)*M114</f>
        <v>181.10399999999998</v>
      </c>
      <c r="AK114" s="22">
        <f>LOOKUP(A114,'Over to underbark'!$A$47:$A$48,'Over to underbark'!$B$47:$B$48)*AJ114</f>
        <v>61.575359999999996</v>
      </c>
      <c r="AL114" s="22">
        <f>LOOKUP(A114,'Over to underbark'!$A$47:$A$48,'Over to underbark'!C$47:C$48)*AJ114</f>
        <v>63.386399999999988</v>
      </c>
      <c r="AM114" s="22">
        <f t="shared" si="25"/>
        <v>242.67935999999997</v>
      </c>
      <c r="AN114" s="36">
        <v>577.80999999999995</v>
      </c>
      <c r="AO114" s="23">
        <f t="shared" si="26"/>
        <v>485.35871999999995</v>
      </c>
      <c r="AQ114">
        <f t="shared" si="27"/>
        <v>0.67164179104477617</v>
      </c>
    </row>
    <row r="115" spans="1:43" x14ac:dyDescent="0.35">
      <c r="A115" t="s">
        <v>41</v>
      </c>
      <c r="B115">
        <v>6</v>
      </c>
      <c r="C115">
        <v>2</v>
      </c>
      <c r="D115" t="s">
        <v>42</v>
      </c>
      <c r="E115">
        <v>2</v>
      </c>
      <c r="F115">
        <v>1</v>
      </c>
      <c r="G115" s="12">
        <v>81</v>
      </c>
      <c r="H115" s="12">
        <v>18.856000000000002</v>
      </c>
      <c r="I115" s="12">
        <v>1290</v>
      </c>
      <c r="J115" s="12">
        <v>23.452000000000002</v>
      </c>
      <c r="K115" s="12">
        <v>55.722999999999999</v>
      </c>
      <c r="L115" s="12">
        <v>0.33800000000000002</v>
      </c>
      <c r="M115" s="19">
        <v>435.7</v>
      </c>
      <c r="N115" s="12">
        <v>5.827</v>
      </c>
      <c r="O115" s="13">
        <v>5.3789999999999996</v>
      </c>
      <c r="P115" s="14">
        <v>81</v>
      </c>
      <c r="Q115" s="14">
        <v>23.452000000000002</v>
      </c>
      <c r="R115" s="14">
        <v>173.36600000000001</v>
      </c>
      <c r="S115" s="14">
        <v>262.334</v>
      </c>
      <c r="T115" s="10" t="b">
        <f t="shared" si="16"/>
        <v>1</v>
      </c>
      <c r="U115" s="10" t="b">
        <f t="shared" si="17"/>
        <v>1</v>
      </c>
      <c r="V115" s="11">
        <f>VLOOKUP(IF(J115&lt;10, 10, IF(J115&gt;50,50,J115)),'Over to underbark'!$A$3:$C$43,IF(A115="Scots pine",3,IF(A115="Sitka spruce",2, "error")),TRUE)/100</f>
        <v>0.84</v>
      </c>
      <c r="W115">
        <f t="shared" si="14"/>
        <v>131.064696</v>
      </c>
      <c r="X115">
        <f t="shared" si="15"/>
        <v>198.32450400000002</v>
      </c>
      <c r="Y115">
        <f t="shared" si="18"/>
        <v>62.740800000000021</v>
      </c>
      <c r="Z115">
        <f t="shared" si="19"/>
        <v>163.89085874759999</v>
      </c>
      <c r="AA115">
        <f t="shared" si="20"/>
        <v>45.787516560000014</v>
      </c>
      <c r="AB115">
        <f t="shared" si="21"/>
        <v>72.976498484399997</v>
      </c>
      <c r="AC115">
        <f t="shared" si="22"/>
        <v>109.47512620800001</v>
      </c>
      <c r="AD115">
        <f>LOOKUP($A115,'Over to underbark'!$A$47:$A$48,'Over to underbark'!E$47:E$48)*Z115</f>
        <v>68.834160673991988</v>
      </c>
      <c r="AE115">
        <f>LOOKUP($A115,'Over to underbark'!$A$47:$A$48,'Over to underbark'!E$47:E$48)*AA115</f>
        <v>19.230756955200004</v>
      </c>
      <c r="AF115">
        <f>LOOKUP($A115,'Over to underbark'!$A$47:$A$48,'Over to underbark'!E$47:E$48)*AB115</f>
        <v>30.650129363447999</v>
      </c>
      <c r="AG115">
        <f>LOOKUP($A115,'Over to underbark'!$A$47:$A$48,'Over to underbark'!E$47:E$48)*AC115</f>
        <v>45.979553007360003</v>
      </c>
      <c r="AH115" t="b">
        <f t="shared" si="23"/>
        <v>1</v>
      </c>
      <c r="AI115" t="b">
        <f t="shared" si="24"/>
        <v>1</v>
      </c>
      <c r="AJ115">
        <f>LOOKUP(A115,'Over to underbark'!$A$47:$A$48,'Over to underbark'!E$47:E$48)*M115</f>
        <v>182.994</v>
      </c>
      <c r="AK115" s="22">
        <f>LOOKUP(A115,'Over to underbark'!$A$47:$A$48,'Over to underbark'!$B$47:$B$48)*AJ115</f>
        <v>62.217960000000005</v>
      </c>
      <c r="AL115" s="22">
        <f>LOOKUP(A115,'Over to underbark'!$A$47:$A$48,'Over to underbark'!C$47:C$48)*AJ115</f>
        <v>64.047899999999998</v>
      </c>
      <c r="AM115" s="22">
        <f t="shared" si="25"/>
        <v>245.21196</v>
      </c>
      <c r="AN115" s="36">
        <v>583.84</v>
      </c>
      <c r="AO115" s="23">
        <f t="shared" si="26"/>
        <v>490.42392000000001</v>
      </c>
      <c r="AQ115">
        <f t="shared" si="27"/>
        <v>0.67164179104477617</v>
      </c>
    </row>
    <row r="116" spans="1:43" x14ac:dyDescent="0.35">
      <c r="A116" t="s">
        <v>41</v>
      </c>
      <c r="B116">
        <v>6</v>
      </c>
      <c r="C116">
        <v>2</v>
      </c>
      <c r="D116" t="s">
        <v>42</v>
      </c>
      <c r="E116">
        <v>2</v>
      </c>
      <c r="F116">
        <v>1</v>
      </c>
      <c r="G116" s="12">
        <v>82</v>
      </c>
      <c r="H116" s="12">
        <v>18.962</v>
      </c>
      <c r="I116" s="12">
        <v>1279</v>
      </c>
      <c r="J116" s="12">
        <v>23.616</v>
      </c>
      <c r="K116" s="12">
        <v>56.024999999999999</v>
      </c>
      <c r="L116" s="12">
        <v>0.34399999999999997</v>
      </c>
      <c r="M116" s="19">
        <v>440.2</v>
      </c>
      <c r="N116" s="12">
        <v>6.0449999999999999</v>
      </c>
      <c r="O116" s="13">
        <v>5.3680000000000003</v>
      </c>
      <c r="P116" s="14">
        <v>82</v>
      </c>
      <c r="Q116" s="14">
        <v>23.616</v>
      </c>
      <c r="R116" s="14">
        <v>172.05600000000001</v>
      </c>
      <c r="S116" s="14">
        <v>268.14400000000001</v>
      </c>
      <c r="T116" s="10" t="b">
        <f t="shared" si="16"/>
        <v>1</v>
      </c>
      <c r="U116" s="10" t="b">
        <f t="shared" si="17"/>
        <v>1</v>
      </c>
      <c r="V116" s="11">
        <f>VLOOKUP(IF(J116&lt;10, 10, IF(J116&gt;50,50,J116)),'Over to underbark'!$A$3:$C$43,IF(A116="Scots pine",3,IF(A116="Sitka spruce",2, "error")),TRUE)/100</f>
        <v>0.84</v>
      </c>
      <c r="W116">
        <f t="shared" si="14"/>
        <v>130.07433599999999</v>
      </c>
      <c r="X116">
        <f t="shared" si="15"/>
        <v>202.71686399999999</v>
      </c>
      <c r="Y116">
        <f t="shared" si="18"/>
        <v>63.388800000000025</v>
      </c>
      <c r="Z116">
        <f t="shared" si="19"/>
        <v>165.11627648160001</v>
      </c>
      <c r="AA116">
        <f t="shared" si="20"/>
        <v>46.002576960000013</v>
      </c>
      <c r="AB116">
        <f t="shared" si="21"/>
        <v>73.161437630399988</v>
      </c>
      <c r="AC116">
        <f t="shared" si="22"/>
        <v>111.899708928</v>
      </c>
      <c r="AD116">
        <f>LOOKUP($A116,'Over to underbark'!$A$47:$A$48,'Over to underbark'!E$47:E$48)*Z116</f>
        <v>69.348836122272004</v>
      </c>
      <c r="AE116">
        <f>LOOKUP($A116,'Over to underbark'!$A$47:$A$48,'Over to underbark'!E$47:E$48)*AA116</f>
        <v>19.321082323200006</v>
      </c>
      <c r="AF116">
        <f>LOOKUP($A116,'Over to underbark'!$A$47:$A$48,'Over to underbark'!E$47:E$48)*AB116</f>
        <v>30.727803804767994</v>
      </c>
      <c r="AG116">
        <f>LOOKUP($A116,'Over to underbark'!$A$47:$A$48,'Over to underbark'!E$47:E$48)*AC116</f>
        <v>46.997877749759994</v>
      </c>
      <c r="AH116" t="b">
        <f t="shared" si="23"/>
        <v>1</v>
      </c>
      <c r="AI116" t="b">
        <f t="shared" si="24"/>
        <v>1</v>
      </c>
      <c r="AJ116">
        <f>LOOKUP(A116,'Over to underbark'!$A$47:$A$48,'Over to underbark'!E$47:E$48)*M116</f>
        <v>184.88399999999999</v>
      </c>
      <c r="AK116" s="22">
        <f>LOOKUP(A116,'Over to underbark'!$A$47:$A$48,'Over to underbark'!$B$47:$B$48)*AJ116</f>
        <v>62.86056</v>
      </c>
      <c r="AL116" s="22">
        <f>LOOKUP(A116,'Over to underbark'!$A$47:$A$48,'Over to underbark'!C$47:C$48)*AJ116</f>
        <v>64.709399999999988</v>
      </c>
      <c r="AM116" s="22">
        <f t="shared" si="25"/>
        <v>247.74455999999998</v>
      </c>
      <c r="AN116" s="36">
        <v>589.87</v>
      </c>
      <c r="AO116" s="23">
        <f t="shared" si="26"/>
        <v>495.48911999999996</v>
      </c>
      <c r="AQ116">
        <f t="shared" si="27"/>
        <v>0.67164179104477617</v>
      </c>
    </row>
    <row r="117" spans="1:43" x14ac:dyDescent="0.35">
      <c r="A117" t="s">
        <v>41</v>
      </c>
      <c r="B117">
        <v>6</v>
      </c>
      <c r="C117">
        <v>2</v>
      </c>
      <c r="D117" t="s">
        <v>42</v>
      </c>
      <c r="E117">
        <v>2</v>
      </c>
      <c r="F117">
        <v>1</v>
      </c>
      <c r="G117" s="12">
        <v>83</v>
      </c>
      <c r="H117" s="12">
        <v>19.068000000000001</v>
      </c>
      <c r="I117" s="12">
        <v>1268</v>
      </c>
      <c r="J117" s="12">
        <v>23.782</v>
      </c>
      <c r="K117" s="12">
        <v>56.328000000000003</v>
      </c>
      <c r="L117" s="12">
        <v>0.35099999999999998</v>
      </c>
      <c r="M117" s="19">
        <v>444.7</v>
      </c>
      <c r="N117" s="12">
        <v>6.2569999999999997</v>
      </c>
      <c r="O117" s="13">
        <v>5.3579999999999997</v>
      </c>
      <c r="P117" s="14">
        <v>83</v>
      </c>
      <c r="Q117" s="14">
        <v>23.782</v>
      </c>
      <c r="R117" s="14">
        <v>170.68799999999999</v>
      </c>
      <c r="S117" s="14">
        <v>274.012</v>
      </c>
      <c r="T117" s="10" t="b">
        <f t="shared" si="16"/>
        <v>1</v>
      </c>
      <c r="U117" s="10" t="b">
        <f t="shared" si="17"/>
        <v>1</v>
      </c>
      <c r="V117" s="11">
        <f>VLOOKUP(IF(J117&lt;10, 10, IF(J117&gt;50,50,J117)),'Over to underbark'!$A$3:$C$43,IF(A117="Scots pine",3,IF(A117="Sitka spruce",2, "error")),TRUE)/100</f>
        <v>0.84</v>
      </c>
      <c r="W117">
        <f t="shared" si="14"/>
        <v>129.04012800000001</v>
      </c>
      <c r="X117">
        <f t="shared" si="15"/>
        <v>207.15307200000001</v>
      </c>
      <c r="Y117">
        <f t="shared" si="18"/>
        <v>64.036800000000014</v>
      </c>
      <c r="Z117">
        <f t="shared" si="19"/>
        <v>166.33295311680004</v>
      </c>
      <c r="AA117">
        <f t="shared" si="20"/>
        <v>46.212814080000008</v>
      </c>
      <c r="AB117">
        <f t="shared" si="21"/>
        <v>73.3357370592</v>
      </c>
      <c r="AC117">
        <f t="shared" si="22"/>
        <v>114.348495744</v>
      </c>
      <c r="AD117">
        <f>LOOKUP($A117,'Over to underbark'!$A$47:$A$48,'Over to underbark'!E$47:E$48)*Z117</f>
        <v>69.859840309056011</v>
      </c>
      <c r="AE117">
        <f>LOOKUP($A117,'Over to underbark'!$A$47:$A$48,'Over to underbark'!E$47:E$48)*AA117</f>
        <v>19.409381913600004</v>
      </c>
      <c r="AF117">
        <f>LOOKUP($A117,'Over to underbark'!$A$47:$A$48,'Over to underbark'!E$47:E$48)*AB117</f>
        <v>30.801009564864</v>
      </c>
      <c r="AG117">
        <f>LOOKUP($A117,'Over to underbark'!$A$47:$A$48,'Over to underbark'!E$47:E$48)*AC117</f>
        <v>48.026368212480001</v>
      </c>
      <c r="AH117" t="b">
        <f t="shared" si="23"/>
        <v>1</v>
      </c>
      <c r="AI117" t="b">
        <f t="shared" si="24"/>
        <v>1</v>
      </c>
      <c r="AJ117">
        <f>LOOKUP(A117,'Over to underbark'!$A$47:$A$48,'Over to underbark'!E$47:E$48)*M117</f>
        <v>186.774</v>
      </c>
      <c r="AK117" s="22">
        <f>LOOKUP(A117,'Over to underbark'!$A$47:$A$48,'Over to underbark'!$B$47:$B$48)*AJ117</f>
        <v>63.503160000000008</v>
      </c>
      <c r="AL117" s="22">
        <f>LOOKUP(A117,'Over to underbark'!$A$47:$A$48,'Over to underbark'!C$47:C$48)*AJ117</f>
        <v>65.370899999999992</v>
      </c>
      <c r="AM117" s="22">
        <f t="shared" si="25"/>
        <v>250.27716000000001</v>
      </c>
      <c r="AN117" s="36">
        <v>595.9</v>
      </c>
      <c r="AO117" s="23">
        <f t="shared" si="26"/>
        <v>500.55432000000002</v>
      </c>
      <c r="AQ117">
        <f t="shared" si="27"/>
        <v>0.67164179104477617</v>
      </c>
    </row>
    <row r="118" spans="1:43" x14ac:dyDescent="0.35">
      <c r="A118" t="s">
        <v>41</v>
      </c>
      <c r="B118">
        <v>6</v>
      </c>
      <c r="C118">
        <v>2</v>
      </c>
      <c r="D118" t="s">
        <v>42</v>
      </c>
      <c r="E118">
        <v>2</v>
      </c>
      <c r="F118">
        <v>1</v>
      </c>
      <c r="G118" s="12">
        <v>84</v>
      </c>
      <c r="H118" s="12">
        <v>19.173999999999999</v>
      </c>
      <c r="I118" s="12">
        <v>1257</v>
      </c>
      <c r="J118" s="12">
        <v>23.95</v>
      </c>
      <c r="K118" s="12">
        <v>56.63</v>
      </c>
      <c r="L118" s="12">
        <v>0.35699999999999998</v>
      </c>
      <c r="M118" s="19">
        <v>449.2</v>
      </c>
      <c r="N118" s="12">
        <v>6.4630000000000001</v>
      </c>
      <c r="O118" s="13">
        <v>5.3479999999999999</v>
      </c>
      <c r="P118" s="14">
        <v>84</v>
      </c>
      <c r="Q118" s="14">
        <v>23.95</v>
      </c>
      <c r="R118" s="14">
        <v>169.26300000000001</v>
      </c>
      <c r="S118" s="14">
        <v>279.93700000000001</v>
      </c>
      <c r="T118" s="10" t="b">
        <f t="shared" si="16"/>
        <v>1</v>
      </c>
      <c r="U118" s="10" t="b">
        <f t="shared" si="17"/>
        <v>1</v>
      </c>
      <c r="V118" s="11">
        <f>VLOOKUP(IF(J118&lt;10, 10, IF(J118&gt;50,50,J118)),'Over to underbark'!$A$3:$C$43,IF(A118="Scots pine",3,IF(A118="Sitka spruce",2, "error")),TRUE)/100</f>
        <v>0.84</v>
      </c>
      <c r="W118">
        <f t="shared" si="14"/>
        <v>127.962828</v>
      </c>
      <c r="X118">
        <f t="shared" si="15"/>
        <v>211.632372</v>
      </c>
      <c r="Y118">
        <f t="shared" si="18"/>
        <v>64.684800000000024</v>
      </c>
      <c r="Z118">
        <f t="shared" si="19"/>
        <v>167.54103936180002</v>
      </c>
      <c r="AA118">
        <f t="shared" si="20"/>
        <v>46.418311080000009</v>
      </c>
      <c r="AB118">
        <f t="shared" si="21"/>
        <v>73.499580214199995</v>
      </c>
      <c r="AC118">
        <f t="shared" si="22"/>
        <v>116.82106934400001</v>
      </c>
      <c r="AD118">
        <f>LOOKUP($A118,'Over to underbark'!$A$47:$A$48,'Over to underbark'!E$47:E$48)*Z118</f>
        <v>70.36723653195601</v>
      </c>
      <c r="AE118">
        <f>LOOKUP($A118,'Over to underbark'!$A$47:$A$48,'Over to underbark'!E$47:E$48)*AA118</f>
        <v>19.495690653600004</v>
      </c>
      <c r="AF118">
        <f>LOOKUP($A118,'Over to underbark'!$A$47:$A$48,'Over to underbark'!E$47:E$48)*AB118</f>
        <v>30.869823689963997</v>
      </c>
      <c r="AG118">
        <f>LOOKUP($A118,'Over to underbark'!$A$47:$A$48,'Over to underbark'!E$47:E$48)*AC118</f>
        <v>49.064849124479998</v>
      </c>
      <c r="AH118" t="b">
        <f t="shared" si="23"/>
        <v>1</v>
      </c>
      <c r="AI118" t="b">
        <f t="shared" si="24"/>
        <v>1</v>
      </c>
      <c r="AJ118">
        <f>LOOKUP(A118,'Over to underbark'!$A$47:$A$48,'Over to underbark'!E$47:E$48)*M118</f>
        <v>188.66399999999999</v>
      </c>
      <c r="AK118" s="22">
        <f>LOOKUP(A118,'Over to underbark'!$A$47:$A$48,'Over to underbark'!$B$47:$B$48)*AJ118</f>
        <v>64.145759999999996</v>
      </c>
      <c r="AL118" s="22">
        <f>LOOKUP(A118,'Over to underbark'!$A$47:$A$48,'Over to underbark'!C$47:C$48)*AJ118</f>
        <v>66.032399999999996</v>
      </c>
      <c r="AM118" s="22">
        <f t="shared" si="25"/>
        <v>252.80975999999998</v>
      </c>
      <c r="AN118" s="36">
        <v>601.92999999999995</v>
      </c>
      <c r="AO118" s="23">
        <f t="shared" si="26"/>
        <v>505.61951999999997</v>
      </c>
      <c r="AQ118">
        <f t="shared" si="27"/>
        <v>0.67164179104477628</v>
      </c>
    </row>
    <row r="119" spans="1:43" x14ac:dyDescent="0.35">
      <c r="A119" t="s">
        <v>41</v>
      </c>
      <c r="B119">
        <v>6</v>
      </c>
      <c r="C119">
        <v>2</v>
      </c>
      <c r="D119" t="s">
        <v>42</v>
      </c>
      <c r="E119">
        <v>2</v>
      </c>
      <c r="F119">
        <v>1</v>
      </c>
      <c r="G119" s="12">
        <v>85</v>
      </c>
      <c r="H119" s="12">
        <v>19.28</v>
      </c>
      <c r="I119" s="12">
        <v>1246</v>
      </c>
      <c r="J119" s="12">
        <v>24.12</v>
      </c>
      <c r="K119" s="12">
        <v>56.933</v>
      </c>
      <c r="L119" s="12">
        <v>0.36399999999999999</v>
      </c>
      <c r="M119" s="19">
        <v>453.7</v>
      </c>
      <c r="N119" s="12">
        <v>6.665</v>
      </c>
      <c r="O119" s="13">
        <v>5.3380000000000001</v>
      </c>
      <c r="P119" s="14">
        <v>85</v>
      </c>
      <c r="Q119" s="14">
        <v>24.12</v>
      </c>
      <c r="R119" s="14">
        <v>167.78299999999999</v>
      </c>
      <c r="S119" s="14">
        <v>285.91699999999997</v>
      </c>
      <c r="T119" s="10" t="b">
        <f t="shared" si="16"/>
        <v>1</v>
      </c>
      <c r="U119" s="10" t="b">
        <f t="shared" si="17"/>
        <v>1</v>
      </c>
      <c r="V119" s="11">
        <f>VLOOKUP(IF(J119&lt;10, 10, IF(J119&gt;50,50,J119)),'Over to underbark'!$A$3:$C$43,IF(A119="Scots pine",3,IF(A119="Sitka spruce",2, "error")),TRUE)/100</f>
        <v>0.84</v>
      </c>
      <c r="W119">
        <f t="shared" si="14"/>
        <v>126.84394799999998</v>
      </c>
      <c r="X119">
        <f t="shared" si="15"/>
        <v>216.15325199999998</v>
      </c>
      <c r="Y119">
        <f t="shared" si="18"/>
        <v>65.332800000000006</v>
      </c>
      <c r="Z119">
        <f t="shared" si="19"/>
        <v>168.7408366338</v>
      </c>
      <c r="AA119">
        <f t="shared" si="20"/>
        <v>46.619234280000001</v>
      </c>
      <c r="AB119">
        <f t="shared" si="21"/>
        <v>73.653333982199996</v>
      </c>
      <c r="AC119">
        <f t="shared" si="22"/>
        <v>119.31659510399999</v>
      </c>
      <c r="AD119">
        <f>LOOKUP($A119,'Over to underbark'!$A$47:$A$48,'Over to underbark'!E$47:E$48)*Z119</f>
        <v>70.871151386196004</v>
      </c>
      <c r="AE119">
        <f>LOOKUP($A119,'Over to underbark'!$A$47:$A$48,'Over to underbark'!E$47:E$48)*AA119</f>
        <v>19.580078397600001</v>
      </c>
      <c r="AF119">
        <f>LOOKUP($A119,'Over to underbark'!$A$47:$A$48,'Over to underbark'!E$47:E$48)*AB119</f>
        <v>30.934400272523998</v>
      </c>
      <c r="AG119">
        <f>LOOKUP($A119,'Over to underbark'!$A$47:$A$48,'Over to underbark'!E$47:E$48)*AC119</f>
        <v>50.112969943679992</v>
      </c>
      <c r="AH119" t="b">
        <f t="shared" si="23"/>
        <v>1</v>
      </c>
      <c r="AI119" t="b">
        <f t="shared" si="24"/>
        <v>1</v>
      </c>
      <c r="AJ119">
        <f>LOOKUP(A119,'Over to underbark'!$A$47:$A$48,'Over to underbark'!E$47:E$48)*M119</f>
        <v>190.554</v>
      </c>
      <c r="AK119" s="22">
        <f>LOOKUP(A119,'Over to underbark'!$A$47:$A$48,'Over to underbark'!$B$47:$B$48)*AJ119</f>
        <v>64.788360000000011</v>
      </c>
      <c r="AL119" s="22">
        <f>LOOKUP(A119,'Over to underbark'!$A$47:$A$48,'Over to underbark'!C$47:C$48)*AJ119</f>
        <v>66.693899999999999</v>
      </c>
      <c r="AM119" s="22">
        <f t="shared" si="25"/>
        <v>255.34236000000001</v>
      </c>
      <c r="AN119" s="36">
        <v>607.96</v>
      </c>
      <c r="AO119" s="23">
        <f t="shared" si="26"/>
        <v>510.68472000000003</v>
      </c>
      <c r="AQ119">
        <f t="shared" si="27"/>
        <v>0.67164179104477617</v>
      </c>
    </row>
    <row r="120" spans="1:43" x14ac:dyDescent="0.35">
      <c r="A120" t="s">
        <v>41</v>
      </c>
      <c r="B120">
        <v>6</v>
      </c>
      <c r="C120">
        <v>2</v>
      </c>
      <c r="D120" t="s">
        <v>42</v>
      </c>
      <c r="E120">
        <v>2</v>
      </c>
      <c r="F120">
        <v>1</v>
      </c>
      <c r="G120" s="12">
        <v>86</v>
      </c>
      <c r="H120" s="12">
        <v>19.376000000000001</v>
      </c>
      <c r="I120" s="12">
        <v>1235</v>
      </c>
      <c r="J120" s="12">
        <v>24.274999999999999</v>
      </c>
      <c r="K120" s="12">
        <v>57.155999999999999</v>
      </c>
      <c r="L120" s="12">
        <v>0.37</v>
      </c>
      <c r="M120" s="19">
        <v>457.38</v>
      </c>
      <c r="N120" s="12">
        <v>6.8970000000000002</v>
      </c>
      <c r="O120" s="13">
        <v>5.3179999999999996</v>
      </c>
      <c r="P120" s="14">
        <v>86</v>
      </c>
      <c r="Q120" s="14">
        <v>24.274999999999999</v>
      </c>
      <c r="R120" s="14">
        <v>166.26499999999999</v>
      </c>
      <c r="S120" s="14">
        <v>291.11500000000001</v>
      </c>
      <c r="T120" s="10" t="b">
        <f t="shared" si="16"/>
        <v>1</v>
      </c>
      <c r="U120" s="10" t="b">
        <f t="shared" si="17"/>
        <v>1</v>
      </c>
      <c r="V120" s="11">
        <f>VLOOKUP(IF(J120&lt;10, 10, IF(J120&gt;50,50,J120)),'Over to underbark'!$A$3:$C$43,IF(A120="Scots pine",3,IF(A120="Sitka spruce",2, "error")),TRUE)/100</f>
        <v>0.84</v>
      </c>
      <c r="W120">
        <f t="shared" si="14"/>
        <v>125.69633999999999</v>
      </c>
      <c r="X120">
        <f t="shared" si="15"/>
        <v>220.08294000000001</v>
      </c>
      <c r="Y120">
        <f t="shared" si="18"/>
        <v>65.86272000000001</v>
      </c>
      <c r="Z120">
        <f t="shared" si="19"/>
        <v>169.67563281900001</v>
      </c>
      <c r="AA120">
        <f t="shared" si="20"/>
        <v>46.757957400000002</v>
      </c>
      <c r="AB120">
        <f t="shared" si="21"/>
        <v>73.722626900999998</v>
      </c>
      <c r="AC120">
        <f t="shared" si="22"/>
        <v>121.48578288000002</v>
      </c>
      <c r="AD120">
        <f>LOOKUP($A120,'Over to underbark'!$A$47:$A$48,'Over to underbark'!E$47:E$48)*Z120</f>
        <v>71.263765783980006</v>
      </c>
      <c r="AE120">
        <f>LOOKUP($A120,'Over to underbark'!$A$47:$A$48,'Over to underbark'!E$47:E$48)*AA120</f>
        <v>19.638342108</v>
      </c>
      <c r="AF120">
        <f>LOOKUP($A120,'Over to underbark'!$A$47:$A$48,'Over to underbark'!E$47:E$48)*AB120</f>
        <v>30.963503298419997</v>
      </c>
      <c r="AG120">
        <f>LOOKUP($A120,'Over to underbark'!$A$47:$A$48,'Over to underbark'!E$47:E$48)*AC120</f>
        <v>51.024028809600004</v>
      </c>
      <c r="AH120" t="b">
        <f t="shared" si="23"/>
        <v>1</v>
      </c>
      <c r="AI120" t="b">
        <f t="shared" si="24"/>
        <v>1</v>
      </c>
      <c r="AJ120">
        <f>LOOKUP(A120,'Over to underbark'!$A$47:$A$48,'Over to underbark'!E$47:E$48)*M120</f>
        <v>192.09959999999998</v>
      </c>
      <c r="AK120" s="22">
        <f>LOOKUP(A120,'Over to underbark'!$A$47:$A$48,'Over to underbark'!$B$47:$B$48)*AJ120</f>
        <v>65.313863999999995</v>
      </c>
      <c r="AL120" s="22">
        <f>LOOKUP(A120,'Over to underbark'!$A$47:$A$48,'Over to underbark'!C$47:C$48)*AJ120</f>
        <v>67.234859999999983</v>
      </c>
      <c r="AM120" s="22">
        <f t="shared" si="25"/>
        <v>257.41346399999998</v>
      </c>
      <c r="AN120" s="36">
        <v>612.89</v>
      </c>
      <c r="AO120" s="23">
        <f t="shared" si="26"/>
        <v>514.82692799999995</v>
      </c>
      <c r="AQ120">
        <f t="shared" si="27"/>
        <v>0.67164179104477628</v>
      </c>
    </row>
    <row r="121" spans="1:43" x14ac:dyDescent="0.35">
      <c r="A121" t="s">
        <v>41</v>
      </c>
      <c r="B121">
        <v>6</v>
      </c>
      <c r="C121">
        <v>2</v>
      </c>
      <c r="D121" t="s">
        <v>42</v>
      </c>
      <c r="E121">
        <v>2</v>
      </c>
      <c r="F121">
        <v>1</v>
      </c>
      <c r="G121" s="12">
        <v>87</v>
      </c>
      <c r="H121" s="12">
        <v>19.472000000000001</v>
      </c>
      <c r="I121" s="12">
        <v>1225</v>
      </c>
      <c r="J121" s="12">
        <v>24.420999999999999</v>
      </c>
      <c r="K121" s="12">
        <v>57.378999999999998</v>
      </c>
      <c r="L121" s="12">
        <v>0.376</v>
      </c>
      <c r="M121" s="19">
        <v>461.06</v>
      </c>
      <c r="N121" s="12">
        <v>7.1230000000000002</v>
      </c>
      <c r="O121" s="13">
        <v>5.3</v>
      </c>
      <c r="P121" s="14">
        <v>87</v>
      </c>
      <c r="Q121" s="14">
        <v>24.420999999999999</v>
      </c>
      <c r="R121" s="14">
        <v>164.90600000000001</v>
      </c>
      <c r="S121" s="14">
        <v>296.154</v>
      </c>
      <c r="T121" s="10" t="b">
        <f t="shared" si="16"/>
        <v>1</v>
      </c>
      <c r="U121" s="10" t="b">
        <f t="shared" si="17"/>
        <v>1</v>
      </c>
      <c r="V121" s="11">
        <f>VLOOKUP(IF(J121&lt;10, 10, IF(J121&gt;50,50,J121)),'Over to underbark'!$A$3:$C$43,IF(A121="Scots pine",3,IF(A121="Sitka spruce",2, "error")),TRUE)/100</f>
        <v>0.84</v>
      </c>
      <c r="W121">
        <f t="shared" si="14"/>
        <v>124.668936</v>
      </c>
      <c r="X121">
        <f t="shared" si="15"/>
        <v>223.89242400000001</v>
      </c>
      <c r="Y121">
        <f t="shared" si="18"/>
        <v>66.392640000000014</v>
      </c>
      <c r="Z121">
        <f t="shared" si="19"/>
        <v>170.63439167160004</v>
      </c>
      <c r="AA121">
        <f t="shared" si="20"/>
        <v>46.909902960000011</v>
      </c>
      <c r="AB121">
        <f t="shared" si="21"/>
        <v>73.821087320399997</v>
      </c>
      <c r="AC121">
        <f t="shared" si="22"/>
        <v>123.58861804800001</v>
      </c>
      <c r="AD121">
        <f>LOOKUP($A121,'Over to underbark'!$A$47:$A$48,'Over to underbark'!E$47:E$48)*Z121</f>
        <v>71.666444502072011</v>
      </c>
      <c r="AE121">
        <f>LOOKUP($A121,'Over to underbark'!$A$47:$A$48,'Over to underbark'!E$47:E$48)*AA121</f>
        <v>19.702159243200004</v>
      </c>
      <c r="AF121">
        <f>LOOKUP($A121,'Over to underbark'!$A$47:$A$48,'Over to underbark'!E$47:E$48)*AB121</f>
        <v>31.004856674567996</v>
      </c>
      <c r="AG121">
        <f>LOOKUP($A121,'Over to underbark'!$A$47:$A$48,'Over to underbark'!E$47:E$48)*AC121</f>
        <v>51.907219580160003</v>
      </c>
      <c r="AH121" t="b">
        <f t="shared" si="23"/>
        <v>1</v>
      </c>
      <c r="AI121" t="b">
        <f t="shared" si="24"/>
        <v>1</v>
      </c>
      <c r="AJ121">
        <f>LOOKUP(A121,'Over to underbark'!$A$47:$A$48,'Over to underbark'!E$47:E$48)*M121</f>
        <v>193.64519999999999</v>
      </c>
      <c r="AK121" s="22">
        <f>LOOKUP(A121,'Over to underbark'!$A$47:$A$48,'Over to underbark'!$B$47:$B$48)*AJ121</f>
        <v>65.839368000000007</v>
      </c>
      <c r="AL121" s="22">
        <f>LOOKUP(A121,'Over to underbark'!$A$47:$A$48,'Over to underbark'!C$47:C$48)*AJ121</f>
        <v>67.775819999999996</v>
      </c>
      <c r="AM121" s="22">
        <f t="shared" si="25"/>
        <v>259.48456799999997</v>
      </c>
      <c r="AN121" s="36">
        <v>617.82000000000005</v>
      </c>
      <c r="AO121" s="23">
        <f t="shared" si="26"/>
        <v>518.96913599999993</v>
      </c>
      <c r="AQ121">
        <f t="shared" si="27"/>
        <v>0.67164179104477628</v>
      </c>
    </row>
    <row r="122" spans="1:43" x14ac:dyDescent="0.35">
      <c r="A122" t="s">
        <v>41</v>
      </c>
      <c r="B122">
        <v>6</v>
      </c>
      <c r="C122">
        <v>2</v>
      </c>
      <c r="D122" t="s">
        <v>42</v>
      </c>
      <c r="E122">
        <v>2</v>
      </c>
      <c r="F122">
        <v>1</v>
      </c>
      <c r="G122" s="12">
        <v>88</v>
      </c>
      <c r="H122" s="12">
        <v>19.568000000000001</v>
      </c>
      <c r="I122" s="12">
        <v>1214</v>
      </c>
      <c r="J122" s="12">
        <v>24.579000000000001</v>
      </c>
      <c r="K122" s="12">
        <v>57.603000000000002</v>
      </c>
      <c r="L122" s="12">
        <v>0.38300000000000001</v>
      </c>
      <c r="M122" s="19">
        <v>464.74</v>
      </c>
      <c r="N122" s="12">
        <v>7.3449999999999998</v>
      </c>
      <c r="O122" s="13">
        <v>5.2809999999999997</v>
      </c>
      <c r="P122" s="14">
        <v>88</v>
      </c>
      <c r="Q122" s="14">
        <v>24.579000000000001</v>
      </c>
      <c r="R122" s="14">
        <v>163.31899999999999</v>
      </c>
      <c r="S122" s="14">
        <v>301.42099999999999</v>
      </c>
      <c r="T122" s="10" t="b">
        <f t="shared" si="16"/>
        <v>1</v>
      </c>
      <c r="U122" s="10" t="b">
        <f t="shared" si="17"/>
        <v>1</v>
      </c>
      <c r="V122" s="11">
        <f>VLOOKUP(IF(J122&lt;10, 10, IF(J122&gt;50,50,J122)),'Over to underbark'!$A$3:$C$43,IF(A122="Scots pine",3,IF(A122="Sitka spruce",2, "error")),TRUE)/100</f>
        <v>0.84</v>
      </c>
      <c r="W122">
        <f t="shared" si="14"/>
        <v>123.46916399999999</v>
      </c>
      <c r="X122">
        <f t="shared" si="15"/>
        <v>227.87427600000001</v>
      </c>
      <c r="Y122">
        <f t="shared" si="18"/>
        <v>66.922560000000018</v>
      </c>
      <c r="Z122">
        <f t="shared" si="19"/>
        <v>171.55878896340002</v>
      </c>
      <c r="AA122">
        <f t="shared" si="20"/>
        <v>47.042888040000008</v>
      </c>
      <c r="AB122">
        <f t="shared" si="21"/>
        <v>73.877722644599999</v>
      </c>
      <c r="AC122">
        <f t="shared" si="22"/>
        <v>125.78660035200001</v>
      </c>
      <c r="AD122">
        <f>LOOKUP($A122,'Over to underbark'!$A$47:$A$48,'Over to underbark'!E$47:E$48)*Z122</f>
        <v>72.054691364627999</v>
      </c>
      <c r="AE122">
        <f>LOOKUP($A122,'Over to underbark'!$A$47:$A$48,'Over to underbark'!E$47:E$48)*AA122</f>
        <v>19.758012976800003</v>
      </c>
      <c r="AF122">
        <f>LOOKUP($A122,'Over to underbark'!$A$47:$A$48,'Over to underbark'!E$47:E$48)*AB122</f>
        <v>31.028643510732</v>
      </c>
      <c r="AG122">
        <f>LOOKUP($A122,'Over to underbark'!$A$47:$A$48,'Over to underbark'!E$47:E$48)*AC122</f>
        <v>52.830372147840002</v>
      </c>
      <c r="AH122" t="b">
        <f t="shared" si="23"/>
        <v>1</v>
      </c>
      <c r="AI122" t="b">
        <f t="shared" si="24"/>
        <v>1</v>
      </c>
      <c r="AJ122">
        <f>LOOKUP(A122,'Over to underbark'!$A$47:$A$48,'Over to underbark'!E$47:E$48)*M122</f>
        <v>195.1908</v>
      </c>
      <c r="AK122" s="22">
        <f>LOOKUP(A122,'Over to underbark'!$A$47:$A$48,'Over to underbark'!$B$47:$B$48)*AJ122</f>
        <v>66.364872000000005</v>
      </c>
      <c r="AL122" s="22">
        <f>LOOKUP(A122,'Over to underbark'!$A$47:$A$48,'Over to underbark'!C$47:C$48)*AJ122</f>
        <v>68.316779999999994</v>
      </c>
      <c r="AM122" s="22">
        <f t="shared" si="25"/>
        <v>261.55567200000002</v>
      </c>
      <c r="AN122" s="36">
        <v>622.75</v>
      </c>
      <c r="AO122" s="23">
        <f t="shared" si="26"/>
        <v>523.11134400000003</v>
      </c>
      <c r="AQ122">
        <f t="shared" si="27"/>
        <v>0.67164179104477606</v>
      </c>
    </row>
    <row r="123" spans="1:43" x14ac:dyDescent="0.35">
      <c r="A123" t="s">
        <v>41</v>
      </c>
      <c r="B123">
        <v>6</v>
      </c>
      <c r="C123">
        <v>2</v>
      </c>
      <c r="D123" t="s">
        <v>42</v>
      </c>
      <c r="E123">
        <v>2</v>
      </c>
      <c r="F123">
        <v>1</v>
      </c>
      <c r="G123" s="12">
        <v>89</v>
      </c>
      <c r="H123" s="12">
        <v>19.664000000000001</v>
      </c>
      <c r="I123" s="12">
        <v>1204</v>
      </c>
      <c r="J123" s="12">
        <v>24.728999999999999</v>
      </c>
      <c r="K123" s="12">
        <v>57.826000000000001</v>
      </c>
      <c r="L123" s="12">
        <v>0.38900000000000001</v>
      </c>
      <c r="M123" s="19">
        <v>468.42</v>
      </c>
      <c r="N123" s="12">
        <v>7.5620000000000003</v>
      </c>
      <c r="O123" s="13">
        <v>5.2629999999999999</v>
      </c>
      <c r="P123" s="14">
        <v>89</v>
      </c>
      <c r="Q123" s="14">
        <v>24.728999999999999</v>
      </c>
      <c r="R123" s="14">
        <v>161.87200000000001</v>
      </c>
      <c r="S123" s="14">
        <v>306.548</v>
      </c>
      <c r="T123" s="10" t="b">
        <f t="shared" si="16"/>
        <v>1</v>
      </c>
      <c r="U123" s="10" t="b">
        <f t="shared" si="17"/>
        <v>1</v>
      </c>
      <c r="V123" s="11">
        <f>VLOOKUP(IF(J123&lt;10, 10, IF(J123&gt;50,50,J123)),'Over to underbark'!$A$3:$C$43,IF(A123="Scots pine",3,IF(A123="Sitka spruce",2, "error")),TRUE)/100</f>
        <v>0.84</v>
      </c>
      <c r="W123">
        <f t="shared" si="14"/>
        <v>122.37523200000001</v>
      </c>
      <c r="X123">
        <f t="shared" si="15"/>
        <v>231.75028800000001</v>
      </c>
      <c r="Y123">
        <f t="shared" si="18"/>
        <v>67.452480000000023</v>
      </c>
      <c r="Z123">
        <f t="shared" si="19"/>
        <v>172.50428545920002</v>
      </c>
      <c r="AA123">
        <f t="shared" si="20"/>
        <v>47.187515520000012</v>
      </c>
      <c r="AB123">
        <f t="shared" si="21"/>
        <v>73.960040044799996</v>
      </c>
      <c r="AC123">
        <f t="shared" si="22"/>
        <v>127.92615897600001</v>
      </c>
      <c r="AD123">
        <f>LOOKUP($A123,'Over to underbark'!$A$47:$A$48,'Over to underbark'!E$47:E$48)*Z123</f>
        <v>72.451799892864003</v>
      </c>
      <c r="AE123">
        <f>LOOKUP($A123,'Over to underbark'!$A$47:$A$48,'Over to underbark'!E$47:E$48)*AA123</f>
        <v>19.818756518400004</v>
      </c>
      <c r="AF123">
        <f>LOOKUP($A123,'Over to underbark'!$A$47:$A$48,'Over to underbark'!E$47:E$48)*AB123</f>
        <v>31.063216818815999</v>
      </c>
      <c r="AG123">
        <f>LOOKUP($A123,'Over to underbark'!$A$47:$A$48,'Over to underbark'!E$47:E$48)*AC123</f>
        <v>53.728986769920006</v>
      </c>
      <c r="AH123" t="b">
        <f t="shared" si="23"/>
        <v>1</v>
      </c>
      <c r="AI123" t="b">
        <f t="shared" si="24"/>
        <v>1</v>
      </c>
      <c r="AJ123">
        <f>LOOKUP(A123,'Over to underbark'!$A$47:$A$48,'Over to underbark'!E$47:E$48)*M123</f>
        <v>196.7364</v>
      </c>
      <c r="AK123" s="22">
        <f>LOOKUP(A123,'Over to underbark'!$A$47:$A$48,'Over to underbark'!$B$47:$B$48)*AJ123</f>
        <v>66.890376000000003</v>
      </c>
      <c r="AL123" s="22">
        <f>LOOKUP(A123,'Over to underbark'!$A$47:$A$48,'Over to underbark'!C$47:C$48)*AJ123</f>
        <v>68.857739999999993</v>
      </c>
      <c r="AM123" s="22">
        <f t="shared" si="25"/>
        <v>263.62677600000001</v>
      </c>
      <c r="AN123" s="36">
        <v>627.67999999999995</v>
      </c>
      <c r="AO123" s="23">
        <f t="shared" si="26"/>
        <v>527.25355200000001</v>
      </c>
      <c r="AQ123">
        <f t="shared" si="27"/>
        <v>0.67164179104477617</v>
      </c>
    </row>
    <row r="124" spans="1:43" x14ac:dyDescent="0.35">
      <c r="A124" t="s">
        <v>41</v>
      </c>
      <c r="B124">
        <v>6</v>
      </c>
      <c r="C124">
        <v>2</v>
      </c>
      <c r="D124" t="s">
        <v>42</v>
      </c>
      <c r="E124">
        <v>2</v>
      </c>
      <c r="F124">
        <v>1</v>
      </c>
      <c r="G124" s="12">
        <v>90</v>
      </c>
      <c r="H124" s="12">
        <v>19.760000000000002</v>
      </c>
      <c r="I124" s="12">
        <v>1194</v>
      </c>
      <c r="J124" s="12">
        <v>24.88</v>
      </c>
      <c r="K124" s="12">
        <v>58.048999999999999</v>
      </c>
      <c r="L124" s="12">
        <v>0.39500000000000002</v>
      </c>
      <c r="M124" s="19">
        <v>472.1</v>
      </c>
      <c r="N124" s="12">
        <v>7.7750000000000004</v>
      </c>
      <c r="O124" s="13">
        <v>5.2460000000000004</v>
      </c>
      <c r="P124" s="14">
        <v>90</v>
      </c>
      <c r="Q124" s="14">
        <v>24.88</v>
      </c>
      <c r="R124" s="14">
        <v>160.40100000000001</v>
      </c>
      <c r="S124" s="14">
        <v>311.69900000000001</v>
      </c>
      <c r="T124" s="10" t="b">
        <f t="shared" si="16"/>
        <v>1</v>
      </c>
      <c r="U124" s="10" t="b">
        <f t="shared" si="17"/>
        <v>1</v>
      </c>
      <c r="V124" s="11">
        <f>VLOOKUP(IF(J124&lt;10, 10, IF(J124&gt;50,50,J124)),'Over to underbark'!$A$3:$C$43,IF(A124="Scots pine",3,IF(A124="Sitka spruce",2, "error")),TRUE)/100</f>
        <v>0.84</v>
      </c>
      <c r="W124">
        <f t="shared" si="14"/>
        <v>121.26315600000001</v>
      </c>
      <c r="X124">
        <f t="shared" si="15"/>
        <v>235.64444400000002</v>
      </c>
      <c r="Y124">
        <f t="shared" si="18"/>
        <v>67.982400000000027</v>
      </c>
      <c r="Z124">
        <f t="shared" si="19"/>
        <v>173.44616494860003</v>
      </c>
      <c r="AA124">
        <f t="shared" si="20"/>
        <v>47.330147160000017</v>
      </c>
      <c r="AB124">
        <f t="shared" si="21"/>
        <v>74.037954803399998</v>
      </c>
      <c r="AC124">
        <f t="shared" si="22"/>
        <v>130.07573308799999</v>
      </c>
      <c r="AD124">
        <f>LOOKUP($A124,'Over to underbark'!$A$47:$A$48,'Over to underbark'!E$47:E$48)*Z124</f>
        <v>72.84738927841201</v>
      </c>
      <c r="AE124">
        <f>LOOKUP($A124,'Over to underbark'!$A$47:$A$48,'Over to underbark'!E$47:E$48)*AA124</f>
        <v>19.878661807200007</v>
      </c>
      <c r="AF124">
        <f>LOOKUP($A124,'Over to underbark'!$A$47:$A$48,'Over to underbark'!E$47:E$48)*AB124</f>
        <v>31.095941017427997</v>
      </c>
      <c r="AG124">
        <f>LOOKUP($A124,'Over to underbark'!$A$47:$A$48,'Over to underbark'!E$47:E$48)*AC124</f>
        <v>54.631807896959998</v>
      </c>
      <c r="AH124" t="b">
        <f t="shared" si="23"/>
        <v>1</v>
      </c>
      <c r="AI124" t="b">
        <f t="shared" si="24"/>
        <v>1</v>
      </c>
      <c r="AJ124">
        <f>LOOKUP(A124,'Over to underbark'!$A$47:$A$48,'Over to underbark'!E$47:E$48)*M124</f>
        <v>198.28200000000001</v>
      </c>
      <c r="AK124" s="22">
        <f>LOOKUP(A124,'Over to underbark'!$A$47:$A$48,'Over to underbark'!$B$47:$B$48)*AJ124</f>
        <v>67.415880000000016</v>
      </c>
      <c r="AL124" s="22">
        <f>LOOKUP(A124,'Over to underbark'!$A$47:$A$48,'Over to underbark'!C$47:C$48)*AJ124</f>
        <v>69.398700000000005</v>
      </c>
      <c r="AM124" s="22">
        <f t="shared" si="25"/>
        <v>265.69788000000005</v>
      </c>
      <c r="AN124" s="36">
        <v>632.61</v>
      </c>
      <c r="AO124" s="23">
        <f t="shared" si="26"/>
        <v>531.39576000000011</v>
      </c>
      <c r="AQ124">
        <f t="shared" si="27"/>
        <v>0.67164179104477595</v>
      </c>
    </row>
    <row r="125" spans="1:43" x14ac:dyDescent="0.35">
      <c r="A125" t="s">
        <v>41</v>
      </c>
      <c r="B125">
        <v>6</v>
      </c>
      <c r="C125">
        <v>2</v>
      </c>
      <c r="D125" t="s">
        <v>42</v>
      </c>
      <c r="E125">
        <v>2</v>
      </c>
      <c r="F125">
        <v>1</v>
      </c>
      <c r="G125" s="12">
        <v>91</v>
      </c>
      <c r="H125" s="12">
        <v>19.844000000000001</v>
      </c>
      <c r="I125" s="12">
        <v>1184</v>
      </c>
      <c r="J125" s="12">
        <v>25.016999999999999</v>
      </c>
      <c r="K125" s="12">
        <v>58.2</v>
      </c>
      <c r="L125" s="12">
        <v>0.40100000000000002</v>
      </c>
      <c r="M125" s="19">
        <v>474.92</v>
      </c>
      <c r="N125" s="12">
        <v>8.0180000000000007</v>
      </c>
      <c r="O125" s="13">
        <v>5.2190000000000003</v>
      </c>
      <c r="P125" s="14">
        <v>91</v>
      </c>
      <c r="Q125" s="14">
        <v>25.016999999999999</v>
      </c>
      <c r="R125" s="14">
        <v>158.88800000000001</v>
      </c>
      <c r="S125" s="14">
        <v>316.03199999999998</v>
      </c>
      <c r="T125" s="10" t="b">
        <f t="shared" si="16"/>
        <v>1</v>
      </c>
      <c r="U125" s="10" t="b">
        <f t="shared" si="17"/>
        <v>1</v>
      </c>
      <c r="V125" s="11">
        <f>VLOOKUP(IF(J125&lt;10, 10, IF(J125&gt;50,50,J125)),'Over to underbark'!$A$3:$C$43,IF(A125="Scots pine",3,IF(A125="Sitka spruce",2, "error")),TRUE)/100</f>
        <v>0.84</v>
      </c>
      <c r="W125">
        <f t="shared" si="14"/>
        <v>120.119328</v>
      </c>
      <c r="X125">
        <f t="shared" si="15"/>
        <v>238.92019199999996</v>
      </c>
      <c r="Y125">
        <f t="shared" si="18"/>
        <v>68.388480000000015</v>
      </c>
      <c r="Z125">
        <f t="shared" si="19"/>
        <v>174.10979299680002</v>
      </c>
      <c r="AA125">
        <f t="shared" si="20"/>
        <v>47.40736608000001</v>
      </c>
      <c r="AB125">
        <f t="shared" si="21"/>
        <v>74.026894939199991</v>
      </c>
      <c r="AC125">
        <f t="shared" si="22"/>
        <v>131.88394598399998</v>
      </c>
      <c r="AD125">
        <f>LOOKUP($A125,'Over to underbark'!$A$47:$A$48,'Over to underbark'!E$47:E$48)*Z125</f>
        <v>73.126113058656003</v>
      </c>
      <c r="AE125">
        <f>LOOKUP($A125,'Over to underbark'!$A$47:$A$48,'Over to underbark'!E$47:E$48)*AA125</f>
        <v>19.911093753600003</v>
      </c>
      <c r="AF125">
        <f>LOOKUP($A125,'Over to underbark'!$A$47:$A$48,'Over to underbark'!E$47:E$48)*AB125</f>
        <v>31.091295874463995</v>
      </c>
      <c r="AG125">
        <f>LOOKUP($A125,'Over to underbark'!$A$47:$A$48,'Over to underbark'!E$47:E$48)*AC125</f>
        <v>55.391257313279986</v>
      </c>
      <c r="AH125" t="b">
        <f t="shared" si="23"/>
        <v>1</v>
      </c>
      <c r="AI125" t="b">
        <f t="shared" si="24"/>
        <v>1</v>
      </c>
      <c r="AJ125">
        <f>LOOKUP(A125,'Over to underbark'!$A$47:$A$48,'Over to underbark'!E$47:E$48)*M125</f>
        <v>199.46639999999999</v>
      </c>
      <c r="AK125" s="22">
        <f>LOOKUP(A125,'Over to underbark'!$A$47:$A$48,'Over to underbark'!$B$47:$B$48)*AJ125</f>
        <v>67.818576000000007</v>
      </c>
      <c r="AL125" s="22">
        <f>LOOKUP(A125,'Over to underbark'!$A$47:$A$48,'Over to underbark'!C$47:C$48)*AJ125</f>
        <v>69.813239999999993</v>
      </c>
      <c r="AM125" s="22">
        <f t="shared" si="25"/>
        <v>267.28497600000003</v>
      </c>
      <c r="AN125" s="36">
        <v>636.39</v>
      </c>
      <c r="AO125" s="23">
        <f t="shared" si="26"/>
        <v>534.56995200000006</v>
      </c>
      <c r="AQ125">
        <f t="shared" si="27"/>
        <v>0.67164179104477606</v>
      </c>
    </row>
    <row r="126" spans="1:43" x14ac:dyDescent="0.35">
      <c r="A126" t="s">
        <v>41</v>
      </c>
      <c r="B126">
        <v>6</v>
      </c>
      <c r="C126">
        <v>2</v>
      </c>
      <c r="D126" t="s">
        <v>42</v>
      </c>
      <c r="E126">
        <v>2</v>
      </c>
      <c r="F126">
        <v>1</v>
      </c>
      <c r="G126" s="12">
        <v>92</v>
      </c>
      <c r="H126" s="12">
        <v>19.928000000000001</v>
      </c>
      <c r="I126" s="12">
        <v>1174</v>
      </c>
      <c r="J126" s="12">
        <v>25.155999999999999</v>
      </c>
      <c r="K126" s="12">
        <v>58.35</v>
      </c>
      <c r="L126" s="12">
        <v>0.40699999999999997</v>
      </c>
      <c r="M126" s="19">
        <v>477.74</v>
      </c>
      <c r="N126" s="12">
        <v>8.2569999999999997</v>
      </c>
      <c r="O126" s="13">
        <v>5.1929999999999996</v>
      </c>
      <c r="P126" s="14">
        <v>92</v>
      </c>
      <c r="Q126" s="14">
        <v>25.155999999999999</v>
      </c>
      <c r="R126" s="14">
        <v>157.34100000000001</v>
      </c>
      <c r="S126" s="14">
        <v>320.399</v>
      </c>
      <c r="T126" s="10" t="b">
        <f t="shared" si="16"/>
        <v>1</v>
      </c>
      <c r="U126" s="10" t="b">
        <f t="shared" si="17"/>
        <v>1</v>
      </c>
      <c r="V126" s="11">
        <f>VLOOKUP(IF(J126&lt;10, 10, IF(J126&gt;50,50,J126)),'Over to underbark'!$A$3:$C$43,IF(A126="Scots pine",3,IF(A126="Sitka spruce",2, "error")),TRUE)/100</f>
        <v>0.84</v>
      </c>
      <c r="W126">
        <f t="shared" si="14"/>
        <v>118.94979600000002</v>
      </c>
      <c r="X126">
        <f t="shared" si="15"/>
        <v>242.221644</v>
      </c>
      <c r="Y126">
        <f t="shared" si="18"/>
        <v>68.794560000000018</v>
      </c>
      <c r="Z126">
        <f t="shared" si="19"/>
        <v>174.76829695260002</v>
      </c>
      <c r="AA126">
        <f t="shared" si="20"/>
        <v>47.481757560000013</v>
      </c>
      <c r="AB126">
        <f t="shared" si="21"/>
        <v>74.0095979994</v>
      </c>
      <c r="AC126">
        <f t="shared" si="22"/>
        <v>133.70634748799998</v>
      </c>
      <c r="AD126">
        <f>LOOKUP($A126,'Over to underbark'!$A$47:$A$48,'Over to underbark'!E$47:E$48)*Z126</f>
        <v>73.402684720092012</v>
      </c>
      <c r="AE126">
        <f>LOOKUP($A126,'Over to underbark'!$A$47:$A$48,'Over to underbark'!E$47:E$48)*AA126</f>
        <v>19.942338175200003</v>
      </c>
      <c r="AF126">
        <f>LOOKUP($A126,'Over to underbark'!$A$47:$A$48,'Over to underbark'!E$47:E$48)*AB126</f>
        <v>31.084031159747997</v>
      </c>
      <c r="AG126">
        <f>LOOKUP($A126,'Over to underbark'!$A$47:$A$48,'Over to underbark'!E$47:E$48)*AC126</f>
        <v>56.15666594495999</v>
      </c>
      <c r="AH126" t="b">
        <f t="shared" si="23"/>
        <v>1</v>
      </c>
      <c r="AI126" t="b">
        <f t="shared" si="24"/>
        <v>1</v>
      </c>
      <c r="AJ126">
        <f>LOOKUP(A126,'Over to underbark'!$A$47:$A$48,'Over to underbark'!E$47:E$48)*M126</f>
        <v>200.6508</v>
      </c>
      <c r="AK126" s="22">
        <f>LOOKUP(A126,'Over to underbark'!$A$47:$A$48,'Over to underbark'!$B$47:$B$48)*AJ126</f>
        <v>68.221272000000013</v>
      </c>
      <c r="AL126" s="22">
        <f>LOOKUP(A126,'Over to underbark'!$A$47:$A$48,'Over to underbark'!C$47:C$48)*AJ126</f>
        <v>70.227779999999996</v>
      </c>
      <c r="AM126" s="22">
        <f t="shared" si="25"/>
        <v>268.872072</v>
      </c>
      <c r="AN126" s="36">
        <v>640.16999999999996</v>
      </c>
      <c r="AO126" s="23">
        <f t="shared" si="26"/>
        <v>537.74414400000001</v>
      </c>
      <c r="AQ126">
        <f t="shared" si="27"/>
        <v>0.67164179104477617</v>
      </c>
    </row>
    <row r="127" spans="1:43" x14ac:dyDescent="0.35">
      <c r="A127" t="s">
        <v>41</v>
      </c>
      <c r="B127">
        <v>6</v>
      </c>
      <c r="C127">
        <v>2</v>
      </c>
      <c r="D127" t="s">
        <v>42</v>
      </c>
      <c r="E127">
        <v>2</v>
      </c>
      <c r="F127">
        <v>1</v>
      </c>
      <c r="G127" s="12">
        <v>93</v>
      </c>
      <c r="H127" s="12">
        <v>20.012</v>
      </c>
      <c r="I127" s="12">
        <v>1165</v>
      </c>
      <c r="J127" s="12">
        <v>25.286000000000001</v>
      </c>
      <c r="K127" s="12">
        <v>58.500999999999998</v>
      </c>
      <c r="L127" s="12">
        <v>0.41199999999999998</v>
      </c>
      <c r="M127" s="19">
        <v>480.56</v>
      </c>
      <c r="N127" s="12">
        <v>8.4930000000000003</v>
      </c>
      <c r="O127" s="13">
        <v>5.1669999999999998</v>
      </c>
      <c r="P127" s="14">
        <v>93</v>
      </c>
      <c r="Q127" s="14">
        <v>25.286000000000001</v>
      </c>
      <c r="R127" s="14">
        <v>155.95599999999999</v>
      </c>
      <c r="S127" s="14">
        <v>324.60399999999998</v>
      </c>
      <c r="T127" s="10" t="b">
        <f t="shared" si="16"/>
        <v>1</v>
      </c>
      <c r="U127" s="10" t="b">
        <f t="shared" si="17"/>
        <v>1</v>
      </c>
      <c r="V127" s="11">
        <f>VLOOKUP(IF(J127&lt;10, 10, IF(J127&gt;50,50,J127)),'Over to underbark'!$A$3:$C$43,IF(A127="Scots pine",3,IF(A127="Sitka spruce",2, "error")),TRUE)/100</f>
        <v>0.84</v>
      </c>
      <c r="W127">
        <f t="shared" si="14"/>
        <v>117.90273599999999</v>
      </c>
      <c r="X127">
        <f t="shared" si="15"/>
        <v>245.40062399999999</v>
      </c>
      <c r="Y127">
        <f t="shared" si="18"/>
        <v>69.200640000000007</v>
      </c>
      <c r="Z127">
        <f t="shared" si="19"/>
        <v>175.45121570160003</v>
      </c>
      <c r="AA127">
        <f t="shared" si="20"/>
        <v>47.569620960000002</v>
      </c>
      <c r="AB127">
        <f t="shared" si="21"/>
        <v>74.022018890399991</v>
      </c>
      <c r="AC127">
        <f t="shared" si="22"/>
        <v>135.461144448</v>
      </c>
      <c r="AD127">
        <f>LOOKUP($A127,'Over to underbark'!$A$47:$A$48,'Over to underbark'!E$47:E$48)*Z127</f>
        <v>73.689510594672015</v>
      </c>
      <c r="AE127">
        <f>LOOKUP($A127,'Over to underbark'!$A$47:$A$48,'Over to underbark'!E$47:E$48)*AA127</f>
        <v>19.9792408032</v>
      </c>
      <c r="AF127">
        <f>LOOKUP($A127,'Over to underbark'!$A$47:$A$48,'Over to underbark'!E$47:E$48)*AB127</f>
        <v>31.089247933967997</v>
      </c>
      <c r="AG127">
        <f>LOOKUP($A127,'Over to underbark'!$A$47:$A$48,'Over to underbark'!E$47:E$48)*AC127</f>
        <v>56.893680668159995</v>
      </c>
      <c r="AH127" t="b">
        <f t="shared" si="23"/>
        <v>1</v>
      </c>
      <c r="AI127" t="b">
        <f t="shared" si="24"/>
        <v>1</v>
      </c>
      <c r="AJ127">
        <f>LOOKUP(A127,'Over to underbark'!$A$47:$A$48,'Over to underbark'!E$47:E$48)*M127</f>
        <v>201.83519999999999</v>
      </c>
      <c r="AK127" s="22">
        <f>LOOKUP(A127,'Over to underbark'!$A$47:$A$48,'Over to underbark'!$B$47:$B$48)*AJ127</f>
        <v>68.623968000000005</v>
      </c>
      <c r="AL127" s="22">
        <f>LOOKUP(A127,'Over to underbark'!$A$47:$A$48,'Over to underbark'!C$47:C$48)*AJ127</f>
        <v>70.642319999999984</v>
      </c>
      <c r="AM127" s="22">
        <f t="shared" si="25"/>
        <v>270.45916799999998</v>
      </c>
      <c r="AN127" s="36">
        <v>643.95000000000005</v>
      </c>
      <c r="AO127" s="23">
        <f t="shared" si="26"/>
        <v>540.91833599999995</v>
      </c>
      <c r="AQ127">
        <f t="shared" si="27"/>
        <v>0.67164179104477617</v>
      </c>
    </row>
    <row r="128" spans="1:43" x14ac:dyDescent="0.35">
      <c r="A128" t="s">
        <v>41</v>
      </c>
      <c r="B128">
        <v>6</v>
      </c>
      <c r="C128">
        <v>2</v>
      </c>
      <c r="D128" t="s">
        <v>42</v>
      </c>
      <c r="E128">
        <v>2</v>
      </c>
      <c r="F128">
        <v>1</v>
      </c>
      <c r="G128" s="12">
        <v>94</v>
      </c>
      <c r="H128" s="12">
        <v>20.096</v>
      </c>
      <c r="I128" s="12">
        <v>1155</v>
      </c>
      <c r="J128" s="12">
        <v>25.428000000000001</v>
      </c>
      <c r="K128" s="12">
        <v>58.652000000000001</v>
      </c>
      <c r="L128" s="12">
        <v>0.41899999999999998</v>
      </c>
      <c r="M128" s="19">
        <v>483.38</v>
      </c>
      <c r="N128" s="12">
        <v>8.7240000000000002</v>
      </c>
      <c r="O128" s="13">
        <v>5.1420000000000003</v>
      </c>
      <c r="P128" s="14">
        <v>94</v>
      </c>
      <c r="Q128" s="14">
        <v>25.428000000000001</v>
      </c>
      <c r="R128" s="14">
        <v>154.36099999999999</v>
      </c>
      <c r="S128" s="14">
        <v>329.01900000000001</v>
      </c>
      <c r="T128" s="10" t="b">
        <f t="shared" si="16"/>
        <v>1</v>
      </c>
      <c r="U128" s="10" t="b">
        <f t="shared" si="17"/>
        <v>1</v>
      </c>
      <c r="V128" s="11">
        <f>VLOOKUP(IF(J128&lt;10, 10, IF(J128&gt;50,50,J128)),'Over to underbark'!$A$3:$C$43,IF(A128="Scots pine",3,IF(A128="Sitka spruce",2, "error")),TRUE)/100</f>
        <v>0.84</v>
      </c>
      <c r="W128">
        <f t="shared" ref="W128:W191" si="28">R128*0.9*V128</f>
        <v>116.696916</v>
      </c>
      <c r="X128">
        <f t="shared" ref="X128:X191" si="29">S128*0.9*V128</f>
        <v>248.73836399999999</v>
      </c>
      <c r="Y128">
        <f t="shared" si="18"/>
        <v>69.606720000000024</v>
      </c>
      <c r="Z128">
        <f t="shared" si="19"/>
        <v>176.10248564459999</v>
      </c>
      <c r="AA128">
        <f t="shared" si="20"/>
        <v>47.640020760000013</v>
      </c>
      <c r="AB128">
        <f t="shared" si="21"/>
        <v>73.995916667399996</v>
      </c>
      <c r="AC128">
        <f t="shared" si="22"/>
        <v>137.30357692799998</v>
      </c>
      <c r="AD128">
        <f>LOOKUP($A128,'Over to underbark'!$A$47:$A$48,'Over to underbark'!E$47:E$48)*Z128</f>
        <v>73.963043970731988</v>
      </c>
      <c r="AE128">
        <f>LOOKUP($A128,'Over to underbark'!$A$47:$A$48,'Over to underbark'!E$47:E$48)*AA128</f>
        <v>20.008808719200005</v>
      </c>
      <c r="AF128">
        <f>LOOKUP($A128,'Over to underbark'!$A$47:$A$48,'Over to underbark'!E$47:E$48)*AB128</f>
        <v>31.078285000307996</v>
      </c>
      <c r="AG128">
        <f>LOOKUP($A128,'Over to underbark'!$A$47:$A$48,'Over to underbark'!E$47:E$48)*AC128</f>
        <v>57.667502309759989</v>
      </c>
      <c r="AH128" t="b">
        <f t="shared" si="23"/>
        <v>1</v>
      </c>
      <c r="AI128" t="b">
        <f t="shared" si="24"/>
        <v>1</v>
      </c>
      <c r="AJ128">
        <f>LOOKUP(A128,'Over to underbark'!$A$47:$A$48,'Over to underbark'!E$47:E$48)*M128</f>
        <v>203.0196</v>
      </c>
      <c r="AK128" s="22">
        <f>LOOKUP(A128,'Over to underbark'!$A$47:$A$48,'Over to underbark'!$B$47:$B$48)*AJ128</f>
        <v>69.026664000000011</v>
      </c>
      <c r="AL128" s="22">
        <f>LOOKUP(A128,'Over to underbark'!$A$47:$A$48,'Over to underbark'!C$47:C$48)*AJ128</f>
        <v>71.05686</v>
      </c>
      <c r="AM128" s="22">
        <f t="shared" si="25"/>
        <v>272.04626400000001</v>
      </c>
      <c r="AN128" s="36">
        <v>647.73</v>
      </c>
      <c r="AO128" s="23">
        <f t="shared" si="26"/>
        <v>544.09252800000002</v>
      </c>
      <c r="AQ128">
        <f t="shared" si="27"/>
        <v>0.67164179104477606</v>
      </c>
    </row>
    <row r="129" spans="1:43" x14ac:dyDescent="0.35">
      <c r="A129" t="s">
        <v>41</v>
      </c>
      <c r="B129">
        <v>6</v>
      </c>
      <c r="C129">
        <v>2</v>
      </c>
      <c r="D129" t="s">
        <v>42</v>
      </c>
      <c r="E129">
        <v>2</v>
      </c>
      <c r="F129">
        <v>1</v>
      </c>
      <c r="G129" s="12">
        <v>95</v>
      </c>
      <c r="H129" s="12">
        <v>20.18</v>
      </c>
      <c r="I129" s="12">
        <v>1146</v>
      </c>
      <c r="J129" s="12">
        <v>25.56</v>
      </c>
      <c r="K129" s="12">
        <v>58.802999999999997</v>
      </c>
      <c r="L129" s="12">
        <v>0.42399999999999999</v>
      </c>
      <c r="M129" s="19">
        <v>486.2</v>
      </c>
      <c r="N129" s="12">
        <v>8.9510000000000005</v>
      </c>
      <c r="O129" s="13">
        <v>5.1180000000000003</v>
      </c>
      <c r="P129" s="14">
        <v>95</v>
      </c>
      <c r="Q129" s="14">
        <v>25.56</v>
      </c>
      <c r="R129" s="14">
        <v>152.94399999999999</v>
      </c>
      <c r="S129" s="14">
        <v>333.25599999999997</v>
      </c>
      <c r="T129" s="10" t="b">
        <f t="shared" si="16"/>
        <v>1</v>
      </c>
      <c r="U129" s="10" t="b">
        <f t="shared" si="17"/>
        <v>1</v>
      </c>
      <c r="V129" s="11">
        <f>VLOOKUP(IF(J129&lt;10, 10, IF(J129&gt;50,50,J129)),'Over to underbark'!$A$3:$C$43,IF(A129="Scots pine",3,IF(A129="Sitka spruce",2, "error")),TRUE)/100</f>
        <v>0.84</v>
      </c>
      <c r="W129">
        <f t="shared" si="28"/>
        <v>115.62566399999999</v>
      </c>
      <c r="X129">
        <f t="shared" si="29"/>
        <v>251.94153599999996</v>
      </c>
      <c r="Y129">
        <f t="shared" si="18"/>
        <v>70.012799999999999</v>
      </c>
      <c r="Z129">
        <f t="shared" si="19"/>
        <v>176.78058171839996</v>
      </c>
      <c r="AA129">
        <f t="shared" si="20"/>
        <v>47.725223039999996</v>
      </c>
      <c r="AB129">
        <f t="shared" si="21"/>
        <v>74.002467369599984</v>
      </c>
      <c r="AC129">
        <f t="shared" si="22"/>
        <v>139.07172787199997</v>
      </c>
      <c r="AD129">
        <f>LOOKUP($A129,'Over to underbark'!$A$47:$A$48,'Over to underbark'!E$47:E$48)*Z129</f>
        <v>74.247844321727982</v>
      </c>
      <c r="AE129">
        <f>LOOKUP($A129,'Over to underbark'!$A$47:$A$48,'Over to underbark'!E$47:E$48)*AA129</f>
        <v>20.044593676799998</v>
      </c>
      <c r="AF129">
        <f>LOOKUP($A129,'Over to underbark'!$A$47:$A$48,'Over to underbark'!E$47:E$48)*AB129</f>
        <v>31.081036295231993</v>
      </c>
      <c r="AG129">
        <f>LOOKUP($A129,'Over to underbark'!$A$47:$A$48,'Over to underbark'!E$47:E$48)*AC129</f>
        <v>58.410125706239981</v>
      </c>
      <c r="AH129" t="b">
        <f t="shared" si="23"/>
        <v>1</v>
      </c>
      <c r="AI129" t="b">
        <f t="shared" si="24"/>
        <v>1</v>
      </c>
      <c r="AJ129">
        <f>LOOKUP(A129,'Over to underbark'!$A$47:$A$48,'Over to underbark'!E$47:E$48)*M129</f>
        <v>204.20399999999998</v>
      </c>
      <c r="AK129" s="22">
        <f>LOOKUP(A129,'Over to underbark'!$A$47:$A$48,'Over to underbark'!$B$47:$B$48)*AJ129</f>
        <v>69.429360000000003</v>
      </c>
      <c r="AL129" s="22">
        <f>LOOKUP(A129,'Over to underbark'!$A$47:$A$48,'Over to underbark'!C$47:C$48)*AJ129</f>
        <v>71.471399999999988</v>
      </c>
      <c r="AM129" s="22">
        <f t="shared" si="25"/>
        <v>273.63335999999998</v>
      </c>
      <c r="AN129" s="36">
        <v>651.51</v>
      </c>
      <c r="AO129" s="23">
        <f t="shared" si="26"/>
        <v>547.26671999999996</v>
      </c>
      <c r="AQ129">
        <f t="shared" si="27"/>
        <v>0.67164179104477606</v>
      </c>
    </row>
    <row r="130" spans="1:43" x14ac:dyDescent="0.35">
      <c r="A130" t="s">
        <v>41</v>
      </c>
      <c r="B130">
        <v>6</v>
      </c>
      <c r="C130">
        <v>2</v>
      </c>
      <c r="D130" t="s">
        <v>42</v>
      </c>
      <c r="E130">
        <v>2</v>
      </c>
      <c r="F130">
        <v>1</v>
      </c>
      <c r="G130" s="12">
        <v>96</v>
      </c>
      <c r="H130" s="12">
        <v>20.239999999999998</v>
      </c>
      <c r="I130" s="12">
        <v>1137</v>
      </c>
      <c r="J130" s="12">
        <v>25.687999999999999</v>
      </c>
      <c r="K130" s="12">
        <v>58.926000000000002</v>
      </c>
      <c r="L130" s="12">
        <v>0.42899999999999999</v>
      </c>
      <c r="M130" s="19">
        <v>488.32</v>
      </c>
      <c r="N130" s="12">
        <v>9.2270000000000003</v>
      </c>
      <c r="O130" s="13">
        <v>5.0869999999999997</v>
      </c>
      <c r="P130" s="14">
        <v>96</v>
      </c>
      <c r="Q130" s="14">
        <v>25.687999999999999</v>
      </c>
      <c r="R130" s="14">
        <v>151.38200000000001</v>
      </c>
      <c r="S130" s="14">
        <v>336.93799999999999</v>
      </c>
      <c r="T130" s="10" t="b">
        <f t="shared" si="16"/>
        <v>1</v>
      </c>
      <c r="U130" s="10" t="b">
        <f t="shared" si="17"/>
        <v>1</v>
      </c>
      <c r="V130" s="11">
        <f>VLOOKUP(IF(J130&lt;10, 10, IF(J130&gt;50,50,J130)),'Over to underbark'!$A$3:$C$43,IF(A130="Scots pine",3,IF(A130="Sitka spruce",2, "error")),TRUE)/100</f>
        <v>0.84</v>
      </c>
      <c r="W130">
        <f t="shared" si="28"/>
        <v>114.44479200000002</v>
      </c>
      <c r="X130">
        <f t="shared" si="29"/>
        <v>254.72512799999998</v>
      </c>
      <c r="Y130">
        <f t="shared" si="18"/>
        <v>70.318080000000009</v>
      </c>
      <c r="Z130">
        <f t="shared" si="19"/>
        <v>177.21549344520002</v>
      </c>
      <c r="AA130">
        <f t="shared" si="20"/>
        <v>47.747967120000006</v>
      </c>
      <c r="AB130">
        <f t="shared" si="21"/>
        <v>73.916268778800003</v>
      </c>
      <c r="AC130">
        <f t="shared" si="22"/>
        <v>140.608270656</v>
      </c>
      <c r="AD130">
        <f>LOOKUP($A130,'Over to underbark'!$A$47:$A$48,'Over to underbark'!E$47:E$48)*Z130</f>
        <v>74.430507246984007</v>
      </c>
      <c r="AE130">
        <f>LOOKUP($A130,'Over to underbark'!$A$47:$A$48,'Over to underbark'!E$47:E$48)*AA130</f>
        <v>20.054146190400001</v>
      </c>
      <c r="AF130">
        <f>LOOKUP($A130,'Over to underbark'!$A$47:$A$48,'Over to underbark'!E$47:E$48)*AB130</f>
        <v>31.044832887096</v>
      </c>
      <c r="AG130">
        <f>LOOKUP($A130,'Over to underbark'!$A$47:$A$48,'Over to underbark'!E$47:E$48)*AC130</f>
        <v>59.055473675519998</v>
      </c>
      <c r="AH130" t="b">
        <f t="shared" si="23"/>
        <v>1</v>
      </c>
      <c r="AI130" t="b">
        <f t="shared" si="24"/>
        <v>1</v>
      </c>
      <c r="AJ130">
        <f>LOOKUP(A130,'Over to underbark'!$A$47:$A$48,'Over to underbark'!E$47:E$48)*M130</f>
        <v>205.09439999999998</v>
      </c>
      <c r="AK130" s="22">
        <f>LOOKUP(A130,'Over to underbark'!$A$47:$A$48,'Over to underbark'!$B$47:$B$48)*AJ130</f>
        <v>69.732095999999999</v>
      </c>
      <c r="AL130" s="22">
        <f>LOOKUP(A130,'Over to underbark'!$A$47:$A$48,'Over to underbark'!C$47:C$48)*AJ130</f>
        <v>71.783039999999986</v>
      </c>
      <c r="AM130" s="22">
        <f t="shared" si="25"/>
        <v>274.82649599999996</v>
      </c>
      <c r="AN130" s="36">
        <v>654.35</v>
      </c>
      <c r="AO130" s="23">
        <f t="shared" si="26"/>
        <v>549.65299199999993</v>
      </c>
      <c r="AQ130">
        <f t="shared" si="27"/>
        <v>0.67164179104477628</v>
      </c>
    </row>
    <row r="131" spans="1:43" x14ac:dyDescent="0.35">
      <c r="A131" t="s">
        <v>41</v>
      </c>
      <c r="B131">
        <v>6</v>
      </c>
      <c r="C131">
        <v>2</v>
      </c>
      <c r="D131" t="s">
        <v>42</v>
      </c>
      <c r="E131">
        <v>2</v>
      </c>
      <c r="F131">
        <v>1</v>
      </c>
      <c r="G131" s="12">
        <v>97</v>
      </c>
      <c r="H131" s="12">
        <v>20.3</v>
      </c>
      <c r="I131" s="12">
        <v>1128</v>
      </c>
      <c r="J131" s="12">
        <v>25.817</v>
      </c>
      <c r="K131" s="12">
        <v>59.05</v>
      </c>
      <c r="L131" s="12">
        <v>0.435</v>
      </c>
      <c r="M131" s="19">
        <v>490.44</v>
      </c>
      <c r="N131" s="12">
        <v>9.5</v>
      </c>
      <c r="O131" s="13">
        <v>5.056</v>
      </c>
      <c r="P131" s="14">
        <v>97</v>
      </c>
      <c r="Q131" s="14">
        <v>25.817</v>
      </c>
      <c r="R131" s="14">
        <v>149.81</v>
      </c>
      <c r="S131" s="14">
        <v>340.63</v>
      </c>
      <c r="T131" s="10" t="b">
        <f t="shared" si="16"/>
        <v>1</v>
      </c>
      <c r="U131" s="10" t="b">
        <f t="shared" si="17"/>
        <v>1</v>
      </c>
      <c r="V131" s="11">
        <f>VLOOKUP(IF(J131&lt;10, 10, IF(J131&gt;50,50,J131)),'Over to underbark'!$A$3:$C$43,IF(A131="Scots pine",3,IF(A131="Sitka spruce",2, "error")),TRUE)/100</f>
        <v>0.84</v>
      </c>
      <c r="W131">
        <f t="shared" si="28"/>
        <v>113.25636</v>
      </c>
      <c r="X131">
        <f t="shared" si="29"/>
        <v>257.51627999999999</v>
      </c>
      <c r="Y131">
        <f t="shared" si="18"/>
        <v>70.623360000000019</v>
      </c>
      <c r="Z131">
        <f t="shared" si="19"/>
        <v>177.64889808600006</v>
      </c>
      <c r="AA131">
        <f t="shared" si="20"/>
        <v>47.76987960000001</v>
      </c>
      <c r="AB131">
        <f t="shared" si="21"/>
        <v>73.828235753999991</v>
      </c>
      <c r="AC131">
        <f t="shared" si="22"/>
        <v>142.14898656</v>
      </c>
      <c r="AD131">
        <f>LOOKUP($A131,'Over to underbark'!$A$47:$A$48,'Over to underbark'!E$47:E$48)*Z131</f>
        <v>74.612537196120016</v>
      </c>
      <c r="AE131">
        <f>LOOKUP($A131,'Over to underbark'!$A$47:$A$48,'Over to underbark'!E$47:E$48)*AA131</f>
        <v>20.063349432000003</v>
      </c>
      <c r="AF131">
        <f>LOOKUP($A131,'Over to underbark'!$A$47:$A$48,'Over to underbark'!E$47:E$48)*AB131</f>
        <v>31.007859016679994</v>
      </c>
      <c r="AG131">
        <f>LOOKUP($A131,'Over to underbark'!$A$47:$A$48,'Over to underbark'!E$47:E$48)*AC131</f>
        <v>59.702574355199999</v>
      </c>
      <c r="AH131" t="b">
        <f t="shared" si="23"/>
        <v>1</v>
      </c>
      <c r="AI131" t="b">
        <f t="shared" si="24"/>
        <v>1</v>
      </c>
      <c r="AJ131">
        <f>LOOKUP(A131,'Over to underbark'!$A$47:$A$48,'Over to underbark'!E$47:E$48)*M131</f>
        <v>205.98479999999998</v>
      </c>
      <c r="AK131" s="22">
        <f>LOOKUP(A131,'Over to underbark'!$A$47:$A$48,'Over to underbark'!$B$47:$B$48)*AJ131</f>
        <v>70.034831999999994</v>
      </c>
      <c r="AL131" s="22">
        <f>LOOKUP(A131,'Over to underbark'!$A$47:$A$48,'Over to underbark'!C$47:C$48)*AJ131</f>
        <v>72.094679999999983</v>
      </c>
      <c r="AM131" s="22">
        <f t="shared" si="25"/>
        <v>276.019632</v>
      </c>
      <c r="AN131" s="36">
        <v>657.19</v>
      </c>
      <c r="AO131" s="23">
        <f t="shared" si="26"/>
        <v>552.039264</v>
      </c>
      <c r="AQ131">
        <f t="shared" si="27"/>
        <v>0.67164179104477617</v>
      </c>
    </row>
    <row r="132" spans="1:43" x14ac:dyDescent="0.35">
      <c r="A132" t="s">
        <v>41</v>
      </c>
      <c r="B132">
        <v>6</v>
      </c>
      <c r="C132">
        <v>2</v>
      </c>
      <c r="D132" t="s">
        <v>42</v>
      </c>
      <c r="E132">
        <v>2</v>
      </c>
      <c r="F132">
        <v>1</v>
      </c>
      <c r="G132" s="12">
        <v>98</v>
      </c>
      <c r="H132" s="12">
        <v>20.36</v>
      </c>
      <c r="I132" s="12">
        <v>1120</v>
      </c>
      <c r="J132" s="12">
        <v>25.936</v>
      </c>
      <c r="K132" s="12">
        <v>59.173000000000002</v>
      </c>
      <c r="L132" s="12">
        <v>0.44</v>
      </c>
      <c r="M132" s="19">
        <v>492.56</v>
      </c>
      <c r="N132" s="12">
        <v>9.7680000000000007</v>
      </c>
      <c r="O132" s="13">
        <v>5.0259999999999998</v>
      </c>
      <c r="P132" s="14">
        <v>98</v>
      </c>
      <c r="Q132" s="14">
        <v>25.936</v>
      </c>
      <c r="R132" s="14">
        <v>148.416</v>
      </c>
      <c r="S132" s="14">
        <v>344.14400000000001</v>
      </c>
      <c r="T132" s="10" t="b">
        <f t="shared" ref="T132:T134" si="30">G132=P132</f>
        <v>1</v>
      </c>
      <c r="U132" s="10" t="b">
        <f t="shared" ref="U132:U134" si="31">J132=Q132</f>
        <v>1</v>
      </c>
      <c r="V132" s="11">
        <f>VLOOKUP(IF(J132&lt;10, 10, IF(J132&gt;50,50,J132)),'Over to underbark'!$A$3:$C$43,IF(A132="Scots pine",3,IF(A132="Sitka spruce",2, "error")),TRUE)/100</f>
        <v>0.84</v>
      </c>
      <c r="W132">
        <f t="shared" si="28"/>
        <v>112.202496</v>
      </c>
      <c r="X132">
        <f t="shared" si="29"/>
        <v>260.172864</v>
      </c>
      <c r="Y132">
        <f t="shared" ref="Y132:Y195" si="32">(R132+S132)*0.9*(100%-V132)</f>
        <v>70.928640000000016</v>
      </c>
      <c r="Z132">
        <f t="shared" ref="Z132:Z195" si="33">(50%*Y132)+(46%*W132)+(15%*X132)+(43%*W132*10%)+(43%*W132*90%*5%)+(25%*X132*50%)+(60%*X132*8%)</f>
        <v>178.10912885760001</v>
      </c>
      <c r="AA132">
        <f t="shared" ref="AA132:AA195" si="34">(50%*Y132)+(11%*W132)</f>
        <v>47.806594560000008</v>
      </c>
      <c r="AB132">
        <f t="shared" ref="AB132:AB195" si="35">(43%*W132*90%*95%)+(25%*X132*50%)</f>
        <v>73.77285565439999</v>
      </c>
      <c r="AC132">
        <f t="shared" ref="AC132:AC195" si="36">60%*X132*92%</f>
        <v>143.61542092799999</v>
      </c>
      <c r="AD132">
        <f>LOOKUP($A132,'Over to underbark'!$A$47:$A$48,'Over to underbark'!E$47:E$48)*Z132</f>
        <v>74.805834120192003</v>
      </c>
      <c r="AE132">
        <f>LOOKUP($A132,'Over to underbark'!$A$47:$A$48,'Over to underbark'!E$47:E$48)*AA132</f>
        <v>20.078769715200004</v>
      </c>
      <c r="AF132">
        <f>LOOKUP($A132,'Over to underbark'!$A$47:$A$48,'Over to underbark'!E$47:E$48)*AB132</f>
        <v>30.984599374847996</v>
      </c>
      <c r="AG132">
        <f>LOOKUP($A132,'Over to underbark'!$A$47:$A$48,'Over to underbark'!E$47:E$48)*AC132</f>
        <v>60.318476789759991</v>
      </c>
      <c r="AH132" t="b">
        <f t="shared" ref="AH132:AH195" si="37">SUM(W132:Y132)=SUM(Z132:AC132)</f>
        <v>1</v>
      </c>
      <c r="AI132" t="b">
        <f t="shared" ref="AI132:AI195" si="38">SUM(R132:S132)*0.9 = SUM(W132:Y132)</f>
        <v>1</v>
      </c>
      <c r="AJ132">
        <f>LOOKUP(A132,'Over to underbark'!$A$47:$A$48,'Over to underbark'!E$47:E$48)*M132</f>
        <v>206.87520000000001</v>
      </c>
      <c r="AK132" s="22">
        <f>LOOKUP(A132,'Over to underbark'!$A$47:$A$48,'Over to underbark'!$B$47:$B$48)*AJ132</f>
        <v>70.337568000000005</v>
      </c>
      <c r="AL132" s="22">
        <f>LOOKUP(A132,'Over to underbark'!$A$47:$A$48,'Over to underbark'!C$47:C$48)*AJ132</f>
        <v>72.406319999999994</v>
      </c>
      <c r="AM132" s="22">
        <f t="shared" ref="AM132:AM195" si="39">AJ132+AK132</f>
        <v>277.21276799999998</v>
      </c>
      <c r="AN132" s="36">
        <v>660.03</v>
      </c>
      <c r="AO132" s="23">
        <f t="shared" ref="AO132:AO195" si="40">AM132*2</f>
        <v>554.42553599999997</v>
      </c>
      <c r="AQ132">
        <f t="shared" ref="AQ132:AQ195" si="41">(AD132+AE132+AF132+AG132)/AM132</f>
        <v>0.67164179104477606</v>
      </c>
    </row>
    <row r="133" spans="1:43" x14ac:dyDescent="0.35">
      <c r="A133" t="s">
        <v>41</v>
      </c>
      <c r="B133">
        <v>6</v>
      </c>
      <c r="C133">
        <v>2</v>
      </c>
      <c r="D133" t="s">
        <v>42</v>
      </c>
      <c r="E133">
        <v>2</v>
      </c>
      <c r="F133">
        <v>1</v>
      </c>
      <c r="G133" s="12">
        <v>99</v>
      </c>
      <c r="H133" s="12">
        <v>20.420000000000002</v>
      </c>
      <c r="I133" s="12">
        <v>1111</v>
      </c>
      <c r="J133" s="12">
        <v>26.068000000000001</v>
      </c>
      <c r="K133" s="12">
        <v>59.296999999999997</v>
      </c>
      <c r="L133" s="12">
        <v>0.44500000000000001</v>
      </c>
      <c r="M133" s="19">
        <v>494.68</v>
      </c>
      <c r="N133" s="12">
        <v>10.032</v>
      </c>
      <c r="O133" s="13">
        <v>4.9969999999999999</v>
      </c>
      <c r="P133" s="14">
        <v>99</v>
      </c>
      <c r="Q133" s="14">
        <v>26.068000000000001</v>
      </c>
      <c r="R133" s="14">
        <v>146.809</v>
      </c>
      <c r="S133" s="14">
        <v>347.87099999999998</v>
      </c>
      <c r="T133" s="10" t="b">
        <f t="shared" si="30"/>
        <v>1</v>
      </c>
      <c r="U133" s="10" t="b">
        <f t="shared" si="31"/>
        <v>1</v>
      </c>
      <c r="V133" s="11">
        <f>VLOOKUP(IF(J133&lt;10, 10, IF(J133&gt;50,50,J133)),'Over to underbark'!$A$3:$C$43,IF(A133="Scots pine",3,IF(A133="Sitka spruce",2, "error")),TRUE)/100</f>
        <v>0.84</v>
      </c>
      <c r="W133">
        <f t="shared" si="28"/>
        <v>110.98760399999999</v>
      </c>
      <c r="X133">
        <f t="shared" si="29"/>
        <v>262.99047599999994</v>
      </c>
      <c r="Y133">
        <f t="shared" si="32"/>
        <v>71.233920000000012</v>
      </c>
      <c r="Z133">
        <f t="shared" si="33"/>
        <v>178.53725869739998</v>
      </c>
      <c r="AA133">
        <f t="shared" si="34"/>
        <v>47.825596440000005</v>
      </c>
      <c r="AB133">
        <f t="shared" si="35"/>
        <v>73.67840211059999</v>
      </c>
      <c r="AC133">
        <f t="shared" si="36"/>
        <v>145.17074275199997</v>
      </c>
      <c r="AD133">
        <f>LOOKUP($A133,'Over to underbark'!$A$47:$A$48,'Over to underbark'!E$47:E$48)*Z133</f>
        <v>74.985648652907983</v>
      </c>
      <c r="AE133">
        <f>LOOKUP($A133,'Over to underbark'!$A$47:$A$48,'Over to underbark'!E$47:E$48)*AA133</f>
        <v>20.086750504800001</v>
      </c>
      <c r="AF133">
        <f>LOOKUP($A133,'Over to underbark'!$A$47:$A$48,'Over to underbark'!E$47:E$48)*AB133</f>
        <v>30.944928886451994</v>
      </c>
      <c r="AG133">
        <f>LOOKUP($A133,'Over to underbark'!$A$47:$A$48,'Over to underbark'!E$47:E$48)*AC133</f>
        <v>60.971711955839986</v>
      </c>
      <c r="AH133" t="b">
        <f t="shared" si="37"/>
        <v>1</v>
      </c>
      <c r="AI133" t="b">
        <f t="shared" si="38"/>
        <v>1</v>
      </c>
      <c r="AJ133">
        <f>LOOKUP(A133,'Over to underbark'!$A$47:$A$48,'Over to underbark'!E$47:E$48)*M133</f>
        <v>207.76560000000001</v>
      </c>
      <c r="AK133" s="22">
        <f>LOOKUP(A133,'Over to underbark'!$A$47:$A$48,'Over to underbark'!$B$47:$B$48)*AJ133</f>
        <v>70.640304</v>
      </c>
      <c r="AL133" s="22">
        <f>LOOKUP(A133,'Over to underbark'!$A$47:$A$48,'Over to underbark'!C$47:C$48)*AJ133</f>
        <v>72.717959999999991</v>
      </c>
      <c r="AM133" s="22">
        <f t="shared" si="39"/>
        <v>278.40590400000002</v>
      </c>
      <c r="AN133" s="36">
        <v>662.87</v>
      </c>
      <c r="AO133" s="23">
        <f t="shared" si="40"/>
        <v>556.81180800000004</v>
      </c>
      <c r="AQ133">
        <f t="shared" si="41"/>
        <v>0.67164179104477595</v>
      </c>
    </row>
    <row r="134" spans="1:43" x14ac:dyDescent="0.35">
      <c r="A134" t="s">
        <v>41</v>
      </c>
      <c r="B134">
        <v>6</v>
      </c>
      <c r="C134">
        <v>2</v>
      </c>
      <c r="D134" t="s">
        <v>42</v>
      </c>
      <c r="E134">
        <v>2</v>
      </c>
      <c r="F134">
        <v>1</v>
      </c>
      <c r="G134" s="12">
        <v>100</v>
      </c>
      <c r="H134" s="12">
        <v>20.48</v>
      </c>
      <c r="I134" s="12">
        <v>1103</v>
      </c>
      <c r="J134" s="12">
        <v>26.19</v>
      </c>
      <c r="K134" s="12">
        <v>59.420999999999999</v>
      </c>
      <c r="L134" s="12">
        <v>0.45</v>
      </c>
      <c r="M134" s="19">
        <v>496.8</v>
      </c>
      <c r="N134" s="12">
        <v>10.292999999999999</v>
      </c>
      <c r="O134" s="13">
        <v>4.968</v>
      </c>
      <c r="P134" s="14">
        <v>100</v>
      </c>
      <c r="Q134" s="14">
        <v>26.19</v>
      </c>
      <c r="R134" s="14">
        <v>145.37799999999999</v>
      </c>
      <c r="S134" s="14">
        <v>351.42200000000003</v>
      </c>
      <c r="T134" s="10" t="b">
        <f t="shared" si="30"/>
        <v>1</v>
      </c>
      <c r="U134" s="10" t="b">
        <f t="shared" si="31"/>
        <v>1</v>
      </c>
      <c r="V134" s="11">
        <f>VLOOKUP(IF(J134&lt;10, 10, IF(J134&gt;50,50,J134)),'Over to underbark'!$A$3:$C$43,IF(A134="Scots pine",3,IF(A134="Sitka spruce",2, "error")),TRUE)/100</f>
        <v>0.84</v>
      </c>
      <c r="W134">
        <f t="shared" si="28"/>
        <v>109.90576799999998</v>
      </c>
      <c r="X134">
        <f t="shared" si="29"/>
        <v>265.67503199999999</v>
      </c>
      <c r="Y134">
        <f t="shared" si="32"/>
        <v>71.539200000000008</v>
      </c>
      <c r="Z134">
        <f t="shared" si="33"/>
        <v>178.99191325079997</v>
      </c>
      <c r="AA134">
        <f t="shared" si="34"/>
        <v>47.859234479999998</v>
      </c>
      <c r="AB134">
        <f t="shared" si="35"/>
        <v>73.616234605199992</v>
      </c>
      <c r="AC134">
        <f t="shared" si="36"/>
        <v>146.65261766400002</v>
      </c>
      <c r="AD134">
        <f>LOOKUP($A134,'Over to underbark'!$A$47:$A$48,'Over to underbark'!E$47:E$48)*Z134</f>
        <v>75.176603565335981</v>
      </c>
      <c r="AE134">
        <f>LOOKUP($A134,'Over to underbark'!$A$47:$A$48,'Over to underbark'!E$47:E$48)*AA134</f>
        <v>20.100878481599999</v>
      </c>
      <c r="AF134">
        <f>LOOKUP($A134,'Over to underbark'!$A$47:$A$48,'Over to underbark'!E$47:E$48)*AB134</f>
        <v>30.918818534183995</v>
      </c>
      <c r="AG134">
        <f>LOOKUP($A134,'Over to underbark'!$A$47:$A$48,'Over to underbark'!E$47:E$48)*AC134</f>
        <v>61.594099418880006</v>
      </c>
      <c r="AH134" t="b">
        <f t="shared" si="37"/>
        <v>1</v>
      </c>
      <c r="AI134" t="b">
        <f t="shared" si="38"/>
        <v>1</v>
      </c>
      <c r="AJ134">
        <f>LOOKUP(A134,'Over to underbark'!$A$47:$A$48,'Over to underbark'!E$47:E$48)*M134</f>
        <v>208.65600000000001</v>
      </c>
      <c r="AK134" s="22">
        <f>LOOKUP(A134,'Over to underbark'!$A$47:$A$48,'Over to underbark'!$B$47:$B$48)*AJ134</f>
        <v>70.943040000000011</v>
      </c>
      <c r="AL134" s="22">
        <f>LOOKUP(A134,'Over to underbark'!$A$47:$A$48,'Over to underbark'!C$47:C$48)*AJ134</f>
        <v>73.029600000000002</v>
      </c>
      <c r="AM134" s="22">
        <f t="shared" si="39"/>
        <v>279.59904</v>
      </c>
      <c r="AN134" s="36">
        <v>665.71</v>
      </c>
      <c r="AO134" s="23">
        <f t="shared" si="40"/>
        <v>559.19808</v>
      </c>
      <c r="AQ134">
        <f t="shared" si="41"/>
        <v>0.67164179104477606</v>
      </c>
    </row>
    <row r="135" spans="1:43" x14ac:dyDescent="0.35">
      <c r="A135" t="s">
        <v>41</v>
      </c>
      <c r="B135">
        <v>8</v>
      </c>
      <c r="C135">
        <v>2</v>
      </c>
      <c r="D135" t="s">
        <v>42</v>
      </c>
      <c r="E135">
        <v>2</v>
      </c>
      <c r="F135">
        <v>1</v>
      </c>
      <c r="G135" s="12">
        <v>21</v>
      </c>
      <c r="H135" s="12">
        <v>6.71</v>
      </c>
      <c r="I135" s="12">
        <v>2250</v>
      </c>
      <c r="J135" s="12">
        <v>9.2200000000000006</v>
      </c>
      <c r="K135" s="12">
        <v>15.022</v>
      </c>
      <c r="L135" s="12">
        <v>1.6E-2</v>
      </c>
      <c r="M135" s="19">
        <v>35.4</v>
      </c>
      <c r="N135" s="12">
        <v>0</v>
      </c>
      <c r="O135" s="13">
        <v>1.6859999999999999</v>
      </c>
      <c r="P135" s="14">
        <v>21</v>
      </c>
      <c r="Q135" s="14">
        <v>9.2200000000000006</v>
      </c>
      <c r="R135" s="14">
        <v>35.4</v>
      </c>
      <c r="S135" s="14">
        <v>0</v>
      </c>
      <c r="T135" s="10" t="b">
        <f t="shared" ref="T135:T198" si="42">G135=P135</f>
        <v>1</v>
      </c>
      <c r="U135" s="10" t="b">
        <f t="shared" ref="U135:U198" si="43">J135=Q135</f>
        <v>1</v>
      </c>
      <c r="V135" s="11">
        <f>VLOOKUP(IF(J135&lt;10, 10, IF(J135&gt;50,50,J135)),'Over to underbark'!$A$3:$C$43,IF(A135="Scots pine",3,IF(A135="Sitka spruce",2, "error")),TRUE)/100</f>
        <v>0.53</v>
      </c>
      <c r="W135">
        <f t="shared" si="28"/>
        <v>16.8858</v>
      </c>
      <c r="X135">
        <f t="shared" si="29"/>
        <v>0</v>
      </c>
      <c r="Y135">
        <f t="shared" si="32"/>
        <v>14.9742</v>
      </c>
      <c r="Z135">
        <f t="shared" si="33"/>
        <v>16.307397629999997</v>
      </c>
      <c r="AA135">
        <f t="shared" si="34"/>
        <v>9.344538</v>
      </c>
      <c r="AB135">
        <f t="shared" si="35"/>
        <v>6.2080643699999989</v>
      </c>
      <c r="AC135">
        <f t="shared" si="36"/>
        <v>0</v>
      </c>
      <c r="AD135">
        <f>LOOKUP($A135,'Over to underbark'!$A$47:$A$48,'Over to underbark'!E$47:E$48)*Z135</f>
        <v>6.8491070045999987</v>
      </c>
      <c r="AE135">
        <f>LOOKUP($A135,'Over to underbark'!$A$47:$A$48,'Over to underbark'!E$47:E$48)*AA135</f>
        <v>3.9247059599999998</v>
      </c>
      <c r="AF135">
        <f>LOOKUP($A135,'Over to underbark'!$A$47:$A$48,'Over to underbark'!E$47:E$48)*AB135</f>
        <v>2.6073870353999995</v>
      </c>
      <c r="AG135">
        <f>LOOKUP($A135,'Over to underbark'!$A$47:$A$48,'Over to underbark'!E$47:E$48)*AC135</f>
        <v>0</v>
      </c>
      <c r="AH135" t="b">
        <f t="shared" si="37"/>
        <v>1</v>
      </c>
      <c r="AI135" t="b">
        <f t="shared" si="38"/>
        <v>1</v>
      </c>
      <c r="AJ135">
        <f>LOOKUP(A135,'Over to underbark'!$A$47:$A$48,'Over to underbark'!E$47:E$48)*M135</f>
        <v>14.867999999999999</v>
      </c>
      <c r="AK135" s="22">
        <f>LOOKUP(A135,'Over to underbark'!$A$47:$A$48,'Over to underbark'!$B$47:$B$48)*AJ135</f>
        <v>5.0551199999999996</v>
      </c>
      <c r="AL135" s="22">
        <f>LOOKUP(A135,'Over to underbark'!$A$47:$A$48,'Over to underbark'!C$47:C$48)*AJ135</f>
        <v>5.2037999999999993</v>
      </c>
      <c r="AM135" s="22">
        <f t="shared" si="39"/>
        <v>19.923119999999997</v>
      </c>
      <c r="AN135" s="36">
        <v>47.44</v>
      </c>
      <c r="AO135" s="23">
        <f t="shared" si="40"/>
        <v>39.846239999999995</v>
      </c>
      <c r="AQ135">
        <f t="shared" si="41"/>
        <v>0.67164179104477606</v>
      </c>
    </row>
    <row r="136" spans="1:43" x14ac:dyDescent="0.35">
      <c r="A136" t="s">
        <v>41</v>
      </c>
      <c r="B136">
        <v>8</v>
      </c>
      <c r="C136">
        <v>2</v>
      </c>
      <c r="D136" t="s">
        <v>42</v>
      </c>
      <c r="E136">
        <v>2</v>
      </c>
      <c r="F136">
        <v>1</v>
      </c>
      <c r="G136" s="12">
        <v>22</v>
      </c>
      <c r="H136" s="12">
        <v>7.0839999999999996</v>
      </c>
      <c r="I136" s="12">
        <v>2234</v>
      </c>
      <c r="J136" s="12">
        <v>9.6210000000000004</v>
      </c>
      <c r="K136" s="12">
        <v>16.239999999999998</v>
      </c>
      <c r="L136" s="12">
        <v>1.9E-2</v>
      </c>
      <c r="M136" s="19">
        <v>41.66</v>
      </c>
      <c r="N136" s="12">
        <v>0</v>
      </c>
      <c r="O136" s="13">
        <v>1.8939999999999999</v>
      </c>
      <c r="P136" s="14">
        <v>22</v>
      </c>
      <c r="Q136" s="14">
        <v>9.6210000000000004</v>
      </c>
      <c r="R136" s="14">
        <v>41.66</v>
      </c>
      <c r="S136" s="14">
        <v>0</v>
      </c>
      <c r="T136" s="10" t="b">
        <f t="shared" si="42"/>
        <v>1</v>
      </c>
      <c r="U136" s="10" t="b">
        <f t="shared" si="43"/>
        <v>1</v>
      </c>
      <c r="V136" s="11">
        <f>VLOOKUP(IF(J136&lt;10, 10, IF(J136&gt;50,50,J136)),'Over to underbark'!$A$3:$C$43,IF(A136="Scots pine",3,IF(A136="Sitka spruce",2, "error")),TRUE)/100</f>
        <v>0.53</v>
      </c>
      <c r="W136">
        <f t="shared" si="28"/>
        <v>19.87182</v>
      </c>
      <c r="X136">
        <f t="shared" si="29"/>
        <v>0</v>
      </c>
      <c r="Y136">
        <f t="shared" si="32"/>
        <v>17.62218</v>
      </c>
      <c r="Z136">
        <f t="shared" si="33"/>
        <v>19.191135177</v>
      </c>
      <c r="AA136">
        <f t="shared" si="34"/>
        <v>10.996990199999999</v>
      </c>
      <c r="AB136">
        <f t="shared" si="35"/>
        <v>7.3058746229999993</v>
      </c>
      <c r="AC136">
        <f t="shared" si="36"/>
        <v>0</v>
      </c>
      <c r="AD136">
        <f>LOOKUP($A136,'Over to underbark'!$A$47:$A$48,'Over to underbark'!E$47:E$48)*Z136</f>
        <v>8.0602767743400001</v>
      </c>
      <c r="AE136">
        <f>LOOKUP($A136,'Over to underbark'!$A$47:$A$48,'Over to underbark'!E$47:E$48)*AA136</f>
        <v>4.6187358839999995</v>
      </c>
      <c r="AF136">
        <f>LOOKUP($A136,'Over to underbark'!$A$47:$A$48,'Over to underbark'!E$47:E$48)*AB136</f>
        <v>3.0684673416599995</v>
      </c>
      <c r="AG136">
        <f>LOOKUP($A136,'Over to underbark'!$A$47:$A$48,'Over to underbark'!E$47:E$48)*AC136</f>
        <v>0</v>
      </c>
      <c r="AH136" t="b">
        <f t="shared" si="37"/>
        <v>1</v>
      </c>
      <c r="AI136" t="b">
        <f t="shared" si="38"/>
        <v>1</v>
      </c>
      <c r="AJ136">
        <f>LOOKUP(A136,'Over to underbark'!$A$47:$A$48,'Over to underbark'!E$47:E$48)*M136</f>
        <v>17.497199999999999</v>
      </c>
      <c r="AK136" s="22">
        <f>LOOKUP(A136,'Over to underbark'!$A$47:$A$48,'Over to underbark'!$B$47:$B$48)*AJ136</f>
        <v>5.9490480000000003</v>
      </c>
      <c r="AL136" s="22">
        <f>LOOKUP(A136,'Over to underbark'!$A$47:$A$48,'Over to underbark'!C$47:C$48)*AJ136</f>
        <v>6.1240199999999998</v>
      </c>
      <c r="AM136" s="22">
        <f t="shared" si="39"/>
        <v>23.446248000000001</v>
      </c>
      <c r="AN136" s="36">
        <v>55.82</v>
      </c>
      <c r="AO136" s="23">
        <f t="shared" si="40"/>
        <v>46.892496000000001</v>
      </c>
      <c r="AQ136">
        <f t="shared" si="41"/>
        <v>0.67164179104477606</v>
      </c>
    </row>
    <row r="137" spans="1:43" x14ac:dyDescent="0.35">
      <c r="A137" t="s">
        <v>41</v>
      </c>
      <c r="B137">
        <v>8</v>
      </c>
      <c r="C137">
        <v>2</v>
      </c>
      <c r="D137" t="s">
        <v>42</v>
      </c>
      <c r="E137">
        <v>2</v>
      </c>
      <c r="F137">
        <v>1</v>
      </c>
      <c r="G137" s="12">
        <v>23</v>
      </c>
      <c r="H137" s="12">
        <v>7.4580000000000002</v>
      </c>
      <c r="I137" s="12">
        <v>2218</v>
      </c>
      <c r="J137" s="12">
        <v>10.010999999999999</v>
      </c>
      <c r="K137" s="12">
        <v>17.457999999999998</v>
      </c>
      <c r="L137" s="12">
        <v>2.1999999999999999E-2</v>
      </c>
      <c r="M137" s="19">
        <v>47.92</v>
      </c>
      <c r="N137" s="12">
        <v>0</v>
      </c>
      <c r="O137" s="13">
        <v>2.0830000000000002</v>
      </c>
      <c r="P137" s="14">
        <v>23</v>
      </c>
      <c r="Q137" s="14">
        <v>10.010999999999999</v>
      </c>
      <c r="R137" s="14">
        <v>47.92</v>
      </c>
      <c r="S137" s="14">
        <v>0</v>
      </c>
      <c r="T137" s="10" t="b">
        <f t="shared" si="42"/>
        <v>1</v>
      </c>
      <c r="U137" s="10" t="b">
        <f t="shared" si="43"/>
        <v>1</v>
      </c>
      <c r="V137" s="11">
        <f>VLOOKUP(IF(J137&lt;10, 10, IF(J137&gt;50,50,J137)),'Over to underbark'!$A$3:$C$43,IF(A137="Scots pine",3,IF(A137="Sitka spruce",2, "error")),TRUE)/100</f>
        <v>0.53</v>
      </c>
      <c r="W137">
        <f t="shared" si="28"/>
        <v>22.857839999999999</v>
      </c>
      <c r="X137">
        <f t="shared" si="29"/>
        <v>0</v>
      </c>
      <c r="Y137">
        <f t="shared" si="32"/>
        <v>20.270160000000001</v>
      </c>
      <c r="Z137">
        <f t="shared" si="33"/>
        <v>22.074872724000002</v>
      </c>
      <c r="AA137">
        <f t="shared" si="34"/>
        <v>12.6494424</v>
      </c>
      <c r="AB137">
        <f t="shared" si="35"/>
        <v>8.4036848759999998</v>
      </c>
      <c r="AC137">
        <f t="shared" si="36"/>
        <v>0</v>
      </c>
      <c r="AD137">
        <f>LOOKUP($A137,'Over to underbark'!$A$47:$A$48,'Over to underbark'!E$47:E$48)*Z137</f>
        <v>9.2714465440799998</v>
      </c>
      <c r="AE137">
        <f>LOOKUP($A137,'Over to underbark'!$A$47:$A$48,'Over to underbark'!E$47:E$48)*AA137</f>
        <v>5.312765808</v>
      </c>
      <c r="AF137">
        <f>LOOKUP($A137,'Over to underbark'!$A$47:$A$48,'Over to underbark'!E$47:E$48)*AB137</f>
        <v>3.5295476479199999</v>
      </c>
      <c r="AG137">
        <f>LOOKUP($A137,'Over to underbark'!$A$47:$A$48,'Over to underbark'!E$47:E$48)*AC137</f>
        <v>0</v>
      </c>
      <c r="AH137" t="b">
        <f t="shared" si="37"/>
        <v>1</v>
      </c>
      <c r="AI137" t="b">
        <f t="shared" si="38"/>
        <v>1</v>
      </c>
      <c r="AJ137">
        <f>LOOKUP(A137,'Over to underbark'!$A$47:$A$48,'Over to underbark'!E$47:E$48)*M137</f>
        <v>20.1264</v>
      </c>
      <c r="AK137" s="22">
        <f>LOOKUP(A137,'Over to underbark'!$A$47:$A$48,'Over to underbark'!$B$47:$B$48)*AJ137</f>
        <v>6.8429760000000002</v>
      </c>
      <c r="AL137" s="22">
        <f>LOOKUP(A137,'Over to underbark'!$A$47:$A$48,'Over to underbark'!C$47:C$48)*AJ137</f>
        <v>7.0442399999999994</v>
      </c>
      <c r="AM137" s="22">
        <f t="shared" si="39"/>
        <v>26.969376</v>
      </c>
      <c r="AN137" s="36">
        <v>64.209999999999994</v>
      </c>
      <c r="AO137" s="23">
        <f t="shared" si="40"/>
        <v>53.938752000000001</v>
      </c>
      <c r="AQ137">
        <f t="shared" si="41"/>
        <v>0.67164179104477606</v>
      </c>
    </row>
    <row r="138" spans="1:43" x14ac:dyDescent="0.35">
      <c r="A138" t="s">
        <v>41</v>
      </c>
      <c r="B138">
        <v>8</v>
      </c>
      <c r="C138">
        <v>2</v>
      </c>
      <c r="D138" t="s">
        <v>42</v>
      </c>
      <c r="E138">
        <v>2</v>
      </c>
      <c r="F138">
        <v>1</v>
      </c>
      <c r="G138" s="12">
        <v>24</v>
      </c>
      <c r="H138" s="12">
        <v>7.8319999999999999</v>
      </c>
      <c r="I138" s="12">
        <v>2202</v>
      </c>
      <c r="J138" s="12">
        <v>10.391999999999999</v>
      </c>
      <c r="K138" s="12">
        <v>18.675999999999998</v>
      </c>
      <c r="L138" s="12">
        <v>2.5000000000000001E-2</v>
      </c>
      <c r="M138" s="19">
        <v>54.18</v>
      </c>
      <c r="N138" s="12">
        <v>0</v>
      </c>
      <c r="O138" s="13">
        <v>2.2570000000000001</v>
      </c>
      <c r="P138" s="14">
        <v>24</v>
      </c>
      <c r="Q138" s="14">
        <v>10.391999999999999</v>
      </c>
      <c r="R138" s="14">
        <v>54.18</v>
      </c>
      <c r="S138" s="14">
        <v>0</v>
      </c>
      <c r="T138" s="10" t="b">
        <f t="shared" si="42"/>
        <v>1</v>
      </c>
      <c r="U138" s="10" t="b">
        <f t="shared" si="43"/>
        <v>1</v>
      </c>
      <c r="V138" s="11">
        <f>VLOOKUP(IF(J138&lt;10, 10, IF(J138&gt;50,50,J138)),'Over to underbark'!$A$3:$C$43,IF(A138="Scots pine",3,IF(A138="Sitka spruce",2, "error")),TRUE)/100</f>
        <v>0.53</v>
      </c>
      <c r="W138">
        <f t="shared" si="28"/>
        <v>25.843860000000003</v>
      </c>
      <c r="X138">
        <f t="shared" si="29"/>
        <v>0</v>
      </c>
      <c r="Y138">
        <f t="shared" si="32"/>
        <v>22.918139999999998</v>
      </c>
      <c r="Z138">
        <f t="shared" si="33"/>
        <v>24.958610271000001</v>
      </c>
      <c r="AA138">
        <f t="shared" si="34"/>
        <v>14.301894599999999</v>
      </c>
      <c r="AB138">
        <f t="shared" si="35"/>
        <v>9.5014951290000003</v>
      </c>
      <c r="AC138">
        <f t="shared" si="36"/>
        <v>0</v>
      </c>
      <c r="AD138">
        <f>LOOKUP($A138,'Over to underbark'!$A$47:$A$48,'Over to underbark'!E$47:E$48)*Z138</f>
        <v>10.482616313819999</v>
      </c>
      <c r="AE138">
        <f>LOOKUP($A138,'Over to underbark'!$A$47:$A$48,'Over to underbark'!E$47:E$48)*AA138</f>
        <v>6.0067957319999996</v>
      </c>
      <c r="AF138">
        <f>LOOKUP($A138,'Over to underbark'!$A$47:$A$48,'Over to underbark'!E$47:E$48)*AB138</f>
        <v>3.9906279541799998</v>
      </c>
      <c r="AG138">
        <f>LOOKUP($A138,'Over to underbark'!$A$47:$A$48,'Over to underbark'!E$47:E$48)*AC138</f>
        <v>0</v>
      </c>
      <c r="AH138" t="b">
        <f t="shared" si="37"/>
        <v>1</v>
      </c>
      <c r="AI138" t="b">
        <f t="shared" si="38"/>
        <v>1</v>
      </c>
      <c r="AJ138">
        <f>LOOKUP(A138,'Over to underbark'!$A$47:$A$48,'Over to underbark'!E$47:E$48)*M138</f>
        <v>22.755599999999998</v>
      </c>
      <c r="AK138" s="22">
        <f>LOOKUP(A138,'Over to underbark'!$A$47:$A$48,'Over to underbark'!$B$47:$B$48)*AJ138</f>
        <v>7.736904</v>
      </c>
      <c r="AL138" s="22">
        <f>LOOKUP(A138,'Over to underbark'!$A$47:$A$48,'Over to underbark'!C$47:C$48)*AJ138</f>
        <v>7.964459999999999</v>
      </c>
      <c r="AM138" s="22">
        <f t="shared" si="39"/>
        <v>30.492503999999997</v>
      </c>
      <c r="AN138" s="36">
        <v>72.599999999999994</v>
      </c>
      <c r="AO138" s="23">
        <f t="shared" si="40"/>
        <v>60.985007999999993</v>
      </c>
      <c r="AQ138">
        <f t="shared" si="41"/>
        <v>0.67164179104477617</v>
      </c>
    </row>
    <row r="139" spans="1:43" x14ac:dyDescent="0.35">
      <c r="A139" t="s">
        <v>41</v>
      </c>
      <c r="B139">
        <v>8</v>
      </c>
      <c r="C139">
        <v>2</v>
      </c>
      <c r="D139" t="s">
        <v>42</v>
      </c>
      <c r="E139">
        <v>2</v>
      </c>
      <c r="F139">
        <v>1</v>
      </c>
      <c r="G139" s="12">
        <v>25</v>
      </c>
      <c r="H139" s="12">
        <v>8.2059999999999995</v>
      </c>
      <c r="I139" s="12">
        <v>2186</v>
      </c>
      <c r="J139" s="12">
        <v>10.765000000000001</v>
      </c>
      <c r="K139" s="12">
        <v>19.893999999999998</v>
      </c>
      <c r="L139" s="12">
        <v>2.8000000000000001E-2</v>
      </c>
      <c r="M139" s="19">
        <v>60.44</v>
      </c>
      <c r="N139" s="12">
        <v>0</v>
      </c>
      <c r="O139" s="13">
        <v>2.4180000000000001</v>
      </c>
      <c r="P139" s="14">
        <v>25</v>
      </c>
      <c r="Q139" s="14">
        <v>10.765000000000001</v>
      </c>
      <c r="R139" s="14">
        <v>60.44</v>
      </c>
      <c r="S139" s="14">
        <v>0</v>
      </c>
      <c r="T139" s="10" t="b">
        <f t="shared" si="42"/>
        <v>1</v>
      </c>
      <c r="U139" s="10" t="b">
        <f t="shared" si="43"/>
        <v>1</v>
      </c>
      <c r="V139" s="11">
        <f>VLOOKUP(IF(J139&lt;10, 10, IF(J139&gt;50,50,J139)),'Over to underbark'!$A$3:$C$43,IF(A139="Scots pine",3,IF(A139="Sitka spruce",2, "error")),TRUE)/100</f>
        <v>0.53</v>
      </c>
      <c r="W139">
        <f t="shared" si="28"/>
        <v>28.829880000000003</v>
      </c>
      <c r="X139">
        <f t="shared" si="29"/>
        <v>0</v>
      </c>
      <c r="Y139">
        <f t="shared" si="32"/>
        <v>25.566119999999998</v>
      </c>
      <c r="Z139">
        <f t="shared" si="33"/>
        <v>27.842347818</v>
      </c>
      <c r="AA139">
        <f t="shared" si="34"/>
        <v>15.9543468</v>
      </c>
      <c r="AB139">
        <f t="shared" si="35"/>
        <v>10.599305382000001</v>
      </c>
      <c r="AC139">
        <f t="shared" si="36"/>
        <v>0</v>
      </c>
      <c r="AD139">
        <f>LOOKUP($A139,'Over to underbark'!$A$47:$A$48,'Over to underbark'!E$47:E$48)*Z139</f>
        <v>11.693786083559999</v>
      </c>
      <c r="AE139">
        <f>LOOKUP($A139,'Over to underbark'!$A$47:$A$48,'Over to underbark'!E$47:E$48)*AA139</f>
        <v>6.7008256559999992</v>
      </c>
      <c r="AF139">
        <f>LOOKUP($A139,'Over to underbark'!$A$47:$A$48,'Over to underbark'!E$47:E$48)*AB139</f>
        <v>4.4517082604400002</v>
      </c>
      <c r="AG139">
        <f>LOOKUP($A139,'Over to underbark'!$A$47:$A$48,'Over to underbark'!E$47:E$48)*AC139</f>
        <v>0</v>
      </c>
      <c r="AH139" t="b">
        <f t="shared" si="37"/>
        <v>1</v>
      </c>
      <c r="AI139" t="b">
        <f t="shared" si="38"/>
        <v>1</v>
      </c>
      <c r="AJ139">
        <f>LOOKUP(A139,'Over to underbark'!$A$47:$A$48,'Over to underbark'!E$47:E$48)*M139</f>
        <v>25.384799999999998</v>
      </c>
      <c r="AK139" s="22">
        <f>LOOKUP(A139,'Over to underbark'!$A$47:$A$48,'Over to underbark'!$B$47:$B$48)*AJ139</f>
        <v>8.6308319999999998</v>
      </c>
      <c r="AL139" s="22">
        <f>LOOKUP(A139,'Over to underbark'!$A$47:$A$48,'Over to underbark'!C$47:C$48)*AJ139</f>
        <v>8.8846799999999995</v>
      </c>
      <c r="AM139" s="22">
        <f t="shared" si="39"/>
        <v>34.015631999999997</v>
      </c>
      <c r="AN139" s="36">
        <v>80.989999999999995</v>
      </c>
      <c r="AO139" s="23">
        <f t="shared" si="40"/>
        <v>68.031263999999993</v>
      </c>
      <c r="AQ139">
        <f t="shared" si="41"/>
        <v>0.67164179104477617</v>
      </c>
    </row>
    <row r="140" spans="1:43" x14ac:dyDescent="0.35">
      <c r="A140" t="s">
        <v>41</v>
      </c>
      <c r="B140">
        <v>8</v>
      </c>
      <c r="C140">
        <v>2</v>
      </c>
      <c r="D140" t="s">
        <v>42</v>
      </c>
      <c r="E140">
        <v>2</v>
      </c>
      <c r="F140">
        <v>1</v>
      </c>
      <c r="G140" s="12">
        <v>26</v>
      </c>
      <c r="H140" s="12">
        <v>8.58</v>
      </c>
      <c r="I140" s="12">
        <v>2170</v>
      </c>
      <c r="J140" s="12">
        <v>11.13</v>
      </c>
      <c r="K140" s="12">
        <v>21.113</v>
      </c>
      <c r="L140" s="12">
        <v>3.1E-2</v>
      </c>
      <c r="M140" s="19">
        <v>66.7</v>
      </c>
      <c r="N140" s="12">
        <v>0</v>
      </c>
      <c r="O140" s="13">
        <v>2.5649999999999999</v>
      </c>
      <c r="P140" s="14">
        <v>26</v>
      </c>
      <c r="Q140" s="14">
        <v>11.13</v>
      </c>
      <c r="R140" s="14">
        <v>66.7</v>
      </c>
      <c r="S140" s="14">
        <v>0</v>
      </c>
      <c r="T140" s="10" t="b">
        <f t="shared" si="42"/>
        <v>1</v>
      </c>
      <c r="U140" s="10" t="b">
        <f t="shared" si="43"/>
        <v>1</v>
      </c>
      <c r="V140" s="11">
        <f>VLOOKUP(IF(J140&lt;10, 10, IF(J140&gt;50,50,J140)),'Over to underbark'!$A$3:$C$43,IF(A140="Scots pine",3,IF(A140="Sitka spruce",2, "error")),TRUE)/100</f>
        <v>0.66</v>
      </c>
      <c r="W140">
        <f t="shared" si="28"/>
        <v>39.619800000000005</v>
      </c>
      <c r="X140">
        <f t="shared" si="29"/>
        <v>0</v>
      </c>
      <c r="Y140">
        <f t="shared" si="32"/>
        <v>20.4102</v>
      </c>
      <c r="Z140">
        <f t="shared" si="33"/>
        <v>30.900502529999997</v>
      </c>
      <c r="AA140">
        <f t="shared" si="34"/>
        <v>14.563278</v>
      </c>
      <c r="AB140">
        <f t="shared" si="35"/>
        <v>14.56621947</v>
      </c>
      <c r="AC140">
        <f t="shared" si="36"/>
        <v>0</v>
      </c>
      <c r="AD140">
        <f>LOOKUP($A140,'Over to underbark'!$A$47:$A$48,'Over to underbark'!E$47:E$48)*Z140</f>
        <v>12.978211062599998</v>
      </c>
      <c r="AE140">
        <f>LOOKUP($A140,'Over to underbark'!$A$47:$A$48,'Over to underbark'!E$47:E$48)*AA140</f>
        <v>6.1165767600000001</v>
      </c>
      <c r="AF140">
        <f>LOOKUP($A140,'Over to underbark'!$A$47:$A$48,'Over to underbark'!E$47:E$48)*AB140</f>
        <v>6.1178121773999994</v>
      </c>
      <c r="AG140">
        <f>LOOKUP($A140,'Over to underbark'!$A$47:$A$48,'Over to underbark'!E$47:E$48)*AC140</f>
        <v>0</v>
      </c>
      <c r="AH140" t="b">
        <f t="shared" si="37"/>
        <v>1</v>
      </c>
      <c r="AI140" t="b">
        <f t="shared" si="38"/>
        <v>1</v>
      </c>
      <c r="AJ140">
        <f>LOOKUP(A140,'Over to underbark'!$A$47:$A$48,'Over to underbark'!E$47:E$48)*M140</f>
        <v>28.013999999999999</v>
      </c>
      <c r="AK140" s="22">
        <f>LOOKUP(A140,'Over to underbark'!$A$47:$A$48,'Over to underbark'!$B$47:$B$48)*AJ140</f>
        <v>9.5247600000000006</v>
      </c>
      <c r="AL140" s="22">
        <f>LOOKUP(A140,'Over to underbark'!$A$47:$A$48,'Over to underbark'!C$47:C$48)*AJ140</f>
        <v>9.8048999999999999</v>
      </c>
      <c r="AM140" s="22">
        <f t="shared" si="39"/>
        <v>37.538759999999996</v>
      </c>
      <c r="AN140" s="36">
        <v>89.38</v>
      </c>
      <c r="AO140" s="23">
        <f t="shared" si="40"/>
        <v>75.077519999999993</v>
      </c>
      <c r="AQ140">
        <f t="shared" si="41"/>
        <v>0.67164179104477606</v>
      </c>
    </row>
    <row r="141" spans="1:43" x14ac:dyDescent="0.35">
      <c r="A141" t="s">
        <v>41</v>
      </c>
      <c r="B141">
        <v>8</v>
      </c>
      <c r="C141">
        <v>2</v>
      </c>
      <c r="D141" t="s">
        <v>42</v>
      </c>
      <c r="E141">
        <v>2</v>
      </c>
      <c r="F141">
        <v>1</v>
      </c>
      <c r="G141" s="12">
        <v>27</v>
      </c>
      <c r="H141" s="12">
        <v>8.9320000000000004</v>
      </c>
      <c r="I141" s="12">
        <v>2153</v>
      </c>
      <c r="J141" s="12">
        <v>11.500999999999999</v>
      </c>
      <c r="K141" s="12">
        <v>22.367999999999999</v>
      </c>
      <c r="L141" s="12">
        <v>3.5000000000000003E-2</v>
      </c>
      <c r="M141" s="19">
        <v>75.16</v>
      </c>
      <c r="N141" s="12">
        <v>0</v>
      </c>
      <c r="O141" s="13">
        <v>2.7839999999999998</v>
      </c>
      <c r="P141" s="14">
        <v>27</v>
      </c>
      <c r="Q141" s="14">
        <v>11.500999999999999</v>
      </c>
      <c r="R141" s="14">
        <v>75.16</v>
      </c>
      <c r="S141" s="14">
        <v>0</v>
      </c>
      <c r="T141" s="10" t="b">
        <f t="shared" si="42"/>
        <v>1</v>
      </c>
      <c r="U141" s="10" t="b">
        <f t="shared" si="43"/>
        <v>1</v>
      </c>
      <c r="V141" s="11">
        <f>VLOOKUP(IF(J141&lt;10, 10, IF(J141&gt;50,50,J141)),'Over to underbark'!$A$3:$C$43,IF(A141="Scots pine",3,IF(A141="Sitka spruce",2, "error")),TRUE)/100</f>
        <v>0.66</v>
      </c>
      <c r="W141">
        <f t="shared" si="28"/>
        <v>44.645040000000009</v>
      </c>
      <c r="X141">
        <f t="shared" si="29"/>
        <v>0</v>
      </c>
      <c r="Y141">
        <f t="shared" si="32"/>
        <v>22.99896</v>
      </c>
      <c r="Z141">
        <f t="shared" si="33"/>
        <v>34.819816644000007</v>
      </c>
      <c r="AA141">
        <f t="shared" si="34"/>
        <v>16.4104344</v>
      </c>
      <c r="AB141">
        <f t="shared" si="35"/>
        <v>16.413748956000003</v>
      </c>
      <c r="AC141">
        <f t="shared" si="36"/>
        <v>0</v>
      </c>
      <c r="AD141">
        <f>LOOKUP($A141,'Over to underbark'!$A$47:$A$48,'Over to underbark'!E$47:E$48)*Z141</f>
        <v>14.624322990480001</v>
      </c>
      <c r="AE141">
        <f>LOOKUP($A141,'Over to underbark'!$A$47:$A$48,'Over to underbark'!E$47:E$48)*AA141</f>
        <v>6.8923824479999993</v>
      </c>
      <c r="AF141">
        <f>LOOKUP($A141,'Over to underbark'!$A$47:$A$48,'Over to underbark'!E$47:E$48)*AB141</f>
        <v>6.8937745615200008</v>
      </c>
      <c r="AG141">
        <f>LOOKUP($A141,'Over to underbark'!$A$47:$A$48,'Over to underbark'!E$47:E$48)*AC141</f>
        <v>0</v>
      </c>
      <c r="AH141" t="b">
        <f t="shared" si="37"/>
        <v>1</v>
      </c>
      <c r="AI141" t="b">
        <f t="shared" si="38"/>
        <v>1</v>
      </c>
      <c r="AJ141">
        <f>LOOKUP(A141,'Over to underbark'!$A$47:$A$48,'Over to underbark'!E$47:E$48)*M141</f>
        <v>31.567199999999996</v>
      </c>
      <c r="AK141" s="22">
        <f>LOOKUP(A141,'Over to underbark'!$A$47:$A$48,'Over to underbark'!$B$47:$B$48)*AJ141</f>
        <v>10.732847999999999</v>
      </c>
      <c r="AL141" s="22">
        <f>LOOKUP(A141,'Over to underbark'!$A$47:$A$48,'Over to underbark'!C$47:C$48)*AJ141</f>
        <v>11.048519999999998</v>
      </c>
      <c r="AM141" s="22">
        <f t="shared" si="39"/>
        <v>42.300047999999997</v>
      </c>
      <c r="AN141" s="36">
        <v>100.71</v>
      </c>
      <c r="AO141" s="23">
        <f t="shared" si="40"/>
        <v>84.600095999999994</v>
      </c>
      <c r="AQ141">
        <f t="shared" si="41"/>
        <v>0.67164179104477628</v>
      </c>
    </row>
    <row r="142" spans="1:43" x14ac:dyDescent="0.35">
      <c r="A142" t="s">
        <v>41</v>
      </c>
      <c r="B142">
        <v>8</v>
      </c>
      <c r="C142">
        <v>2</v>
      </c>
      <c r="D142" t="s">
        <v>42</v>
      </c>
      <c r="E142">
        <v>2</v>
      </c>
      <c r="F142">
        <v>1</v>
      </c>
      <c r="G142" s="12">
        <v>28</v>
      </c>
      <c r="H142" s="12">
        <v>9.2840000000000007</v>
      </c>
      <c r="I142" s="12">
        <v>2136</v>
      </c>
      <c r="J142" s="12">
        <v>11.867000000000001</v>
      </c>
      <c r="K142" s="12">
        <v>23.623999999999999</v>
      </c>
      <c r="L142" s="12">
        <v>3.9E-2</v>
      </c>
      <c r="M142" s="19">
        <v>83.62</v>
      </c>
      <c r="N142" s="12">
        <v>0</v>
      </c>
      <c r="O142" s="13">
        <v>2.9860000000000002</v>
      </c>
      <c r="P142" s="14">
        <v>28</v>
      </c>
      <c r="Q142" s="14">
        <v>11.867000000000001</v>
      </c>
      <c r="R142" s="14">
        <v>83.62</v>
      </c>
      <c r="S142" s="14">
        <v>0</v>
      </c>
      <c r="T142" s="10" t="b">
        <f t="shared" si="42"/>
        <v>1</v>
      </c>
      <c r="U142" s="10" t="b">
        <f t="shared" si="43"/>
        <v>1</v>
      </c>
      <c r="V142" s="11">
        <f>VLOOKUP(IF(J142&lt;10, 10, IF(J142&gt;50,50,J142)),'Over to underbark'!$A$3:$C$43,IF(A142="Scots pine",3,IF(A142="Sitka spruce",2, "error")),TRUE)/100</f>
        <v>0.66</v>
      </c>
      <c r="W142">
        <f t="shared" si="28"/>
        <v>49.670280000000005</v>
      </c>
      <c r="X142">
        <f t="shared" si="29"/>
        <v>0</v>
      </c>
      <c r="Y142">
        <f t="shared" si="32"/>
        <v>25.587720000000001</v>
      </c>
      <c r="Z142">
        <f t="shared" si="33"/>
        <v>38.739130758000009</v>
      </c>
      <c r="AA142">
        <f t="shared" si="34"/>
        <v>18.257590800000003</v>
      </c>
      <c r="AB142">
        <f t="shared" si="35"/>
        <v>18.261278441999998</v>
      </c>
      <c r="AC142">
        <f t="shared" si="36"/>
        <v>0</v>
      </c>
      <c r="AD142">
        <f>LOOKUP($A142,'Over to underbark'!$A$47:$A$48,'Over to underbark'!E$47:E$48)*Z142</f>
        <v>16.270434918360003</v>
      </c>
      <c r="AE142">
        <f>LOOKUP($A142,'Over to underbark'!$A$47:$A$48,'Over to underbark'!E$47:E$48)*AA142</f>
        <v>7.6681881360000013</v>
      </c>
      <c r="AF142">
        <f>LOOKUP($A142,'Over to underbark'!$A$47:$A$48,'Over to underbark'!E$47:E$48)*AB142</f>
        <v>7.6697369456399986</v>
      </c>
      <c r="AG142">
        <f>LOOKUP($A142,'Over to underbark'!$A$47:$A$48,'Over to underbark'!E$47:E$48)*AC142</f>
        <v>0</v>
      </c>
      <c r="AH142" t="b">
        <f t="shared" si="37"/>
        <v>1</v>
      </c>
      <c r="AI142" t="b">
        <f t="shared" si="38"/>
        <v>1</v>
      </c>
      <c r="AJ142">
        <f>LOOKUP(A142,'Over to underbark'!$A$47:$A$48,'Over to underbark'!E$47:E$48)*M142</f>
        <v>35.120400000000004</v>
      </c>
      <c r="AK142" s="22">
        <f>LOOKUP(A142,'Over to underbark'!$A$47:$A$48,'Over to underbark'!$B$47:$B$48)*AJ142</f>
        <v>11.940936000000002</v>
      </c>
      <c r="AL142" s="22">
        <f>LOOKUP(A142,'Over to underbark'!$A$47:$A$48,'Over to underbark'!C$47:C$48)*AJ142</f>
        <v>12.29214</v>
      </c>
      <c r="AM142" s="22">
        <f t="shared" si="39"/>
        <v>47.061336000000004</v>
      </c>
      <c r="AN142" s="36">
        <v>112.05</v>
      </c>
      <c r="AO142" s="23">
        <f t="shared" si="40"/>
        <v>94.122672000000009</v>
      </c>
      <c r="AQ142">
        <f t="shared" si="41"/>
        <v>0.67164179104477617</v>
      </c>
    </row>
    <row r="143" spans="1:43" x14ac:dyDescent="0.35">
      <c r="A143" t="s">
        <v>41</v>
      </c>
      <c r="B143">
        <v>8</v>
      </c>
      <c r="C143">
        <v>2</v>
      </c>
      <c r="D143" t="s">
        <v>42</v>
      </c>
      <c r="E143">
        <v>2</v>
      </c>
      <c r="F143">
        <v>1</v>
      </c>
      <c r="G143" s="12">
        <v>29</v>
      </c>
      <c r="H143" s="12">
        <v>9.6359999999999992</v>
      </c>
      <c r="I143" s="12">
        <v>2119</v>
      </c>
      <c r="J143" s="12">
        <v>12.227</v>
      </c>
      <c r="K143" s="12">
        <v>24.879000000000001</v>
      </c>
      <c r="L143" s="12">
        <v>4.2999999999999997E-2</v>
      </c>
      <c r="M143" s="19">
        <v>92.08</v>
      </c>
      <c r="N143" s="12">
        <v>0</v>
      </c>
      <c r="O143" s="13">
        <v>3.1749999999999998</v>
      </c>
      <c r="P143" s="14">
        <v>29</v>
      </c>
      <c r="Q143" s="14">
        <v>12.227</v>
      </c>
      <c r="R143" s="14">
        <v>92.08</v>
      </c>
      <c r="S143" s="14">
        <v>0</v>
      </c>
      <c r="T143" s="10" t="b">
        <f t="shared" si="42"/>
        <v>1</v>
      </c>
      <c r="U143" s="10" t="b">
        <f t="shared" si="43"/>
        <v>1</v>
      </c>
      <c r="V143" s="11">
        <f>VLOOKUP(IF(J143&lt;10, 10, IF(J143&gt;50,50,J143)),'Over to underbark'!$A$3:$C$43,IF(A143="Scots pine",3,IF(A143="Sitka spruce",2, "error")),TRUE)/100</f>
        <v>0.74</v>
      </c>
      <c r="W143">
        <f t="shared" si="28"/>
        <v>61.325279999999999</v>
      </c>
      <c r="X143">
        <f t="shared" si="29"/>
        <v>0</v>
      </c>
      <c r="Y143">
        <f t="shared" si="32"/>
        <v>21.546720000000001</v>
      </c>
      <c r="Z143">
        <f t="shared" si="33"/>
        <v>42.806620008000003</v>
      </c>
      <c r="AA143">
        <f t="shared" si="34"/>
        <v>17.519140800000002</v>
      </c>
      <c r="AB143">
        <f t="shared" si="35"/>
        <v>22.546239191999998</v>
      </c>
      <c r="AC143">
        <f t="shared" si="36"/>
        <v>0</v>
      </c>
      <c r="AD143">
        <f>LOOKUP($A143,'Over to underbark'!$A$47:$A$48,'Over to underbark'!E$47:E$48)*Z143</f>
        <v>17.978780403360002</v>
      </c>
      <c r="AE143">
        <f>LOOKUP($A143,'Over to underbark'!$A$47:$A$48,'Over to underbark'!E$47:E$48)*AA143</f>
        <v>7.3580391360000004</v>
      </c>
      <c r="AF143">
        <f>LOOKUP($A143,'Over to underbark'!$A$47:$A$48,'Over to underbark'!E$47:E$48)*AB143</f>
        <v>9.4694204606399985</v>
      </c>
      <c r="AG143">
        <f>LOOKUP($A143,'Over to underbark'!$A$47:$A$48,'Over to underbark'!E$47:E$48)*AC143</f>
        <v>0</v>
      </c>
      <c r="AH143" t="b">
        <f t="shared" si="37"/>
        <v>1</v>
      </c>
      <c r="AI143" t="b">
        <f t="shared" si="38"/>
        <v>1</v>
      </c>
      <c r="AJ143">
        <f>LOOKUP(A143,'Over to underbark'!$A$47:$A$48,'Over to underbark'!E$47:E$48)*M143</f>
        <v>38.6736</v>
      </c>
      <c r="AK143" s="22">
        <f>LOOKUP(A143,'Over to underbark'!$A$47:$A$48,'Over to underbark'!$B$47:$B$48)*AJ143</f>
        <v>13.149024000000001</v>
      </c>
      <c r="AL143" s="22">
        <f>LOOKUP(A143,'Over to underbark'!$A$47:$A$48,'Over to underbark'!C$47:C$48)*AJ143</f>
        <v>13.53576</v>
      </c>
      <c r="AM143" s="22">
        <f t="shared" si="39"/>
        <v>51.822624000000005</v>
      </c>
      <c r="AN143" s="36">
        <v>123.39</v>
      </c>
      <c r="AO143" s="23">
        <f t="shared" si="40"/>
        <v>103.64524800000001</v>
      </c>
      <c r="AQ143">
        <f t="shared" si="41"/>
        <v>0.67164179104477606</v>
      </c>
    </row>
    <row r="144" spans="1:43" x14ac:dyDescent="0.35">
      <c r="A144" t="s">
        <v>41</v>
      </c>
      <c r="B144">
        <v>8</v>
      </c>
      <c r="C144">
        <v>2</v>
      </c>
      <c r="D144" t="s">
        <v>42</v>
      </c>
      <c r="E144">
        <v>2</v>
      </c>
      <c r="F144">
        <v>1</v>
      </c>
      <c r="G144" s="12">
        <v>30</v>
      </c>
      <c r="H144" s="12">
        <v>9.9879999999999995</v>
      </c>
      <c r="I144" s="12">
        <v>2102</v>
      </c>
      <c r="J144" s="12">
        <v>12.582000000000001</v>
      </c>
      <c r="K144" s="12">
        <v>26.135000000000002</v>
      </c>
      <c r="L144" s="12">
        <v>4.8000000000000001E-2</v>
      </c>
      <c r="M144" s="19">
        <v>100.54</v>
      </c>
      <c r="N144" s="12">
        <v>0</v>
      </c>
      <c r="O144" s="13">
        <v>3.351</v>
      </c>
      <c r="P144" s="14">
        <v>30</v>
      </c>
      <c r="Q144" s="14">
        <v>12.582000000000001</v>
      </c>
      <c r="R144" s="14">
        <v>100.54</v>
      </c>
      <c r="S144" s="14">
        <v>0</v>
      </c>
      <c r="T144" s="10" t="b">
        <f t="shared" si="42"/>
        <v>1</v>
      </c>
      <c r="U144" s="10" t="b">
        <f t="shared" si="43"/>
        <v>1</v>
      </c>
      <c r="V144" s="11">
        <f>VLOOKUP(IF(J144&lt;10, 10, IF(J144&gt;50,50,J144)),'Over to underbark'!$A$3:$C$43,IF(A144="Scots pine",3,IF(A144="Sitka spruce",2, "error")),TRUE)/100</f>
        <v>0.74</v>
      </c>
      <c r="W144">
        <f t="shared" si="28"/>
        <v>66.959640000000007</v>
      </c>
      <c r="X144">
        <f t="shared" si="29"/>
        <v>0</v>
      </c>
      <c r="Y144">
        <f t="shared" si="32"/>
        <v>23.52636</v>
      </c>
      <c r="Z144">
        <f t="shared" si="33"/>
        <v>46.739547954000003</v>
      </c>
      <c r="AA144">
        <f t="shared" si="34"/>
        <v>19.128740400000002</v>
      </c>
      <c r="AB144">
        <f t="shared" si="35"/>
        <v>24.617711646</v>
      </c>
      <c r="AC144">
        <f t="shared" si="36"/>
        <v>0</v>
      </c>
      <c r="AD144">
        <f>LOOKUP($A144,'Over to underbark'!$A$47:$A$48,'Over to underbark'!E$47:E$48)*Z144</f>
        <v>19.630610140680002</v>
      </c>
      <c r="AE144">
        <f>LOOKUP($A144,'Over to underbark'!$A$47:$A$48,'Over to underbark'!E$47:E$48)*AA144</f>
        <v>8.034070968</v>
      </c>
      <c r="AF144">
        <f>LOOKUP($A144,'Over to underbark'!$A$47:$A$48,'Over to underbark'!E$47:E$48)*AB144</f>
        <v>10.33943889132</v>
      </c>
      <c r="AG144">
        <f>LOOKUP($A144,'Over to underbark'!$A$47:$A$48,'Over to underbark'!E$47:E$48)*AC144</f>
        <v>0</v>
      </c>
      <c r="AH144" t="b">
        <f t="shared" si="37"/>
        <v>1</v>
      </c>
      <c r="AI144" t="b">
        <f t="shared" si="38"/>
        <v>1</v>
      </c>
      <c r="AJ144">
        <f>LOOKUP(A144,'Over to underbark'!$A$47:$A$48,'Over to underbark'!E$47:E$48)*M144</f>
        <v>42.226800000000004</v>
      </c>
      <c r="AK144" s="22">
        <f>LOOKUP(A144,'Over to underbark'!$A$47:$A$48,'Over to underbark'!$B$47:$B$48)*AJ144</f>
        <v>14.357112000000003</v>
      </c>
      <c r="AL144" s="22">
        <f>LOOKUP(A144,'Over to underbark'!$A$47:$A$48,'Over to underbark'!C$47:C$48)*AJ144</f>
        <v>14.77938</v>
      </c>
      <c r="AM144" s="22">
        <f t="shared" si="39"/>
        <v>56.583912000000005</v>
      </c>
      <c r="AN144" s="36">
        <v>134.72</v>
      </c>
      <c r="AO144" s="23">
        <f t="shared" si="40"/>
        <v>113.16782400000001</v>
      </c>
      <c r="AQ144">
        <f t="shared" si="41"/>
        <v>0.67164179104477606</v>
      </c>
    </row>
    <row r="145" spans="1:43" x14ac:dyDescent="0.35">
      <c r="A145" t="s">
        <v>41</v>
      </c>
      <c r="B145">
        <v>8</v>
      </c>
      <c r="C145">
        <v>2</v>
      </c>
      <c r="D145" t="s">
        <v>42</v>
      </c>
      <c r="E145">
        <v>2</v>
      </c>
      <c r="F145">
        <v>1</v>
      </c>
      <c r="G145" s="12">
        <v>31</v>
      </c>
      <c r="H145" s="12">
        <v>10.34</v>
      </c>
      <c r="I145" s="12">
        <v>2086</v>
      </c>
      <c r="J145" s="12">
        <v>12.93</v>
      </c>
      <c r="K145" s="12">
        <v>27.390999999999998</v>
      </c>
      <c r="L145" s="12">
        <v>5.1999999999999998E-2</v>
      </c>
      <c r="M145" s="19">
        <v>109</v>
      </c>
      <c r="N145" s="12">
        <v>0</v>
      </c>
      <c r="O145" s="13">
        <v>3.516</v>
      </c>
      <c r="P145" s="14">
        <v>31</v>
      </c>
      <c r="Q145" s="14">
        <v>12.93</v>
      </c>
      <c r="R145" s="14">
        <v>107.551</v>
      </c>
      <c r="S145" s="14">
        <v>1.4490000000000001</v>
      </c>
      <c r="T145" s="10" t="b">
        <f t="shared" si="42"/>
        <v>1</v>
      </c>
      <c r="U145" s="10" t="b">
        <f t="shared" si="43"/>
        <v>1</v>
      </c>
      <c r="V145" s="11">
        <f>VLOOKUP(IF(J145&lt;10, 10, IF(J145&gt;50,50,J145)),'Over to underbark'!$A$3:$C$43,IF(A145="Scots pine",3,IF(A145="Sitka spruce",2, "error")),TRUE)/100</f>
        <v>0.74</v>
      </c>
      <c r="W145">
        <f t="shared" si="28"/>
        <v>71.628966000000005</v>
      </c>
      <c r="X145">
        <f t="shared" si="29"/>
        <v>0.96503400000000006</v>
      </c>
      <c r="Y145">
        <f t="shared" si="32"/>
        <v>25.506000000000004</v>
      </c>
      <c r="Z145">
        <f t="shared" si="33"/>
        <v>50.480096372100007</v>
      </c>
      <c r="AA145">
        <f t="shared" si="34"/>
        <v>20.632186260000005</v>
      </c>
      <c r="AB145">
        <f t="shared" si="35"/>
        <v>26.455018599900001</v>
      </c>
      <c r="AC145">
        <f t="shared" si="36"/>
        <v>0.53269876800000004</v>
      </c>
      <c r="AD145">
        <f>LOOKUP($A145,'Over to underbark'!$A$47:$A$48,'Over to underbark'!E$47:E$48)*Z145</f>
        <v>21.201640476282002</v>
      </c>
      <c r="AE145">
        <f>LOOKUP($A145,'Over to underbark'!$A$47:$A$48,'Over to underbark'!E$47:E$48)*AA145</f>
        <v>8.6655182292000017</v>
      </c>
      <c r="AF145">
        <f>LOOKUP($A145,'Over to underbark'!$A$47:$A$48,'Over to underbark'!E$47:E$48)*AB145</f>
        <v>11.111107811958</v>
      </c>
      <c r="AG145">
        <f>LOOKUP($A145,'Over to underbark'!$A$47:$A$48,'Over to underbark'!E$47:E$48)*AC145</f>
        <v>0.22373348256</v>
      </c>
      <c r="AH145" t="b">
        <f t="shared" si="37"/>
        <v>1</v>
      </c>
      <c r="AI145" t="b">
        <f t="shared" si="38"/>
        <v>1</v>
      </c>
      <c r="AJ145">
        <f>LOOKUP(A145,'Over to underbark'!$A$47:$A$48,'Over to underbark'!E$47:E$48)*M145</f>
        <v>45.78</v>
      </c>
      <c r="AK145" s="22">
        <f>LOOKUP(A145,'Over to underbark'!$A$47:$A$48,'Over to underbark'!$B$47:$B$48)*AJ145</f>
        <v>15.565200000000001</v>
      </c>
      <c r="AL145" s="22">
        <f>LOOKUP(A145,'Over to underbark'!$A$47:$A$48,'Over to underbark'!C$47:C$48)*AJ145</f>
        <v>16.023</v>
      </c>
      <c r="AM145" s="22">
        <f t="shared" si="39"/>
        <v>61.345200000000006</v>
      </c>
      <c r="AN145" s="36">
        <v>146.06</v>
      </c>
      <c r="AO145" s="23">
        <f t="shared" si="40"/>
        <v>122.69040000000001</v>
      </c>
      <c r="AQ145">
        <f t="shared" si="41"/>
        <v>0.67164179104477617</v>
      </c>
    </row>
    <row r="146" spans="1:43" x14ac:dyDescent="0.35">
      <c r="A146" t="s">
        <v>41</v>
      </c>
      <c r="B146">
        <v>8</v>
      </c>
      <c r="C146">
        <v>2</v>
      </c>
      <c r="D146" t="s">
        <v>42</v>
      </c>
      <c r="E146">
        <v>2</v>
      </c>
      <c r="F146">
        <v>1</v>
      </c>
      <c r="G146" s="12">
        <v>32</v>
      </c>
      <c r="H146" s="12">
        <v>10.667999999999999</v>
      </c>
      <c r="I146" s="12">
        <v>2057</v>
      </c>
      <c r="J146" s="12">
        <v>13.29</v>
      </c>
      <c r="K146" s="12">
        <v>28.535</v>
      </c>
      <c r="L146" s="12">
        <v>5.8000000000000003E-2</v>
      </c>
      <c r="M146" s="19">
        <v>118.98</v>
      </c>
      <c r="N146" s="12">
        <v>0.151</v>
      </c>
      <c r="O146" s="13">
        <v>3.718</v>
      </c>
      <c r="P146" s="14">
        <v>32</v>
      </c>
      <c r="Q146" s="14">
        <v>13.29</v>
      </c>
      <c r="R146" s="14">
        <v>114.991</v>
      </c>
      <c r="S146" s="14">
        <v>3.9889999999999999</v>
      </c>
      <c r="T146" s="10" t="b">
        <f t="shared" si="42"/>
        <v>1</v>
      </c>
      <c r="U146" s="10" t="b">
        <f t="shared" si="43"/>
        <v>1</v>
      </c>
      <c r="V146" s="11">
        <f>VLOOKUP(IF(J146&lt;10, 10, IF(J146&gt;50,50,J146)),'Over to underbark'!$A$3:$C$43,IF(A146="Scots pine",3,IF(A146="Sitka spruce",2, "error")),TRUE)/100</f>
        <v>0.79</v>
      </c>
      <c r="W146">
        <f t="shared" si="28"/>
        <v>81.758600999999999</v>
      </c>
      <c r="X146">
        <f t="shared" si="29"/>
        <v>2.836179</v>
      </c>
      <c r="Y146">
        <f t="shared" si="32"/>
        <v>22.487219999999997</v>
      </c>
      <c r="Z146">
        <f t="shared" si="33"/>
        <v>54.86630104935</v>
      </c>
      <c r="AA146">
        <f t="shared" si="34"/>
        <v>20.237056109999997</v>
      </c>
      <c r="AB146">
        <f t="shared" si="35"/>
        <v>30.413072032649993</v>
      </c>
      <c r="AC146">
        <f t="shared" si="36"/>
        <v>1.5655708079999999</v>
      </c>
      <c r="AD146">
        <f>LOOKUP($A146,'Over to underbark'!$A$47:$A$48,'Over to underbark'!E$47:E$48)*Z146</f>
        <v>23.043846440726998</v>
      </c>
      <c r="AE146">
        <f>LOOKUP($A146,'Over to underbark'!$A$47:$A$48,'Over to underbark'!E$47:E$48)*AA146</f>
        <v>8.4995635661999991</v>
      </c>
      <c r="AF146">
        <f>LOOKUP($A146,'Over to underbark'!$A$47:$A$48,'Over to underbark'!E$47:E$48)*AB146</f>
        <v>12.773490253712996</v>
      </c>
      <c r="AG146">
        <f>LOOKUP($A146,'Over to underbark'!$A$47:$A$48,'Over to underbark'!E$47:E$48)*AC146</f>
        <v>0.65753973935999999</v>
      </c>
      <c r="AH146" t="b">
        <f t="shared" si="37"/>
        <v>1</v>
      </c>
      <c r="AI146" t="b">
        <f t="shared" si="38"/>
        <v>1</v>
      </c>
      <c r="AJ146">
        <f>LOOKUP(A146,'Over to underbark'!$A$47:$A$48,'Over to underbark'!E$47:E$48)*M146</f>
        <v>49.971600000000002</v>
      </c>
      <c r="AK146" s="22">
        <f>LOOKUP(A146,'Over to underbark'!$A$47:$A$48,'Over to underbark'!$B$47:$B$48)*AJ146</f>
        <v>16.990344</v>
      </c>
      <c r="AL146" s="22">
        <f>LOOKUP(A146,'Over to underbark'!$A$47:$A$48,'Over to underbark'!C$47:C$48)*AJ146</f>
        <v>17.49006</v>
      </c>
      <c r="AM146" s="22">
        <f t="shared" si="39"/>
        <v>66.961944000000003</v>
      </c>
      <c r="AN146" s="36">
        <v>159.43</v>
      </c>
      <c r="AO146" s="23">
        <f t="shared" si="40"/>
        <v>133.92388800000001</v>
      </c>
      <c r="AQ146">
        <f t="shared" si="41"/>
        <v>0.67164179104477606</v>
      </c>
    </row>
    <row r="147" spans="1:43" x14ac:dyDescent="0.35">
      <c r="A147" t="s">
        <v>41</v>
      </c>
      <c r="B147">
        <v>8</v>
      </c>
      <c r="C147">
        <v>2</v>
      </c>
      <c r="D147" t="s">
        <v>42</v>
      </c>
      <c r="E147">
        <v>2</v>
      </c>
      <c r="F147">
        <v>1</v>
      </c>
      <c r="G147" s="12">
        <v>33</v>
      </c>
      <c r="H147" s="12">
        <v>10.996</v>
      </c>
      <c r="I147" s="12">
        <v>2028</v>
      </c>
      <c r="J147" s="12">
        <v>13.65</v>
      </c>
      <c r="K147" s="12">
        <v>29.678999999999998</v>
      </c>
      <c r="L147" s="12">
        <v>6.4000000000000001E-2</v>
      </c>
      <c r="M147" s="19">
        <v>128.96</v>
      </c>
      <c r="N147" s="12">
        <v>0.27800000000000002</v>
      </c>
      <c r="O147" s="13">
        <v>3.9079999999999999</v>
      </c>
      <c r="P147" s="14">
        <v>33</v>
      </c>
      <c r="Q147" s="14">
        <v>13.65</v>
      </c>
      <c r="R147" s="14">
        <v>121.97199999999999</v>
      </c>
      <c r="S147" s="14">
        <v>6.9880000000000004</v>
      </c>
      <c r="T147" s="10" t="b">
        <f t="shared" si="42"/>
        <v>1</v>
      </c>
      <c r="U147" s="10" t="b">
        <f t="shared" si="43"/>
        <v>1</v>
      </c>
      <c r="V147" s="11">
        <f>VLOOKUP(IF(J147&lt;10, 10, IF(J147&gt;50,50,J147)),'Over to underbark'!$A$3:$C$43,IF(A147="Scots pine",3,IF(A147="Sitka spruce",2, "error")),TRUE)/100</f>
        <v>0.79</v>
      </c>
      <c r="W147">
        <f t="shared" si="28"/>
        <v>86.722092000000004</v>
      </c>
      <c r="X147">
        <f t="shared" si="29"/>
        <v>4.9684680000000006</v>
      </c>
      <c r="Y147">
        <f t="shared" si="32"/>
        <v>24.373439999999999</v>
      </c>
      <c r="Z147">
        <f t="shared" si="33"/>
        <v>59.090819920199998</v>
      </c>
      <c r="AA147">
        <f t="shared" si="34"/>
        <v>21.72615012</v>
      </c>
      <c r="AB147">
        <f t="shared" si="35"/>
        <v>32.504435623799999</v>
      </c>
      <c r="AC147">
        <f t="shared" si="36"/>
        <v>2.7425943360000007</v>
      </c>
      <c r="AD147">
        <f>LOOKUP($A147,'Over to underbark'!$A$47:$A$48,'Over to underbark'!E$47:E$48)*Z147</f>
        <v>24.818144366483999</v>
      </c>
      <c r="AE147">
        <f>LOOKUP($A147,'Over to underbark'!$A$47:$A$48,'Over to underbark'!E$47:E$48)*AA147</f>
        <v>9.1249830503999991</v>
      </c>
      <c r="AF147">
        <f>LOOKUP($A147,'Over to underbark'!$A$47:$A$48,'Over to underbark'!E$47:E$48)*AB147</f>
        <v>13.651862961995999</v>
      </c>
      <c r="AG147">
        <f>LOOKUP($A147,'Over to underbark'!$A$47:$A$48,'Over to underbark'!E$47:E$48)*AC147</f>
        <v>1.1518896211200003</v>
      </c>
      <c r="AH147" t="b">
        <f t="shared" si="37"/>
        <v>1</v>
      </c>
      <c r="AI147" t="b">
        <f t="shared" si="38"/>
        <v>1</v>
      </c>
      <c r="AJ147">
        <f>LOOKUP(A147,'Over to underbark'!$A$47:$A$48,'Over to underbark'!E$47:E$48)*M147</f>
        <v>54.163200000000003</v>
      </c>
      <c r="AK147" s="22">
        <f>LOOKUP(A147,'Over to underbark'!$A$47:$A$48,'Over to underbark'!$B$47:$B$48)*AJ147</f>
        <v>18.415488000000003</v>
      </c>
      <c r="AL147" s="22">
        <f>LOOKUP(A147,'Over to underbark'!$A$47:$A$48,'Over to underbark'!C$47:C$48)*AJ147</f>
        <v>18.95712</v>
      </c>
      <c r="AM147" s="22">
        <f t="shared" si="39"/>
        <v>72.578688</v>
      </c>
      <c r="AN147" s="36">
        <v>172.81</v>
      </c>
      <c r="AO147" s="23">
        <f t="shared" si="40"/>
        <v>145.157376</v>
      </c>
      <c r="AQ147">
        <f t="shared" si="41"/>
        <v>0.67164179104477606</v>
      </c>
    </row>
    <row r="148" spans="1:43" x14ac:dyDescent="0.35">
      <c r="A148" t="s">
        <v>41</v>
      </c>
      <c r="B148">
        <v>8</v>
      </c>
      <c r="C148">
        <v>2</v>
      </c>
      <c r="D148" t="s">
        <v>42</v>
      </c>
      <c r="E148">
        <v>2</v>
      </c>
      <c r="F148">
        <v>1</v>
      </c>
      <c r="G148" s="12">
        <v>34</v>
      </c>
      <c r="H148" s="12">
        <v>11.324</v>
      </c>
      <c r="I148" s="12">
        <v>2000</v>
      </c>
      <c r="J148" s="12">
        <v>14.007999999999999</v>
      </c>
      <c r="K148" s="12">
        <v>30.823</v>
      </c>
      <c r="L148" s="12">
        <v>6.9000000000000006E-2</v>
      </c>
      <c r="M148" s="19">
        <v>138.94</v>
      </c>
      <c r="N148" s="12">
        <v>0.38700000000000001</v>
      </c>
      <c r="O148" s="13">
        <v>4.0860000000000003</v>
      </c>
      <c r="P148" s="14">
        <v>34</v>
      </c>
      <c r="Q148" s="14">
        <v>14.007999999999999</v>
      </c>
      <c r="R148" s="14">
        <v>128.50399999999999</v>
      </c>
      <c r="S148" s="14">
        <v>10.436</v>
      </c>
      <c r="T148" s="10" t="b">
        <f t="shared" si="42"/>
        <v>1</v>
      </c>
      <c r="U148" s="10" t="b">
        <f t="shared" si="43"/>
        <v>1</v>
      </c>
      <c r="V148" s="11">
        <f>VLOOKUP(IF(J148&lt;10, 10, IF(J148&gt;50,50,J148)),'Over to underbark'!$A$3:$C$43,IF(A148="Scots pine",3,IF(A148="Sitka spruce",2, "error")),TRUE)/100</f>
        <v>0.82</v>
      </c>
      <c r="W148">
        <f t="shared" si="28"/>
        <v>94.835951999999992</v>
      </c>
      <c r="X148">
        <f t="shared" si="29"/>
        <v>7.7017679999999995</v>
      </c>
      <c r="Y148">
        <f t="shared" si="32"/>
        <v>22.508280000000006</v>
      </c>
      <c r="Z148">
        <f t="shared" si="33"/>
        <v>63.279370591200006</v>
      </c>
      <c r="AA148">
        <f t="shared" si="34"/>
        <v>21.68609472</v>
      </c>
      <c r="AB148">
        <f t="shared" si="35"/>
        <v>35.829158752799998</v>
      </c>
      <c r="AC148">
        <f t="shared" si="36"/>
        <v>4.2513759359999996</v>
      </c>
      <c r="AD148">
        <f>LOOKUP($A148,'Over to underbark'!$A$47:$A$48,'Over to underbark'!E$47:E$48)*Z148</f>
        <v>26.577335648304</v>
      </c>
      <c r="AE148">
        <f>LOOKUP($A148,'Over to underbark'!$A$47:$A$48,'Over to underbark'!E$47:E$48)*AA148</f>
        <v>9.1081597823999996</v>
      </c>
      <c r="AF148">
        <f>LOOKUP($A148,'Over to underbark'!$A$47:$A$48,'Over to underbark'!E$47:E$48)*AB148</f>
        <v>15.048246676175999</v>
      </c>
      <c r="AG148">
        <f>LOOKUP($A148,'Over to underbark'!$A$47:$A$48,'Over to underbark'!E$47:E$48)*AC148</f>
        <v>1.7855778931199997</v>
      </c>
      <c r="AH148" t="b">
        <f t="shared" si="37"/>
        <v>1</v>
      </c>
      <c r="AI148" t="b">
        <f t="shared" si="38"/>
        <v>1</v>
      </c>
      <c r="AJ148">
        <f>LOOKUP(A148,'Over to underbark'!$A$47:$A$48,'Over to underbark'!E$47:E$48)*M148</f>
        <v>58.354799999999997</v>
      </c>
      <c r="AK148" s="22">
        <f>LOOKUP(A148,'Over to underbark'!$A$47:$A$48,'Over to underbark'!$B$47:$B$48)*AJ148</f>
        <v>19.840631999999999</v>
      </c>
      <c r="AL148" s="22">
        <f>LOOKUP(A148,'Over to underbark'!$A$47:$A$48,'Over to underbark'!C$47:C$48)*AJ148</f>
        <v>20.424179999999996</v>
      </c>
      <c r="AM148" s="22">
        <f t="shared" si="39"/>
        <v>78.195431999999997</v>
      </c>
      <c r="AN148" s="36">
        <v>186.18</v>
      </c>
      <c r="AO148" s="23">
        <f t="shared" si="40"/>
        <v>156.39086399999999</v>
      </c>
      <c r="AQ148">
        <f t="shared" si="41"/>
        <v>0.67164179104477617</v>
      </c>
    </row>
    <row r="149" spans="1:43" x14ac:dyDescent="0.35">
      <c r="A149" t="s">
        <v>41</v>
      </c>
      <c r="B149">
        <v>8</v>
      </c>
      <c r="C149">
        <v>2</v>
      </c>
      <c r="D149" t="s">
        <v>42</v>
      </c>
      <c r="E149">
        <v>2</v>
      </c>
      <c r="F149">
        <v>1</v>
      </c>
      <c r="G149" s="12">
        <v>35</v>
      </c>
      <c r="H149" s="12">
        <v>11.651999999999999</v>
      </c>
      <c r="I149" s="12">
        <v>1971</v>
      </c>
      <c r="J149" s="12">
        <v>14.37</v>
      </c>
      <c r="K149" s="12">
        <v>31.966999999999999</v>
      </c>
      <c r="L149" s="12">
        <v>7.5999999999999998E-2</v>
      </c>
      <c r="M149" s="19">
        <v>148.91999999999999</v>
      </c>
      <c r="N149" s="12">
        <v>0.48099999999999998</v>
      </c>
      <c r="O149" s="13">
        <v>4.2549999999999999</v>
      </c>
      <c r="P149" s="14">
        <v>35</v>
      </c>
      <c r="Q149" s="14">
        <v>14.37</v>
      </c>
      <c r="R149" s="14">
        <v>134.536</v>
      </c>
      <c r="S149" s="14">
        <v>14.384</v>
      </c>
      <c r="T149" s="10" t="b">
        <f t="shared" si="42"/>
        <v>1</v>
      </c>
      <c r="U149" s="10" t="b">
        <f t="shared" si="43"/>
        <v>1</v>
      </c>
      <c r="V149" s="11">
        <f>VLOOKUP(IF(J149&lt;10, 10, IF(J149&gt;50,50,J149)),'Over to underbark'!$A$3:$C$43,IF(A149="Scots pine",3,IF(A149="Sitka spruce",2, "error")),TRUE)/100</f>
        <v>0.82</v>
      </c>
      <c r="W149">
        <f t="shared" si="28"/>
        <v>99.287567999999993</v>
      </c>
      <c r="X149">
        <f t="shared" si="29"/>
        <v>10.615392</v>
      </c>
      <c r="Y149">
        <f t="shared" si="32"/>
        <v>24.125040000000009</v>
      </c>
      <c r="Z149">
        <f t="shared" si="33"/>
        <v>67.354152760800005</v>
      </c>
      <c r="AA149">
        <f t="shared" si="34"/>
        <v>22.984152480000006</v>
      </c>
      <c r="AB149">
        <f t="shared" si="35"/>
        <v>37.829998375199992</v>
      </c>
      <c r="AC149">
        <f t="shared" si="36"/>
        <v>5.8596963839999994</v>
      </c>
      <c r="AD149">
        <f>LOOKUP($A149,'Over to underbark'!$A$47:$A$48,'Over to underbark'!E$47:E$48)*Z149</f>
        <v>28.288744159536002</v>
      </c>
      <c r="AE149">
        <f>LOOKUP($A149,'Over to underbark'!$A$47:$A$48,'Over to underbark'!E$47:E$48)*AA149</f>
        <v>9.6533440416000023</v>
      </c>
      <c r="AF149">
        <f>LOOKUP($A149,'Over to underbark'!$A$47:$A$48,'Over to underbark'!E$47:E$48)*AB149</f>
        <v>15.888599317583996</v>
      </c>
      <c r="AG149">
        <f>LOOKUP($A149,'Over to underbark'!$A$47:$A$48,'Over to underbark'!E$47:E$48)*AC149</f>
        <v>2.4610724812799996</v>
      </c>
      <c r="AH149" t="b">
        <f t="shared" si="37"/>
        <v>1</v>
      </c>
      <c r="AI149" t="b">
        <f t="shared" si="38"/>
        <v>1</v>
      </c>
      <c r="AJ149">
        <f>LOOKUP(A149,'Over to underbark'!$A$47:$A$48,'Over to underbark'!E$47:E$48)*M149</f>
        <v>62.546399999999991</v>
      </c>
      <c r="AK149" s="22">
        <f>LOOKUP(A149,'Over to underbark'!$A$47:$A$48,'Over to underbark'!$B$47:$B$48)*AJ149</f>
        <v>21.265775999999999</v>
      </c>
      <c r="AL149" s="22">
        <f>LOOKUP(A149,'Over to underbark'!$A$47:$A$48,'Over to underbark'!C$47:C$48)*AJ149</f>
        <v>21.891239999999996</v>
      </c>
      <c r="AM149" s="22">
        <f t="shared" si="39"/>
        <v>83.812175999999994</v>
      </c>
      <c r="AN149" s="36">
        <v>199.55</v>
      </c>
      <c r="AO149" s="23">
        <f t="shared" si="40"/>
        <v>167.62435199999999</v>
      </c>
      <c r="AQ149">
        <f t="shared" si="41"/>
        <v>0.67164179104477617</v>
      </c>
    </row>
    <row r="150" spans="1:43" x14ac:dyDescent="0.35">
      <c r="A150" t="s">
        <v>41</v>
      </c>
      <c r="B150">
        <v>8</v>
      </c>
      <c r="C150">
        <v>2</v>
      </c>
      <c r="D150" t="s">
        <v>42</v>
      </c>
      <c r="E150">
        <v>2</v>
      </c>
      <c r="F150">
        <v>1</v>
      </c>
      <c r="G150" s="12">
        <v>36</v>
      </c>
      <c r="H150" s="12">
        <v>11.98</v>
      </c>
      <c r="I150" s="12">
        <v>1943</v>
      </c>
      <c r="J150" s="12">
        <v>14.73</v>
      </c>
      <c r="K150" s="12">
        <v>33.110999999999997</v>
      </c>
      <c r="L150" s="12">
        <v>8.2000000000000003E-2</v>
      </c>
      <c r="M150" s="19">
        <v>158.9</v>
      </c>
      <c r="N150" s="12">
        <v>0.56299999999999994</v>
      </c>
      <c r="O150" s="13">
        <v>4.4139999999999997</v>
      </c>
      <c r="P150" s="14">
        <v>36</v>
      </c>
      <c r="Q150" s="14">
        <v>14.73</v>
      </c>
      <c r="R150" s="14">
        <v>140.11699999999999</v>
      </c>
      <c r="S150" s="14">
        <v>18.783000000000001</v>
      </c>
      <c r="T150" s="10" t="b">
        <f t="shared" si="42"/>
        <v>1</v>
      </c>
      <c r="U150" s="10" t="b">
        <f t="shared" si="43"/>
        <v>1</v>
      </c>
      <c r="V150" s="11">
        <f>VLOOKUP(IF(J150&lt;10, 10, IF(J150&gt;50,50,J150)),'Over to underbark'!$A$3:$C$43,IF(A150="Scots pine",3,IF(A150="Sitka spruce",2, "error")),TRUE)/100</f>
        <v>0.82</v>
      </c>
      <c r="W150">
        <f t="shared" si="28"/>
        <v>103.406346</v>
      </c>
      <c r="X150">
        <f t="shared" si="29"/>
        <v>13.861854000000001</v>
      </c>
      <c r="Y150">
        <f t="shared" si="32"/>
        <v>25.741800000000005</v>
      </c>
      <c r="Z150">
        <f t="shared" si="33"/>
        <v>71.362583675100012</v>
      </c>
      <c r="AA150">
        <f t="shared" si="34"/>
        <v>24.245598060000003</v>
      </c>
      <c r="AB150">
        <f t="shared" si="35"/>
        <v>39.7500748569</v>
      </c>
      <c r="AC150">
        <f t="shared" si="36"/>
        <v>7.6517434080000015</v>
      </c>
      <c r="AD150">
        <f>LOOKUP($A150,'Over to underbark'!$A$47:$A$48,'Over to underbark'!E$47:E$48)*Z150</f>
        <v>29.972285143542003</v>
      </c>
      <c r="AE150">
        <f>LOOKUP($A150,'Over to underbark'!$A$47:$A$48,'Over to underbark'!E$47:E$48)*AA150</f>
        <v>10.1831511852</v>
      </c>
      <c r="AF150">
        <f>LOOKUP($A150,'Over to underbark'!$A$47:$A$48,'Over to underbark'!E$47:E$48)*AB150</f>
        <v>16.695031439897999</v>
      </c>
      <c r="AG150">
        <f>LOOKUP($A150,'Over to underbark'!$A$47:$A$48,'Over to underbark'!E$47:E$48)*AC150</f>
        <v>3.2137322313600003</v>
      </c>
      <c r="AH150" t="b">
        <f t="shared" si="37"/>
        <v>1</v>
      </c>
      <c r="AI150" t="b">
        <f t="shared" si="38"/>
        <v>1</v>
      </c>
      <c r="AJ150">
        <f>LOOKUP(A150,'Over to underbark'!$A$47:$A$48,'Over to underbark'!E$47:E$48)*M150</f>
        <v>66.738</v>
      </c>
      <c r="AK150" s="22">
        <f>LOOKUP(A150,'Over to underbark'!$A$47:$A$48,'Over to underbark'!$B$47:$B$48)*AJ150</f>
        <v>22.690920000000002</v>
      </c>
      <c r="AL150" s="22">
        <f>LOOKUP(A150,'Over to underbark'!$A$47:$A$48,'Over to underbark'!C$47:C$48)*AJ150</f>
        <v>23.3583</v>
      </c>
      <c r="AM150" s="22">
        <f t="shared" si="39"/>
        <v>89.428920000000005</v>
      </c>
      <c r="AN150" s="36">
        <v>212.93</v>
      </c>
      <c r="AO150" s="23">
        <f t="shared" si="40"/>
        <v>178.85784000000001</v>
      </c>
      <c r="AQ150">
        <f t="shared" si="41"/>
        <v>0.67164179104477606</v>
      </c>
    </row>
    <row r="151" spans="1:43" x14ac:dyDescent="0.35">
      <c r="A151" t="s">
        <v>41</v>
      </c>
      <c r="B151">
        <v>8</v>
      </c>
      <c r="C151">
        <v>2</v>
      </c>
      <c r="D151" t="s">
        <v>42</v>
      </c>
      <c r="E151">
        <v>2</v>
      </c>
      <c r="F151">
        <v>1</v>
      </c>
      <c r="G151" s="12">
        <v>37</v>
      </c>
      <c r="H151" s="12">
        <v>12.284000000000001</v>
      </c>
      <c r="I151" s="12">
        <v>1916</v>
      </c>
      <c r="J151" s="12">
        <v>15.071999999999999</v>
      </c>
      <c r="K151" s="12">
        <v>34.183</v>
      </c>
      <c r="L151" s="12">
        <v>8.8999999999999996E-2</v>
      </c>
      <c r="M151" s="19">
        <v>169.62</v>
      </c>
      <c r="N151" s="12">
        <v>0.72599999999999998</v>
      </c>
      <c r="O151" s="13">
        <v>4.5839999999999996</v>
      </c>
      <c r="P151" s="14">
        <v>37</v>
      </c>
      <c r="Q151" s="14">
        <v>15.071999999999999</v>
      </c>
      <c r="R151" s="14">
        <v>146.054</v>
      </c>
      <c r="S151" s="14">
        <v>23.565999999999999</v>
      </c>
      <c r="T151" s="10" t="b">
        <f t="shared" si="42"/>
        <v>1</v>
      </c>
      <c r="U151" s="10" t="b">
        <f t="shared" si="43"/>
        <v>1</v>
      </c>
      <c r="V151" s="11">
        <f>VLOOKUP(IF(J151&lt;10, 10, IF(J151&gt;50,50,J151)),'Over to underbark'!$A$3:$C$43,IF(A151="Scots pine",3,IF(A151="Sitka spruce",2, "error")),TRUE)/100</f>
        <v>0.84</v>
      </c>
      <c r="W151">
        <f t="shared" si="28"/>
        <v>110.41682399999999</v>
      </c>
      <c r="X151">
        <f t="shared" si="29"/>
        <v>17.815895999999999</v>
      </c>
      <c r="Y151">
        <f t="shared" si="32"/>
        <v>24.425280000000008</v>
      </c>
      <c r="Z151">
        <f t="shared" si="33"/>
        <v>75.643402424399994</v>
      </c>
      <c r="AA151">
        <f t="shared" si="34"/>
        <v>24.358490640000003</v>
      </c>
      <c r="AB151">
        <f t="shared" si="35"/>
        <v>42.821732343599997</v>
      </c>
      <c r="AC151">
        <f t="shared" si="36"/>
        <v>9.8343745919999996</v>
      </c>
      <c r="AD151">
        <f>LOOKUP($A151,'Over to underbark'!$A$47:$A$48,'Over to underbark'!E$47:E$48)*Z151</f>
        <v>31.770229018247996</v>
      </c>
      <c r="AE151">
        <f>LOOKUP($A151,'Over to underbark'!$A$47:$A$48,'Over to underbark'!E$47:E$48)*AA151</f>
        <v>10.230566068800002</v>
      </c>
      <c r="AF151">
        <f>LOOKUP($A151,'Over to underbark'!$A$47:$A$48,'Over to underbark'!E$47:E$48)*AB151</f>
        <v>17.985127584311996</v>
      </c>
      <c r="AG151">
        <f>LOOKUP($A151,'Over to underbark'!$A$47:$A$48,'Over to underbark'!E$47:E$48)*AC151</f>
        <v>4.1304373286399994</v>
      </c>
      <c r="AH151" t="b">
        <f t="shared" si="37"/>
        <v>1</v>
      </c>
      <c r="AI151" t="b">
        <f t="shared" si="38"/>
        <v>1</v>
      </c>
      <c r="AJ151">
        <f>LOOKUP(A151,'Over to underbark'!$A$47:$A$48,'Over to underbark'!E$47:E$48)*M151</f>
        <v>71.240399999999994</v>
      </c>
      <c r="AK151" s="22">
        <f>LOOKUP(A151,'Over to underbark'!$A$47:$A$48,'Over to underbark'!$B$47:$B$48)*AJ151</f>
        <v>24.221736</v>
      </c>
      <c r="AL151" s="22">
        <f>LOOKUP(A151,'Over to underbark'!$A$47:$A$48,'Over to underbark'!C$47:C$48)*AJ151</f>
        <v>24.934139999999996</v>
      </c>
      <c r="AM151" s="22">
        <f t="shared" si="39"/>
        <v>95.462135999999987</v>
      </c>
      <c r="AN151" s="36">
        <v>227.29</v>
      </c>
      <c r="AO151" s="23">
        <f t="shared" si="40"/>
        <v>190.92427199999997</v>
      </c>
      <c r="AQ151">
        <f t="shared" si="41"/>
        <v>0.67164179104477606</v>
      </c>
    </row>
    <row r="152" spans="1:43" x14ac:dyDescent="0.35">
      <c r="A152" t="s">
        <v>41</v>
      </c>
      <c r="B152">
        <v>8</v>
      </c>
      <c r="C152">
        <v>2</v>
      </c>
      <c r="D152" t="s">
        <v>42</v>
      </c>
      <c r="E152">
        <v>2</v>
      </c>
      <c r="F152">
        <v>1</v>
      </c>
      <c r="G152" s="12">
        <v>38</v>
      </c>
      <c r="H152" s="12">
        <v>12.587999999999999</v>
      </c>
      <c r="I152" s="12">
        <v>1889</v>
      </c>
      <c r="J152" s="12">
        <v>15.414999999999999</v>
      </c>
      <c r="K152" s="12">
        <v>35.255000000000003</v>
      </c>
      <c r="L152" s="12">
        <v>9.5000000000000001E-2</v>
      </c>
      <c r="M152" s="19">
        <v>180.34</v>
      </c>
      <c r="N152" s="12">
        <v>0.86899999999999999</v>
      </c>
      <c r="O152" s="13">
        <v>4.7460000000000004</v>
      </c>
      <c r="P152" s="14">
        <v>38</v>
      </c>
      <c r="Q152" s="14">
        <v>15.414999999999999</v>
      </c>
      <c r="R152" s="14">
        <v>151.511</v>
      </c>
      <c r="S152" s="14">
        <v>28.829000000000001</v>
      </c>
      <c r="T152" s="10" t="b">
        <f t="shared" si="42"/>
        <v>1</v>
      </c>
      <c r="U152" s="10" t="b">
        <f t="shared" si="43"/>
        <v>1</v>
      </c>
      <c r="V152" s="11">
        <f>VLOOKUP(IF(J152&lt;10, 10, IF(J152&gt;50,50,J152)),'Over to underbark'!$A$3:$C$43,IF(A152="Scots pine",3,IF(A152="Sitka spruce",2, "error")),TRUE)/100</f>
        <v>0.84</v>
      </c>
      <c r="W152">
        <f t="shared" si="28"/>
        <v>114.542316</v>
      </c>
      <c r="X152">
        <f t="shared" si="29"/>
        <v>21.794723999999999</v>
      </c>
      <c r="Y152">
        <f t="shared" si="32"/>
        <v>25.968960000000006</v>
      </c>
      <c r="Z152">
        <f t="shared" si="33"/>
        <v>79.855354614599989</v>
      </c>
      <c r="AA152">
        <f t="shared" si="34"/>
        <v>25.584134760000005</v>
      </c>
      <c r="AB152">
        <f t="shared" si="35"/>
        <v>44.835822977399992</v>
      </c>
      <c r="AC152">
        <f t="shared" si="36"/>
        <v>12.030687647999999</v>
      </c>
      <c r="AD152">
        <f>LOOKUP($A152,'Over to underbark'!$A$47:$A$48,'Over to underbark'!E$47:E$48)*Z152</f>
        <v>33.539248938131998</v>
      </c>
      <c r="AE152">
        <f>LOOKUP($A152,'Over to underbark'!$A$47:$A$48,'Over to underbark'!E$47:E$48)*AA152</f>
        <v>10.745336599200002</v>
      </c>
      <c r="AF152">
        <f>LOOKUP($A152,'Over to underbark'!$A$47:$A$48,'Over to underbark'!E$47:E$48)*AB152</f>
        <v>18.831045650507996</v>
      </c>
      <c r="AG152">
        <f>LOOKUP($A152,'Over to underbark'!$A$47:$A$48,'Over to underbark'!E$47:E$48)*AC152</f>
        <v>5.0528888121599991</v>
      </c>
      <c r="AH152" t="b">
        <f t="shared" si="37"/>
        <v>1</v>
      </c>
      <c r="AI152" t="b">
        <f t="shared" si="38"/>
        <v>1</v>
      </c>
      <c r="AJ152">
        <f>LOOKUP(A152,'Over to underbark'!$A$47:$A$48,'Over to underbark'!E$47:E$48)*M152</f>
        <v>75.742800000000003</v>
      </c>
      <c r="AK152" s="22">
        <f>LOOKUP(A152,'Over to underbark'!$A$47:$A$48,'Over to underbark'!$B$47:$B$48)*AJ152</f>
        <v>25.752552000000001</v>
      </c>
      <c r="AL152" s="22">
        <f>LOOKUP(A152,'Over to underbark'!$A$47:$A$48,'Over to underbark'!C$47:C$48)*AJ152</f>
        <v>26.509979999999999</v>
      </c>
      <c r="AM152" s="22">
        <f t="shared" si="39"/>
        <v>101.495352</v>
      </c>
      <c r="AN152" s="36">
        <v>241.66</v>
      </c>
      <c r="AO152" s="23">
        <f t="shared" si="40"/>
        <v>202.99070399999999</v>
      </c>
      <c r="AQ152">
        <f t="shared" si="41"/>
        <v>0.67164179104477617</v>
      </c>
    </row>
    <row r="153" spans="1:43" x14ac:dyDescent="0.35">
      <c r="A153" t="s">
        <v>41</v>
      </c>
      <c r="B153">
        <v>8</v>
      </c>
      <c r="C153">
        <v>2</v>
      </c>
      <c r="D153" t="s">
        <v>42</v>
      </c>
      <c r="E153">
        <v>2</v>
      </c>
      <c r="F153">
        <v>1</v>
      </c>
      <c r="G153" s="12">
        <v>39</v>
      </c>
      <c r="H153" s="12">
        <v>12.891999999999999</v>
      </c>
      <c r="I153" s="12">
        <v>1862</v>
      </c>
      <c r="J153" s="12">
        <v>15.760999999999999</v>
      </c>
      <c r="K153" s="12">
        <v>36.328000000000003</v>
      </c>
      <c r="L153" s="12">
        <v>0.10299999999999999</v>
      </c>
      <c r="M153" s="19">
        <v>191.06</v>
      </c>
      <c r="N153" s="12">
        <v>0.995</v>
      </c>
      <c r="O153" s="13">
        <v>4.899</v>
      </c>
      <c r="P153" s="14">
        <v>39</v>
      </c>
      <c r="Q153" s="14">
        <v>15.760999999999999</v>
      </c>
      <c r="R153" s="14">
        <v>156.46799999999999</v>
      </c>
      <c r="S153" s="14">
        <v>34.591999999999999</v>
      </c>
      <c r="T153" s="10" t="b">
        <f t="shared" si="42"/>
        <v>1</v>
      </c>
      <c r="U153" s="10" t="b">
        <f t="shared" si="43"/>
        <v>1</v>
      </c>
      <c r="V153" s="11">
        <f>VLOOKUP(IF(J153&lt;10, 10, IF(J153&gt;50,50,J153)),'Over to underbark'!$A$3:$C$43,IF(A153="Scots pine",3,IF(A153="Sitka spruce",2, "error")),TRUE)/100</f>
        <v>0.84</v>
      </c>
      <c r="W153">
        <f t="shared" si="28"/>
        <v>118.28980799999999</v>
      </c>
      <c r="X153">
        <f t="shared" si="29"/>
        <v>26.151551999999999</v>
      </c>
      <c r="Y153">
        <f t="shared" si="32"/>
        <v>27.512640000000008</v>
      </c>
      <c r="Z153">
        <f t="shared" si="33"/>
        <v>83.991952504800025</v>
      </c>
      <c r="AA153">
        <f t="shared" si="34"/>
        <v>26.768198880000003</v>
      </c>
      <c r="AB153">
        <f t="shared" si="35"/>
        <v>46.758191911199994</v>
      </c>
      <c r="AC153">
        <f t="shared" si="36"/>
        <v>14.435656703999999</v>
      </c>
      <c r="AD153">
        <f>LOOKUP($A153,'Over to underbark'!$A$47:$A$48,'Over to underbark'!E$47:E$48)*Z153</f>
        <v>35.276620052016007</v>
      </c>
      <c r="AE153">
        <f>LOOKUP($A153,'Over to underbark'!$A$47:$A$48,'Over to underbark'!E$47:E$48)*AA153</f>
        <v>11.2426435296</v>
      </c>
      <c r="AF153">
        <f>LOOKUP($A153,'Over to underbark'!$A$47:$A$48,'Over to underbark'!E$47:E$48)*AB153</f>
        <v>19.638440602703998</v>
      </c>
      <c r="AG153">
        <f>LOOKUP($A153,'Over to underbark'!$A$47:$A$48,'Over to underbark'!E$47:E$48)*AC153</f>
        <v>6.0629758156799998</v>
      </c>
      <c r="AH153" t="b">
        <f t="shared" si="37"/>
        <v>1</v>
      </c>
      <c r="AI153" t="b">
        <f t="shared" si="38"/>
        <v>1</v>
      </c>
      <c r="AJ153">
        <f>LOOKUP(A153,'Over to underbark'!$A$47:$A$48,'Over to underbark'!E$47:E$48)*M153</f>
        <v>80.245199999999997</v>
      </c>
      <c r="AK153" s="22">
        <f>LOOKUP(A153,'Over to underbark'!$A$47:$A$48,'Over to underbark'!$B$47:$B$48)*AJ153</f>
        <v>27.283367999999999</v>
      </c>
      <c r="AL153" s="22">
        <f>LOOKUP(A153,'Over to underbark'!$A$47:$A$48,'Over to underbark'!C$47:C$48)*AJ153</f>
        <v>28.085819999999998</v>
      </c>
      <c r="AM153" s="22">
        <f t="shared" si="39"/>
        <v>107.52856799999999</v>
      </c>
      <c r="AN153" s="36">
        <v>256.02</v>
      </c>
      <c r="AO153" s="23">
        <f t="shared" si="40"/>
        <v>215.05713599999999</v>
      </c>
      <c r="AQ153">
        <f t="shared" si="41"/>
        <v>0.67164179104477628</v>
      </c>
    </row>
    <row r="154" spans="1:43" x14ac:dyDescent="0.35">
      <c r="A154" t="s">
        <v>41</v>
      </c>
      <c r="B154">
        <v>8</v>
      </c>
      <c r="C154">
        <v>2</v>
      </c>
      <c r="D154" t="s">
        <v>42</v>
      </c>
      <c r="E154">
        <v>2</v>
      </c>
      <c r="F154">
        <v>1</v>
      </c>
      <c r="G154" s="12">
        <v>40</v>
      </c>
      <c r="H154" s="12">
        <v>13.196</v>
      </c>
      <c r="I154" s="12">
        <v>1835</v>
      </c>
      <c r="J154" s="12">
        <v>16.109000000000002</v>
      </c>
      <c r="K154" s="12">
        <v>37.4</v>
      </c>
      <c r="L154" s="12">
        <v>0.11</v>
      </c>
      <c r="M154" s="19">
        <v>201.78</v>
      </c>
      <c r="N154" s="12">
        <v>1.1080000000000001</v>
      </c>
      <c r="O154" s="13">
        <v>5.0449999999999999</v>
      </c>
      <c r="P154" s="14">
        <v>40</v>
      </c>
      <c r="Q154" s="14">
        <v>16.109000000000002</v>
      </c>
      <c r="R154" s="14">
        <v>160.93700000000001</v>
      </c>
      <c r="S154" s="14">
        <v>40.843000000000004</v>
      </c>
      <c r="T154" s="10" t="b">
        <f t="shared" si="42"/>
        <v>1</v>
      </c>
      <c r="U154" s="10" t="b">
        <f t="shared" si="43"/>
        <v>1</v>
      </c>
      <c r="V154" s="11">
        <f>VLOOKUP(IF(J154&lt;10, 10, IF(J154&gt;50,50,J154)),'Over to underbark'!$A$3:$C$43,IF(A154="Scots pine",3,IF(A154="Sitka spruce",2, "error")),TRUE)/100</f>
        <v>0.84</v>
      </c>
      <c r="W154">
        <f t="shared" si="28"/>
        <v>121.66837200000002</v>
      </c>
      <c r="X154">
        <f t="shared" si="29"/>
        <v>30.877308000000003</v>
      </c>
      <c r="Y154">
        <f t="shared" si="32"/>
        <v>29.05632000000001</v>
      </c>
      <c r="Z154">
        <f t="shared" si="33"/>
        <v>88.055004598200028</v>
      </c>
      <c r="AA154">
        <f t="shared" si="34"/>
        <v>27.911680920000009</v>
      </c>
      <c r="AB154">
        <f t="shared" si="35"/>
        <v>48.591040465800006</v>
      </c>
      <c r="AC154">
        <f t="shared" si="36"/>
        <v>17.044274016000003</v>
      </c>
      <c r="AD154">
        <f>LOOKUP($A154,'Over to underbark'!$A$47:$A$48,'Over to underbark'!E$47:E$48)*Z154</f>
        <v>36.983101931244008</v>
      </c>
      <c r="AE154">
        <f>LOOKUP($A154,'Over to underbark'!$A$47:$A$48,'Over to underbark'!E$47:E$48)*AA154</f>
        <v>11.722905986400004</v>
      </c>
      <c r="AF154">
        <f>LOOKUP($A154,'Over to underbark'!$A$47:$A$48,'Over to underbark'!E$47:E$48)*AB154</f>
        <v>20.408236995636003</v>
      </c>
      <c r="AG154">
        <f>LOOKUP($A154,'Over to underbark'!$A$47:$A$48,'Over to underbark'!E$47:E$48)*AC154</f>
        <v>7.158595086720001</v>
      </c>
      <c r="AH154" t="b">
        <f t="shared" si="37"/>
        <v>1</v>
      </c>
      <c r="AI154" t="b">
        <f t="shared" si="38"/>
        <v>1</v>
      </c>
      <c r="AJ154">
        <f>LOOKUP(A154,'Over to underbark'!$A$47:$A$48,'Over to underbark'!E$47:E$48)*M154</f>
        <v>84.747599999999991</v>
      </c>
      <c r="AK154" s="22">
        <f>LOOKUP(A154,'Over to underbark'!$A$47:$A$48,'Over to underbark'!$B$47:$B$48)*AJ154</f>
        <v>28.814184000000001</v>
      </c>
      <c r="AL154" s="22">
        <f>LOOKUP(A154,'Over to underbark'!$A$47:$A$48,'Over to underbark'!C$47:C$48)*AJ154</f>
        <v>29.661659999999994</v>
      </c>
      <c r="AM154" s="22">
        <f t="shared" si="39"/>
        <v>113.56178399999999</v>
      </c>
      <c r="AN154" s="36">
        <v>270.39</v>
      </c>
      <c r="AO154" s="23">
        <f t="shared" si="40"/>
        <v>227.12356799999998</v>
      </c>
      <c r="AQ154">
        <f t="shared" si="41"/>
        <v>0.67164179104477628</v>
      </c>
    </row>
    <row r="155" spans="1:43" x14ac:dyDescent="0.35">
      <c r="A155" t="s">
        <v>41</v>
      </c>
      <c r="B155">
        <v>8</v>
      </c>
      <c r="C155">
        <v>2</v>
      </c>
      <c r="D155" t="s">
        <v>42</v>
      </c>
      <c r="E155">
        <v>2</v>
      </c>
      <c r="F155">
        <v>1</v>
      </c>
      <c r="G155" s="12">
        <v>41</v>
      </c>
      <c r="H155" s="12">
        <v>13.5</v>
      </c>
      <c r="I155" s="12">
        <v>1808</v>
      </c>
      <c r="J155" s="12">
        <v>16.46</v>
      </c>
      <c r="K155" s="12">
        <v>38.472000000000001</v>
      </c>
      <c r="L155" s="12">
        <v>0.11799999999999999</v>
      </c>
      <c r="M155" s="19">
        <v>212.5</v>
      </c>
      <c r="N155" s="12">
        <v>1.2090000000000001</v>
      </c>
      <c r="O155" s="13">
        <v>5.1829999999999998</v>
      </c>
      <c r="P155" s="14">
        <v>41</v>
      </c>
      <c r="Q155" s="14">
        <v>16.46</v>
      </c>
      <c r="R155" s="14">
        <v>164.90899999999999</v>
      </c>
      <c r="S155" s="14">
        <v>47.591000000000001</v>
      </c>
      <c r="T155" s="10" t="b">
        <f t="shared" si="42"/>
        <v>1</v>
      </c>
      <c r="U155" s="10" t="b">
        <f t="shared" si="43"/>
        <v>1</v>
      </c>
      <c r="V155" s="11">
        <f>VLOOKUP(IF(J155&lt;10, 10, IF(J155&gt;50,50,J155)),'Over to underbark'!$A$3:$C$43,IF(A155="Scots pine",3,IF(A155="Sitka spruce",2, "error")),TRUE)/100</f>
        <v>0.84</v>
      </c>
      <c r="W155">
        <f t="shared" si="28"/>
        <v>124.671204</v>
      </c>
      <c r="X155">
        <f t="shared" si="29"/>
        <v>35.978796000000003</v>
      </c>
      <c r="Y155">
        <f t="shared" si="32"/>
        <v>30.600000000000005</v>
      </c>
      <c r="Z155">
        <f t="shared" si="33"/>
        <v>92.043154517399998</v>
      </c>
      <c r="AA155">
        <f t="shared" si="34"/>
        <v>29.013832440000002</v>
      </c>
      <c r="AB155">
        <f t="shared" si="35"/>
        <v>50.332717650599996</v>
      </c>
      <c r="AC155">
        <f t="shared" si="36"/>
        <v>19.860295392000001</v>
      </c>
      <c r="AD155">
        <f>LOOKUP($A155,'Over to underbark'!$A$47:$A$48,'Over to underbark'!E$47:E$48)*Z155</f>
        <v>38.658124897307999</v>
      </c>
      <c r="AE155">
        <f>LOOKUP($A155,'Over to underbark'!$A$47:$A$48,'Over to underbark'!E$47:E$48)*AA155</f>
        <v>12.185809624800001</v>
      </c>
      <c r="AF155">
        <f>LOOKUP($A155,'Over to underbark'!$A$47:$A$48,'Over to underbark'!E$47:E$48)*AB155</f>
        <v>21.139741413251997</v>
      </c>
      <c r="AG155">
        <f>LOOKUP($A155,'Over to underbark'!$A$47:$A$48,'Over to underbark'!E$47:E$48)*AC155</f>
        <v>8.3413240646400002</v>
      </c>
      <c r="AH155" t="b">
        <f t="shared" si="37"/>
        <v>1</v>
      </c>
      <c r="AI155" t="b">
        <f t="shared" si="38"/>
        <v>1</v>
      </c>
      <c r="AJ155">
        <f>LOOKUP(A155,'Over to underbark'!$A$47:$A$48,'Over to underbark'!E$47:E$48)*M155</f>
        <v>89.25</v>
      </c>
      <c r="AK155" s="22">
        <f>LOOKUP(A155,'Over to underbark'!$A$47:$A$48,'Over to underbark'!$B$47:$B$48)*AJ155</f>
        <v>30.345000000000002</v>
      </c>
      <c r="AL155" s="22">
        <f>LOOKUP(A155,'Over to underbark'!$A$47:$A$48,'Over to underbark'!C$47:C$48)*AJ155</f>
        <v>31.237499999999997</v>
      </c>
      <c r="AM155" s="22">
        <f t="shared" si="39"/>
        <v>119.595</v>
      </c>
      <c r="AN155" s="36">
        <v>284.75</v>
      </c>
      <c r="AO155" s="23">
        <f t="shared" si="40"/>
        <v>239.19</v>
      </c>
      <c r="AQ155">
        <f t="shared" si="41"/>
        <v>0.67164179104477617</v>
      </c>
    </row>
    <row r="156" spans="1:43" x14ac:dyDescent="0.35">
      <c r="A156" t="s">
        <v>41</v>
      </c>
      <c r="B156">
        <v>8</v>
      </c>
      <c r="C156">
        <v>2</v>
      </c>
      <c r="D156" t="s">
        <v>42</v>
      </c>
      <c r="E156">
        <v>2</v>
      </c>
      <c r="F156">
        <v>1</v>
      </c>
      <c r="G156" s="12">
        <v>42</v>
      </c>
      <c r="H156" s="12">
        <v>13.782</v>
      </c>
      <c r="I156" s="12">
        <v>1781</v>
      </c>
      <c r="J156" s="12">
        <v>16.786999999999999</v>
      </c>
      <c r="K156" s="12">
        <v>39.417000000000002</v>
      </c>
      <c r="L156" s="12">
        <v>0.125</v>
      </c>
      <c r="M156" s="19">
        <v>223.4</v>
      </c>
      <c r="N156" s="12">
        <v>1.395</v>
      </c>
      <c r="O156" s="13">
        <v>5.319</v>
      </c>
      <c r="P156" s="14">
        <v>42</v>
      </c>
      <c r="Q156" s="14">
        <v>16.786999999999999</v>
      </c>
      <c r="R156" s="14">
        <v>168.893</v>
      </c>
      <c r="S156" s="14">
        <v>54.506999999999998</v>
      </c>
      <c r="T156" s="10" t="b">
        <f t="shared" si="42"/>
        <v>1</v>
      </c>
      <c r="U156" s="10" t="b">
        <f t="shared" si="43"/>
        <v>1</v>
      </c>
      <c r="V156" s="11">
        <f>VLOOKUP(IF(J156&lt;10, 10, IF(J156&gt;50,50,J156)),'Over to underbark'!$A$3:$C$43,IF(A156="Scots pine",3,IF(A156="Sitka spruce",2, "error")),TRUE)/100</f>
        <v>0.84</v>
      </c>
      <c r="W156">
        <f t="shared" si="28"/>
        <v>127.683108</v>
      </c>
      <c r="X156">
        <f t="shared" si="29"/>
        <v>41.207291999999995</v>
      </c>
      <c r="Y156">
        <f t="shared" si="32"/>
        <v>32.16960000000001</v>
      </c>
      <c r="Z156">
        <f t="shared" si="33"/>
        <v>96.090026779800013</v>
      </c>
      <c r="AA156">
        <f t="shared" si="34"/>
        <v>30.129941880000004</v>
      </c>
      <c r="AB156">
        <f t="shared" si="35"/>
        <v>52.093606156199996</v>
      </c>
      <c r="AC156">
        <f t="shared" si="36"/>
        <v>22.746425184</v>
      </c>
      <c r="AD156">
        <f>LOOKUP($A156,'Over to underbark'!$A$47:$A$48,'Over to underbark'!E$47:E$48)*Z156</f>
        <v>40.357811247516004</v>
      </c>
      <c r="AE156">
        <f>LOOKUP($A156,'Over to underbark'!$A$47:$A$48,'Over to underbark'!E$47:E$48)*AA156</f>
        <v>12.654575589600002</v>
      </c>
      <c r="AF156">
        <f>LOOKUP($A156,'Over to underbark'!$A$47:$A$48,'Over to underbark'!E$47:E$48)*AB156</f>
        <v>21.879314585603996</v>
      </c>
      <c r="AG156">
        <f>LOOKUP($A156,'Over to underbark'!$A$47:$A$48,'Over to underbark'!E$47:E$48)*AC156</f>
        <v>9.5534985772799992</v>
      </c>
      <c r="AH156" t="b">
        <f t="shared" si="37"/>
        <v>1</v>
      </c>
      <c r="AI156" t="b">
        <f t="shared" si="38"/>
        <v>1</v>
      </c>
      <c r="AJ156">
        <f>LOOKUP(A156,'Over to underbark'!$A$47:$A$48,'Over to underbark'!E$47:E$48)*M156</f>
        <v>93.828000000000003</v>
      </c>
      <c r="AK156" s="22">
        <f>LOOKUP(A156,'Over to underbark'!$A$47:$A$48,'Over to underbark'!$B$47:$B$48)*AJ156</f>
        <v>31.901520000000005</v>
      </c>
      <c r="AL156" s="22">
        <f>LOOKUP(A156,'Over to underbark'!$A$47:$A$48,'Over to underbark'!C$47:C$48)*AJ156</f>
        <v>32.839799999999997</v>
      </c>
      <c r="AM156" s="22">
        <f t="shared" si="39"/>
        <v>125.72952000000001</v>
      </c>
      <c r="AN156" s="36">
        <v>299.36</v>
      </c>
      <c r="AO156" s="23">
        <f t="shared" si="40"/>
        <v>251.45904000000002</v>
      </c>
      <c r="AQ156">
        <f t="shared" si="41"/>
        <v>0.67164179104477606</v>
      </c>
    </row>
    <row r="157" spans="1:43" x14ac:dyDescent="0.35">
      <c r="A157" t="s">
        <v>41</v>
      </c>
      <c r="B157">
        <v>8</v>
      </c>
      <c r="C157">
        <v>2</v>
      </c>
      <c r="D157" t="s">
        <v>42</v>
      </c>
      <c r="E157">
        <v>2</v>
      </c>
      <c r="F157">
        <v>1</v>
      </c>
      <c r="G157" s="12">
        <v>43</v>
      </c>
      <c r="H157" s="12">
        <v>14.064</v>
      </c>
      <c r="I157" s="12">
        <v>1755</v>
      </c>
      <c r="J157" s="12">
        <v>17.111999999999998</v>
      </c>
      <c r="K157" s="12">
        <v>40.362000000000002</v>
      </c>
      <c r="L157" s="12">
        <v>0.13400000000000001</v>
      </c>
      <c r="M157" s="19">
        <v>234.3</v>
      </c>
      <c r="N157" s="12">
        <v>1.5629999999999999</v>
      </c>
      <c r="O157" s="13">
        <v>5.4489999999999998</v>
      </c>
      <c r="P157" s="14">
        <v>43</v>
      </c>
      <c r="Q157" s="14">
        <v>17.111999999999998</v>
      </c>
      <c r="R157" s="14">
        <v>172.488</v>
      </c>
      <c r="S157" s="14">
        <v>61.811999999999998</v>
      </c>
      <c r="T157" s="10" t="b">
        <f t="shared" si="42"/>
        <v>1</v>
      </c>
      <c r="U157" s="10" t="b">
        <f t="shared" si="43"/>
        <v>1</v>
      </c>
      <c r="V157" s="11">
        <f>VLOOKUP(IF(J157&lt;10, 10, IF(J157&gt;50,50,J157)),'Over to underbark'!$A$3:$C$43,IF(A157="Scots pine",3,IF(A157="Sitka spruce",2, "error")),TRUE)/100</f>
        <v>0.84</v>
      </c>
      <c r="W157">
        <f t="shared" si="28"/>
        <v>130.40092799999999</v>
      </c>
      <c r="X157">
        <f t="shared" si="29"/>
        <v>46.729872</v>
      </c>
      <c r="Y157">
        <f t="shared" si="32"/>
        <v>33.739200000000004</v>
      </c>
      <c r="Z157">
        <f t="shared" si="33"/>
        <v>100.0782733968</v>
      </c>
      <c r="AA157">
        <f t="shared" si="34"/>
        <v>31.213702080000001</v>
      </c>
      <c r="AB157">
        <f t="shared" si="35"/>
        <v>53.783135179199995</v>
      </c>
      <c r="AC157">
        <f t="shared" si="36"/>
        <v>25.794889343999998</v>
      </c>
      <c r="AD157">
        <f>LOOKUP($A157,'Over to underbark'!$A$47:$A$48,'Over to underbark'!E$47:E$48)*Z157</f>
        <v>42.032874826655998</v>
      </c>
      <c r="AE157">
        <f>LOOKUP($A157,'Over to underbark'!$A$47:$A$48,'Over to underbark'!E$47:E$48)*AA157</f>
        <v>13.1097548736</v>
      </c>
      <c r="AF157">
        <f>LOOKUP($A157,'Over to underbark'!$A$47:$A$48,'Over to underbark'!E$47:E$48)*AB157</f>
        <v>22.588916775263996</v>
      </c>
      <c r="AG157">
        <f>LOOKUP($A157,'Over to underbark'!$A$47:$A$48,'Over to underbark'!E$47:E$48)*AC157</f>
        <v>10.833853524479998</v>
      </c>
      <c r="AH157" t="b">
        <f t="shared" si="37"/>
        <v>1</v>
      </c>
      <c r="AI157" t="b">
        <f t="shared" si="38"/>
        <v>1</v>
      </c>
      <c r="AJ157">
        <f>LOOKUP(A157,'Over to underbark'!$A$47:$A$48,'Over to underbark'!E$47:E$48)*M157</f>
        <v>98.406000000000006</v>
      </c>
      <c r="AK157" s="22">
        <f>LOOKUP(A157,'Over to underbark'!$A$47:$A$48,'Over to underbark'!$B$47:$B$48)*AJ157</f>
        <v>33.458040000000004</v>
      </c>
      <c r="AL157" s="22">
        <f>LOOKUP(A157,'Over to underbark'!$A$47:$A$48,'Over to underbark'!C$47:C$48)*AJ157</f>
        <v>34.442099999999996</v>
      </c>
      <c r="AM157" s="22">
        <f t="shared" si="39"/>
        <v>131.86404000000002</v>
      </c>
      <c r="AN157" s="36">
        <v>313.95999999999998</v>
      </c>
      <c r="AO157" s="23">
        <f t="shared" si="40"/>
        <v>263.72808000000003</v>
      </c>
      <c r="AQ157">
        <f t="shared" si="41"/>
        <v>0.67164179104477595</v>
      </c>
    </row>
    <row r="158" spans="1:43" x14ac:dyDescent="0.35">
      <c r="A158" t="s">
        <v>41</v>
      </c>
      <c r="B158">
        <v>8</v>
      </c>
      <c r="C158">
        <v>2</v>
      </c>
      <c r="D158" t="s">
        <v>42</v>
      </c>
      <c r="E158">
        <v>2</v>
      </c>
      <c r="F158">
        <v>1</v>
      </c>
      <c r="G158" s="12">
        <v>44</v>
      </c>
      <c r="H158" s="12">
        <v>14.346</v>
      </c>
      <c r="I158" s="12">
        <v>1729</v>
      </c>
      <c r="J158" s="12">
        <v>17.440999999999999</v>
      </c>
      <c r="K158" s="12">
        <v>41.307000000000002</v>
      </c>
      <c r="L158" s="12">
        <v>0.14199999999999999</v>
      </c>
      <c r="M158" s="19">
        <v>245.2</v>
      </c>
      <c r="N158" s="12">
        <v>1.716</v>
      </c>
      <c r="O158" s="13">
        <v>5.5730000000000004</v>
      </c>
      <c r="P158" s="14">
        <v>44</v>
      </c>
      <c r="Q158" s="14">
        <v>17.440999999999999</v>
      </c>
      <c r="R158" s="14">
        <v>175.61600000000001</v>
      </c>
      <c r="S158" s="14">
        <v>69.584000000000003</v>
      </c>
      <c r="T158" s="10" t="b">
        <f t="shared" si="42"/>
        <v>1</v>
      </c>
      <c r="U158" s="10" t="b">
        <f t="shared" si="43"/>
        <v>1</v>
      </c>
      <c r="V158" s="11">
        <f>VLOOKUP(IF(J158&lt;10, 10, IF(J158&gt;50,50,J158)),'Over to underbark'!$A$3:$C$43,IF(A158="Scots pine",3,IF(A158="Sitka spruce",2, "error")),TRUE)/100</f>
        <v>0.84</v>
      </c>
      <c r="W158">
        <f t="shared" si="28"/>
        <v>132.76569600000002</v>
      </c>
      <c r="X158">
        <f t="shared" si="29"/>
        <v>52.605504000000003</v>
      </c>
      <c r="Y158">
        <f t="shared" si="32"/>
        <v>35.308800000000005</v>
      </c>
      <c r="Z158">
        <f t="shared" si="33"/>
        <v>103.99613909760001</v>
      </c>
      <c r="AA158">
        <f t="shared" si="34"/>
        <v>32.258626560000003</v>
      </c>
      <c r="AB158">
        <f t="shared" si="35"/>
        <v>55.3869961344</v>
      </c>
      <c r="AC158">
        <f t="shared" si="36"/>
        <v>29.038238208000003</v>
      </c>
      <c r="AD158">
        <f>LOOKUP($A158,'Over to underbark'!$A$47:$A$48,'Over to underbark'!E$47:E$48)*Z158</f>
        <v>43.678378420992004</v>
      </c>
      <c r="AE158">
        <f>LOOKUP($A158,'Over to underbark'!$A$47:$A$48,'Over to underbark'!E$47:E$48)*AA158</f>
        <v>13.548623155200001</v>
      </c>
      <c r="AF158">
        <f>LOOKUP($A158,'Over to underbark'!$A$47:$A$48,'Over to underbark'!E$47:E$48)*AB158</f>
        <v>23.262538376447999</v>
      </c>
      <c r="AG158">
        <f>LOOKUP($A158,'Over to underbark'!$A$47:$A$48,'Over to underbark'!E$47:E$48)*AC158</f>
        <v>12.196060047360001</v>
      </c>
      <c r="AH158" t="b">
        <f t="shared" si="37"/>
        <v>1</v>
      </c>
      <c r="AI158" t="b">
        <f t="shared" si="38"/>
        <v>1</v>
      </c>
      <c r="AJ158">
        <f>LOOKUP(A158,'Over to underbark'!$A$47:$A$48,'Over to underbark'!E$47:E$48)*M158</f>
        <v>102.98399999999999</v>
      </c>
      <c r="AK158" s="22">
        <f>LOOKUP(A158,'Over to underbark'!$A$47:$A$48,'Over to underbark'!$B$47:$B$48)*AJ158</f>
        <v>35.014560000000003</v>
      </c>
      <c r="AL158" s="22">
        <f>LOOKUP(A158,'Over to underbark'!$A$47:$A$48,'Over to underbark'!C$47:C$48)*AJ158</f>
        <v>36.044399999999996</v>
      </c>
      <c r="AM158" s="22">
        <f t="shared" si="39"/>
        <v>137.99856</v>
      </c>
      <c r="AN158" s="36">
        <v>328.57</v>
      </c>
      <c r="AO158" s="23">
        <f t="shared" si="40"/>
        <v>275.99712</v>
      </c>
      <c r="AQ158">
        <f t="shared" si="41"/>
        <v>0.67164179104477617</v>
      </c>
    </row>
    <row r="159" spans="1:43" x14ac:dyDescent="0.35">
      <c r="A159" t="s">
        <v>41</v>
      </c>
      <c r="B159">
        <v>8</v>
      </c>
      <c r="C159">
        <v>2</v>
      </c>
      <c r="D159" t="s">
        <v>42</v>
      </c>
      <c r="E159">
        <v>2</v>
      </c>
      <c r="F159">
        <v>1</v>
      </c>
      <c r="G159" s="12">
        <v>45</v>
      </c>
      <c r="H159" s="12">
        <v>14.628</v>
      </c>
      <c r="I159" s="12">
        <v>1703</v>
      </c>
      <c r="J159" s="12">
        <v>17.774000000000001</v>
      </c>
      <c r="K159" s="12">
        <v>42.253</v>
      </c>
      <c r="L159" s="12">
        <v>0.15</v>
      </c>
      <c r="M159" s="19">
        <v>256.10000000000002</v>
      </c>
      <c r="N159" s="12">
        <v>1.855</v>
      </c>
      <c r="O159" s="13">
        <v>5.6909999999999998</v>
      </c>
      <c r="P159" s="14">
        <v>45</v>
      </c>
      <c r="Q159" s="14">
        <v>17.774000000000001</v>
      </c>
      <c r="R159" s="14">
        <v>178.285</v>
      </c>
      <c r="S159" s="14">
        <v>77.814999999999998</v>
      </c>
      <c r="T159" s="10" t="b">
        <f t="shared" si="42"/>
        <v>1</v>
      </c>
      <c r="U159" s="10" t="b">
        <f t="shared" si="43"/>
        <v>1</v>
      </c>
      <c r="V159" s="11">
        <f>VLOOKUP(IF(J159&lt;10, 10, IF(J159&gt;50,50,J159)),'Over to underbark'!$A$3:$C$43,IF(A159="Scots pine",3,IF(A159="Sitka spruce",2, "error")),TRUE)/100</f>
        <v>0.84</v>
      </c>
      <c r="W159">
        <f t="shared" si="28"/>
        <v>134.78345999999999</v>
      </c>
      <c r="X159">
        <f t="shared" si="29"/>
        <v>58.828139999999998</v>
      </c>
      <c r="Y159">
        <f t="shared" si="32"/>
        <v>36.878400000000013</v>
      </c>
      <c r="Z159">
        <f t="shared" si="33"/>
        <v>107.844829551</v>
      </c>
      <c r="AA159">
        <f t="shared" si="34"/>
        <v>33.265380600000007</v>
      </c>
      <c r="AB159">
        <f t="shared" si="35"/>
        <v>56.906656568999999</v>
      </c>
      <c r="AC159">
        <f t="shared" si="36"/>
        <v>32.473133279999999</v>
      </c>
      <c r="AD159">
        <f>LOOKUP($A159,'Over to underbark'!$A$47:$A$48,'Over to underbark'!E$47:E$48)*Z159</f>
        <v>45.294828411419999</v>
      </c>
      <c r="AE159">
        <f>LOOKUP($A159,'Over to underbark'!$A$47:$A$48,'Over to underbark'!E$47:E$48)*AA159</f>
        <v>13.971459852000002</v>
      </c>
      <c r="AF159">
        <f>LOOKUP($A159,'Over to underbark'!$A$47:$A$48,'Over to underbark'!E$47:E$48)*AB159</f>
        <v>23.900795758979999</v>
      </c>
      <c r="AG159">
        <f>LOOKUP($A159,'Over to underbark'!$A$47:$A$48,'Over to underbark'!E$47:E$48)*AC159</f>
        <v>13.638715977599999</v>
      </c>
      <c r="AH159" t="b">
        <f t="shared" si="37"/>
        <v>1</v>
      </c>
      <c r="AI159" t="b">
        <f t="shared" si="38"/>
        <v>1</v>
      </c>
      <c r="AJ159">
        <f>LOOKUP(A159,'Over to underbark'!$A$47:$A$48,'Over to underbark'!E$47:E$48)*M159</f>
        <v>107.56200000000001</v>
      </c>
      <c r="AK159" s="22">
        <f>LOOKUP(A159,'Over to underbark'!$A$47:$A$48,'Over to underbark'!$B$47:$B$48)*AJ159</f>
        <v>36.571080000000009</v>
      </c>
      <c r="AL159" s="22">
        <f>LOOKUP(A159,'Over to underbark'!$A$47:$A$48,'Over to underbark'!C$47:C$48)*AJ159</f>
        <v>37.646700000000003</v>
      </c>
      <c r="AM159" s="22">
        <f t="shared" si="39"/>
        <v>144.13308000000001</v>
      </c>
      <c r="AN159" s="36">
        <v>343.17</v>
      </c>
      <c r="AO159" s="23">
        <f t="shared" si="40"/>
        <v>288.26616000000001</v>
      </c>
      <c r="AQ159">
        <f t="shared" si="41"/>
        <v>0.67164179104477617</v>
      </c>
    </row>
    <row r="160" spans="1:43" x14ac:dyDescent="0.35">
      <c r="A160" t="s">
        <v>41</v>
      </c>
      <c r="B160">
        <v>8</v>
      </c>
      <c r="C160">
        <v>2</v>
      </c>
      <c r="D160" t="s">
        <v>42</v>
      </c>
      <c r="E160">
        <v>2</v>
      </c>
      <c r="F160">
        <v>1</v>
      </c>
      <c r="G160" s="12">
        <v>46</v>
      </c>
      <c r="H160" s="12">
        <v>14.91</v>
      </c>
      <c r="I160" s="12">
        <v>1677</v>
      </c>
      <c r="J160" s="12">
        <v>18.11</v>
      </c>
      <c r="K160" s="12">
        <v>43.198</v>
      </c>
      <c r="L160" s="12">
        <v>0.159</v>
      </c>
      <c r="M160" s="19">
        <v>267</v>
      </c>
      <c r="N160" s="12">
        <v>1.982</v>
      </c>
      <c r="O160" s="13">
        <v>5.8040000000000003</v>
      </c>
      <c r="P160" s="14">
        <v>46</v>
      </c>
      <c r="Q160" s="14">
        <v>18.11</v>
      </c>
      <c r="R160" s="14">
        <v>180.51499999999999</v>
      </c>
      <c r="S160" s="14">
        <v>86.484999999999999</v>
      </c>
      <c r="T160" s="10" t="b">
        <f t="shared" si="42"/>
        <v>1</v>
      </c>
      <c r="U160" s="10" t="b">
        <f t="shared" si="43"/>
        <v>1</v>
      </c>
      <c r="V160" s="11">
        <f>VLOOKUP(IF(J160&lt;10, 10, IF(J160&gt;50,50,J160)),'Over to underbark'!$A$3:$C$43,IF(A160="Scots pine",3,IF(A160="Sitka spruce",2, "error")),TRUE)/100</f>
        <v>0.84</v>
      </c>
      <c r="W160">
        <f t="shared" si="28"/>
        <v>136.46933999999999</v>
      </c>
      <c r="X160">
        <f t="shared" si="29"/>
        <v>65.382660000000001</v>
      </c>
      <c r="Y160">
        <f t="shared" si="32"/>
        <v>38.448000000000008</v>
      </c>
      <c r="Z160">
        <f t="shared" si="33"/>
        <v>111.62735892900001</v>
      </c>
      <c r="AA160">
        <f t="shared" si="34"/>
        <v>34.235627399999998</v>
      </c>
      <c r="AB160">
        <f t="shared" si="35"/>
        <v>58.345785350999989</v>
      </c>
      <c r="AC160">
        <f t="shared" si="36"/>
        <v>36.091228319999999</v>
      </c>
      <c r="AD160">
        <f>LOOKUP($A160,'Over to underbark'!$A$47:$A$48,'Over to underbark'!E$47:E$48)*Z160</f>
        <v>46.883490750180002</v>
      </c>
      <c r="AE160">
        <f>LOOKUP($A160,'Over to underbark'!$A$47:$A$48,'Over to underbark'!E$47:E$48)*AA160</f>
        <v>14.378963507999998</v>
      </c>
      <c r="AF160">
        <f>LOOKUP($A160,'Over to underbark'!$A$47:$A$48,'Over to underbark'!E$47:E$48)*AB160</f>
        <v>24.505229847419994</v>
      </c>
      <c r="AG160">
        <f>LOOKUP($A160,'Over to underbark'!$A$47:$A$48,'Over to underbark'!E$47:E$48)*AC160</f>
        <v>15.158315894399999</v>
      </c>
      <c r="AH160" t="b">
        <f t="shared" si="37"/>
        <v>1</v>
      </c>
      <c r="AI160" t="b">
        <f t="shared" si="38"/>
        <v>1</v>
      </c>
      <c r="AJ160">
        <f>LOOKUP(A160,'Over to underbark'!$A$47:$A$48,'Over to underbark'!E$47:E$48)*M160</f>
        <v>112.14</v>
      </c>
      <c r="AK160" s="22">
        <f>LOOKUP(A160,'Over to underbark'!$A$47:$A$48,'Over to underbark'!$B$47:$B$48)*AJ160</f>
        <v>38.127600000000001</v>
      </c>
      <c r="AL160" s="22">
        <f>LOOKUP(A160,'Over to underbark'!$A$47:$A$48,'Over to underbark'!C$47:C$48)*AJ160</f>
        <v>39.248999999999995</v>
      </c>
      <c r="AM160" s="22">
        <f t="shared" si="39"/>
        <v>150.26760000000002</v>
      </c>
      <c r="AN160" s="36">
        <v>357.78</v>
      </c>
      <c r="AO160" s="23">
        <f t="shared" si="40"/>
        <v>300.53520000000003</v>
      </c>
      <c r="AQ160">
        <f t="shared" si="41"/>
        <v>0.67164179104477606</v>
      </c>
    </row>
    <row r="161" spans="1:43" x14ac:dyDescent="0.35">
      <c r="A161" t="s">
        <v>41</v>
      </c>
      <c r="B161">
        <v>8</v>
      </c>
      <c r="C161">
        <v>2</v>
      </c>
      <c r="D161" t="s">
        <v>42</v>
      </c>
      <c r="E161">
        <v>2</v>
      </c>
      <c r="F161">
        <v>1</v>
      </c>
      <c r="G161" s="12">
        <v>47</v>
      </c>
      <c r="H161" s="12">
        <v>15.167999999999999</v>
      </c>
      <c r="I161" s="12">
        <v>1652</v>
      </c>
      <c r="J161" s="12">
        <v>18.420999999999999</v>
      </c>
      <c r="K161" s="12">
        <v>44.024999999999999</v>
      </c>
      <c r="L161" s="12">
        <v>0.16800000000000001</v>
      </c>
      <c r="M161" s="19">
        <v>277.62</v>
      </c>
      <c r="N161" s="12">
        <v>2.2050000000000001</v>
      </c>
      <c r="O161" s="13">
        <v>5.907</v>
      </c>
      <c r="P161" s="14">
        <v>47</v>
      </c>
      <c r="Q161" s="14">
        <v>18.420999999999999</v>
      </c>
      <c r="R161" s="14">
        <v>182.59</v>
      </c>
      <c r="S161" s="14">
        <v>95.03</v>
      </c>
      <c r="T161" s="10" t="b">
        <f t="shared" si="42"/>
        <v>1</v>
      </c>
      <c r="U161" s="10" t="b">
        <f t="shared" si="43"/>
        <v>1</v>
      </c>
      <c r="V161" s="11">
        <f>VLOOKUP(IF(J161&lt;10, 10, IF(J161&gt;50,50,J161)),'Over to underbark'!$A$3:$C$43,IF(A161="Scots pine",3,IF(A161="Sitka spruce",2, "error")),TRUE)/100</f>
        <v>0.84</v>
      </c>
      <c r="W161">
        <f t="shared" si="28"/>
        <v>138.03804000000002</v>
      </c>
      <c r="X161">
        <f t="shared" si="29"/>
        <v>71.842680000000001</v>
      </c>
      <c r="Y161">
        <f t="shared" si="32"/>
        <v>39.977280000000007</v>
      </c>
      <c r="Z161">
        <f t="shared" si="33"/>
        <v>115.29799583400002</v>
      </c>
      <c r="AA161">
        <f t="shared" si="34"/>
        <v>35.17282440000001</v>
      </c>
      <c r="AB161">
        <f t="shared" si="35"/>
        <v>59.730020406000008</v>
      </c>
      <c r="AC161">
        <f t="shared" si="36"/>
        <v>39.657159360000001</v>
      </c>
      <c r="AD161">
        <f>LOOKUP($A161,'Over to underbark'!$A$47:$A$48,'Over to underbark'!E$47:E$48)*Z161</f>
        <v>48.425158250280006</v>
      </c>
      <c r="AE161">
        <f>LOOKUP($A161,'Over to underbark'!$A$47:$A$48,'Over to underbark'!E$47:E$48)*AA161</f>
        <v>14.772586248000003</v>
      </c>
      <c r="AF161">
        <f>LOOKUP($A161,'Over to underbark'!$A$47:$A$48,'Over to underbark'!E$47:E$48)*AB161</f>
        <v>25.086608570520003</v>
      </c>
      <c r="AG161">
        <f>LOOKUP($A161,'Over to underbark'!$A$47:$A$48,'Over to underbark'!E$47:E$48)*AC161</f>
        <v>16.6560069312</v>
      </c>
      <c r="AH161" t="b">
        <f t="shared" si="37"/>
        <v>1</v>
      </c>
      <c r="AI161" t="b">
        <f t="shared" si="38"/>
        <v>1</v>
      </c>
      <c r="AJ161">
        <f>LOOKUP(A161,'Over to underbark'!$A$47:$A$48,'Over to underbark'!E$47:E$48)*M161</f>
        <v>116.60039999999999</v>
      </c>
      <c r="AK161" s="22">
        <f>LOOKUP(A161,'Over to underbark'!$A$47:$A$48,'Over to underbark'!$B$47:$B$48)*AJ161</f>
        <v>39.644136000000003</v>
      </c>
      <c r="AL161" s="22">
        <f>LOOKUP(A161,'Over to underbark'!$A$47:$A$48,'Over to underbark'!C$47:C$48)*AJ161</f>
        <v>40.810139999999997</v>
      </c>
      <c r="AM161" s="22">
        <f t="shared" si="39"/>
        <v>156.24453599999998</v>
      </c>
      <c r="AN161" s="36">
        <v>372.01</v>
      </c>
      <c r="AO161" s="23">
        <f t="shared" si="40"/>
        <v>312.48907199999996</v>
      </c>
      <c r="AQ161">
        <f t="shared" si="41"/>
        <v>0.67164179104477628</v>
      </c>
    </row>
    <row r="162" spans="1:43" x14ac:dyDescent="0.35">
      <c r="A162" t="s">
        <v>41</v>
      </c>
      <c r="B162">
        <v>8</v>
      </c>
      <c r="C162">
        <v>2</v>
      </c>
      <c r="D162" t="s">
        <v>42</v>
      </c>
      <c r="E162">
        <v>2</v>
      </c>
      <c r="F162">
        <v>1</v>
      </c>
      <c r="G162" s="12">
        <v>48</v>
      </c>
      <c r="H162" s="12">
        <v>15.426</v>
      </c>
      <c r="I162" s="12">
        <v>1627</v>
      </c>
      <c r="J162" s="12">
        <v>18.734999999999999</v>
      </c>
      <c r="K162" s="12">
        <v>44.853000000000002</v>
      </c>
      <c r="L162" s="12">
        <v>0.17699999999999999</v>
      </c>
      <c r="M162" s="19">
        <v>288.24</v>
      </c>
      <c r="N162" s="12">
        <v>2.411</v>
      </c>
      <c r="O162" s="13">
        <v>6.0049999999999999</v>
      </c>
      <c r="P162" s="14">
        <v>48</v>
      </c>
      <c r="Q162" s="14">
        <v>18.734999999999999</v>
      </c>
      <c r="R162" s="14">
        <v>184.28100000000001</v>
      </c>
      <c r="S162" s="14">
        <v>103.959</v>
      </c>
      <c r="T162" s="10" t="b">
        <f t="shared" si="42"/>
        <v>1</v>
      </c>
      <c r="U162" s="10" t="b">
        <f t="shared" si="43"/>
        <v>1</v>
      </c>
      <c r="V162" s="11">
        <f>VLOOKUP(IF(J162&lt;10, 10, IF(J162&gt;50,50,J162)),'Over to underbark'!$A$3:$C$43,IF(A162="Scots pine",3,IF(A162="Sitka spruce",2, "error")),TRUE)/100</f>
        <v>0.84</v>
      </c>
      <c r="W162">
        <f t="shared" si="28"/>
        <v>139.31643600000001</v>
      </c>
      <c r="X162">
        <f t="shared" si="29"/>
        <v>78.593004000000008</v>
      </c>
      <c r="Y162">
        <f t="shared" si="32"/>
        <v>41.506560000000007</v>
      </c>
      <c r="Z162">
        <f t="shared" si="33"/>
        <v>118.91076063660003</v>
      </c>
      <c r="AA162">
        <f t="shared" si="34"/>
        <v>36.078087960000005</v>
      </c>
      <c r="AB162">
        <f t="shared" si="35"/>
        <v>61.043813195400006</v>
      </c>
      <c r="AC162">
        <f t="shared" si="36"/>
        <v>43.383338208000005</v>
      </c>
      <c r="AD162">
        <f>LOOKUP($A162,'Over to underbark'!$A$47:$A$48,'Over to underbark'!E$47:E$48)*Z162</f>
        <v>49.942519467372009</v>
      </c>
      <c r="AE162">
        <f>LOOKUP($A162,'Over to underbark'!$A$47:$A$48,'Over to underbark'!E$47:E$48)*AA162</f>
        <v>15.152796943200002</v>
      </c>
      <c r="AF162">
        <f>LOOKUP($A162,'Over to underbark'!$A$47:$A$48,'Over to underbark'!E$47:E$48)*AB162</f>
        <v>25.638401542068003</v>
      </c>
      <c r="AG162">
        <f>LOOKUP($A162,'Over to underbark'!$A$47:$A$48,'Over to underbark'!E$47:E$48)*AC162</f>
        <v>18.221002047360003</v>
      </c>
      <c r="AH162" t="b">
        <f t="shared" si="37"/>
        <v>1</v>
      </c>
      <c r="AI162" t="b">
        <f t="shared" si="38"/>
        <v>1</v>
      </c>
      <c r="AJ162">
        <f>LOOKUP(A162,'Over to underbark'!$A$47:$A$48,'Over to underbark'!E$47:E$48)*M162</f>
        <v>121.0608</v>
      </c>
      <c r="AK162" s="22">
        <f>LOOKUP(A162,'Over to underbark'!$A$47:$A$48,'Over to underbark'!$B$47:$B$48)*AJ162</f>
        <v>41.160672000000005</v>
      </c>
      <c r="AL162" s="22">
        <f>LOOKUP(A162,'Over to underbark'!$A$47:$A$48,'Over to underbark'!C$47:C$48)*AJ162</f>
        <v>42.371279999999999</v>
      </c>
      <c r="AM162" s="22">
        <f t="shared" si="39"/>
        <v>162.22147200000001</v>
      </c>
      <c r="AN162" s="36">
        <v>386.24</v>
      </c>
      <c r="AO162" s="23">
        <f t="shared" si="40"/>
        <v>324.44294400000001</v>
      </c>
      <c r="AQ162">
        <f t="shared" si="41"/>
        <v>0.67164179104477617</v>
      </c>
    </row>
    <row r="163" spans="1:43" x14ac:dyDescent="0.35">
      <c r="A163" t="s">
        <v>41</v>
      </c>
      <c r="B163">
        <v>8</v>
      </c>
      <c r="C163">
        <v>2</v>
      </c>
      <c r="D163" t="s">
        <v>42</v>
      </c>
      <c r="E163">
        <v>2</v>
      </c>
      <c r="F163">
        <v>1</v>
      </c>
      <c r="G163" s="12">
        <v>49</v>
      </c>
      <c r="H163" s="12">
        <v>15.683999999999999</v>
      </c>
      <c r="I163" s="12">
        <v>1602</v>
      </c>
      <c r="J163" s="12">
        <v>19.053999999999998</v>
      </c>
      <c r="K163" s="12">
        <v>45.680999999999997</v>
      </c>
      <c r="L163" s="12">
        <v>0.187</v>
      </c>
      <c r="M163" s="19">
        <v>298.86</v>
      </c>
      <c r="N163" s="12">
        <v>2.601</v>
      </c>
      <c r="O163" s="13">
        <v>6.0990000000000002</v>
      </c>
      <c r="P163" s="14">
        <v>49</v>
      </c>
      <c r="Q163" s="14">
        <v>19.053999999999998</v>
      </c>
      <c r="R163" s="14">
        <v>185.56299999999999</v>
      </c>
      <c r="S163" s="14">
        <v>113.297</v>
      </c>
      <c r="T163" s="10" t="b">
        <f t="shared" si="42"/>
        <v>1</v>
      </c>
      <c r="U163" s="10" t="b">
        <f t="shared" si="43"/>
        <v>1</v>
      </c>
      <c r="V163" s="11">
        <f>VLOOKUP(IF(J163&lt;10, 10, IF(J163&gt;50,50,J163)),'Over to underbark'!$A$3:$C$43,IF(A163="Scots pine",3,IF(A163="Sitka spruce",2, "error")),TRUE)/100</f>
        <v>0.84</v>
      </c>
      <c r="W163">
        <f t="shared" si="28"/>
        <v>140.285628</v>
      </c>
      <c r="X163">
        <f t="shared" si="29"/>
        <v>85.652531999999994</v>
      </c>
      <c r="Y163">
        <f t="shared" si="32"/>
        <v>43.035840000000015</v>
      </c>
      <c r="Z163">
        <f t="shared" si="33"/>
        <v>122.46188562180001</v>
      </c>
      <c r="AA163">
        <f t="shared" si="34"/>
        <v>36.949339080000009</v>
      </c>
      <c r="AB163">
        <f t="shared" si="35"/>
        <v>62.282577634200003</v>
      </c>
      <c r="AC163">
        <f t="shared" si="36"/>
        <v>47.280197663999999</v>
      </c>
      <c r="AD163">
        <f>LOOKUP($A163,'Over to underbark'!$A$47:$A$48,'Over to underbark'!E$47:E$48)*Z163</f>
        <v>51.433991961156003</v>
      </c>
      <c r="AE163">
        <f>LOOKUP($A163,'Over to underbark'!$A$47:$A$48,'Over to underbark'!E$47:E$48)*AA163</f>
        <v>15.518722413600003</v>
      </c>
      <c r="AF163">
        <f>LOOKUP($A163,'Over to underbark'!$A$47:$A$48,'Over to underbark'!E$47:E$48)*AB163</f>
        <v>26.158682606364</v>
      </c>
      <c r="AG163">
        <f>LOOKUP($A163,'Over to underbark'!$A$47:$A$48,'Over to underbark'!E$47:E$48)*AC163</f>
        <v>19.85768301888</v>
      </c>
      <c r="AH163" t="b">
        <f t="shared" si="37"/>
        <v>1</v>
      </c>
      <c r="AI163" t="b">
        <f t="shared" si="38"/>
        <v>1</v>
      </c>
      <c r="AJ163">
        <f>LOOKUP(A163,'Over to underbark'!$A$47:$A$48,'Over to underbark'!E$47:E$48)*M163</f>
        <v>125.52120000000001</v>
      </c>
      <c r="AK163" s="22">
        <f>LOOKUP(A163,'Over to underbark'!$A$47:$A$48,'Over to underbark'!$B$47:$B$48)*AJ163</f>
        <v>42.677208000000007</v>
      </c>
      <c r="AL163" s="22">
        <f>LOOKUP(A163,'Over to underbark'!$A$47:$A$48,'Over to underbark'!C$47:C$48)*AJ163</f>
        <v>43.93242</v>
      </c>
      <c r="AM163" s="22">
        <f t="shared" si="39"/>
        <v>168.19840800000003</v>
      </c>
      <c r="AN163" s="36">
        <v>400.47</v>
      </c>
      <c r="AO163" s="23">
        <f t="shared" si="40"/>
        <v>336.39681600000006</v>
      </c>
      <c r="AQ163">
        <f t="shared" si="41"/>
        <v>0.67164179104477595</v>
      </c>
    </row>
    <row r="164" spans="1:43" x14ac:dyDescent="0.35">
      <c r="A164" t="s">
        <v>41</v>
      </c>
      <c r="B164">
        <v>8</v>
      </c>
      <c r="C164">
        <v>2</v>
      </c>
      <c r="D164" t="s">
        <v>42</v>
      </c>
      <c r="E164">
        <v>2</v>
      </c>
      <c r="F164">
        <v>1</v>
      </c>
      <c r="G164" s="12">
        <v>50</v>
      </c>
      <c r="H164" s="12">
        <v>15.942</v>
      </c>
      <c r="I164" s="12">
        <v>1577</v>
      </c>
      <c r="J164" s="12">
        <v>19.378</v>
      </c>
      <c r="K164" s="12">
        <v>46.509</v>
      </c>
      <c r="L164" s="12">
        <v>0.19600000000000001</v>
      </c>
      <c r="M164" s="19">
        <v>309.48</v>
      </c>
      <c r="N164" s="12">
        <v>2.7770000000000001</v>
      </c>
      <c r="O164" s="13">
        <v>6.19</v>
      </c>
      <c r="P164" s="14">
        <v>50</v>
      </c>
      <c r="Q164" s="14">
        <v>19.378</v>
      </c>
      <c r="R164" s="14">
        <v>186.44300000000001</v>
      </c>
      <c r="S164" s="14">
        <v>123.03700000000001</v>
      </c>
      <c r="T164" s="10" t="b">
        <f t="shared" si="42"/>
        <v>1</v>
      </c>
      <c r="U164" s="10" t="b">
        <f t="shared" si="43"/>
        <v>1</v>
      </c>
      <c r="V164" s="11">
        <f>VLOOKUP(IF(J164&lt;10, 10, IF(J164&gt;50,50,J164)),'Over to underbark'!$A$3:$C$43,IF(A164="Scots pine",3,IF(A164="Sitka spruce",2, "error")),TRUE)/100</f>
        <v>0.84</v>
      </c>
      <c r="W164">
        <f t="shared" si="28"/>
        <v>140.95090800000003</v>
      </c>
      <c r="X164">
        <f t="shared" si="29"/>
        <v>93.015972000000005</v>
      </c>
      <c r="Y164">
        <f t="shared" si="32"/>
        <v>44.565120000000014</v>
      </c>
      <c r="Z164">
        <f t="shared" si="33"/>
        <v>125.95242574980003</v>
      </c>
      <c r="AA164">
        <f t="shared" si="34"/>
        <v>37.787159880000011</v>
      </c>
      <c r="AB164">
        <f t="shared" si="35"/>
        <v>63.44759782620001</v>
      </c>
      <c r="AC164">
        <f t="shared" si="36"/>
        <v>51.344816544000004</v>
      </c>
      <c r="AD164">
        <f>LOOKUP($A164,'Over to underbark'!$A$47:$A$48,'Over to underbark'!E$47:E$48)*Z164</f>
        <v>52.90001881491601</v>
      </c>
      <c r="AE164">
        <f>LOOKUP($A164,'Over to underbark'!$A$47:$A$48,'Over to underbark'!E$47:E$48)*AA164</f>
        <v>15.870607149600005</v>
      </c>
      <c r="AF164">
        <f>LOOKUP($A164,'Over to underbark'!$A$47:$A$48,'Over to underbark'!E$47:E$48)*AB164</f>
        <v>26.647991087004002</v>
      </c>
      <c r="AG164">
        <f>LOOKUP($A164,'Over to underbark'!$A$47:$A$48,'Over to underbark'!E$47:E$48)*AC164</f>
        <v>21.56482294848</v>
      </c>
      <c r="AH164" t="b">
        <f t="shared" si="37"/>
        <v>1</v>
      </c>
      <c r="AI164" t="b">
        <f t="shared" si="38"/>
        <v>1</v>
      </c>
      <c r="AJ164">
        <f>LOOKUP(A164,'Over to underbark'!$A$47:$A$48,'Over to underbark'!E$47:E$48)*M164</f>
        <v>129.98160000000001</v>
      </c>
      <c r="AK164" s="22">
        <f>LOOKUP(A164,'Over to underbark'!$A$47:$A$48,'Over to underbark'!$B$47:$B$48)*AJ164</f>
        <v>44.193744000000009</v>
      </c>
      <c r="AL164" s="22">
        <f>LOOKUP(A164,'Over to underbark'!$A$47:$A$48,'Over to underbark'!C$47:C$48)*AJ164</f>
        <v>45.493560000000002</v>
      </c>
      <c r="AM164" s="22">
        <f t="shared" si="39"/>
        <v>174.17534400000002</v>
      </c>
      <c r="AN164" s="36">
        <v>414.7</v>
      </c>
      <c r="AO164" s="23">
        <f t="shared" si="40"/>
        <v>348.35068800000005</v>
      </c>
      <c r="AQ164">
        <f t="shared" si="41"/>
        <v>0.67164179104477617</v>
      </c>
    </row>
    <row r="165" spans="1:43" x14ac:dyDescent="0.35">
      <c r="A165" t="s">
        <v>41</v>
      </c>
      <c r="B165">
        <v>8</v>
      </c>
      <c r="C165">
        <v>2</v>
      </c>
      <c r="D165" t="s">
        <v>42</v>
      </c>
      <c r="E165">
        <v>2</v>
      </c>
      <c r="F165">
        <v>1</v>
      </c>
      <c r="G165" s="12">
        <v>51</v>
      </c>
      <c r="H165" s="12">
        <v>16.2</v>
      </c>
      <c r="I165" s="12">
        <v>1553</v>
      </c>
      <c r="J165" s="12">
        <v>19.7</v>
      </c>
      <c r="K165" s="12">
        <v>47.335999999999999</v>
      </c>
      <c r="L165" s="12">
        <v>0.20599999999999999</v>
      </c>
      <c r="M165" s="19">
        <v>320.10000000000002</v>
      </c>
      <c r="N165" s="12">
        <v>2.9409999999999998</v>
      </c>
      <c r="O165" s="13">
        <v>6.2759999999999998</v>
      </c>
      <c r="P165" s="14">
        <v>51</v>
      </c>
      <c r="Q165" s="14">
        <v>19.7</v>
      </c>
      <c r="R165" s="14">
        <v>187.05600000000001</v>
      </c>
      <c r="S165" s="14">
        <v>133.04400000000001</v>
      </c>
      <c r="T165" s="10" t="b">
        <f t="shared" si="42"/>
        <v>1</v>
      </c>
      <c r="U165" s="10" t="b">
        <f t="shared" si="43"/>
        <v>1</v>
      </c>
      <c r="V165" s="11">
        <f>VLOOKUP(IF(J165&lt;10, 10, IF(J165&gt;50,50,J165)),'Over to underbark'!$A$3:$C$43,IF(A165="Scots pine",3,IF(A165="Sitka spruce",2, "error")),TRUE)/100</f>
        <v>0.84</v>
      </c>
      <c r="W165">
        <f t="shared" si="28"/>
        <v>141.41433599999999</v>
      </c>
      <c r="X165">
        <f t="shared" si="29"/>
        <v>100.581264</v>
      </c>
      <c r="Y165">
        <f t="shared" si="32"/>
        <v>46.094400000000014</v>
      </c>
      <c r="Z165">
        <f t="shared" si="33"/>
        <v>129.40272668160003</v>
      </c>
      <c r="AA165">
        <f t="shared" si="34"/>
        <v>38.602776960000007</v>
      </c>
      <c r="AB165">
        <f t="shared" si="35"/>
        <v>64.563638630399993</v>
      </c>
      <c r="AC165">
        <f t="shared" si="36"/>
        <v>55.520857728000003</v>
      </c>
      <c r="AD165">
        <f>LOOKUP($A165,'Over to underbark'!$A$47:$A$48,'Over to underbark'!E$47:E$48)*Z165</f>
        <v>54.349145206272013</v>
      </c>
      <c r="AE165">
        <f>LOOKUP($A165,'Over to underbark'!$A$47:$A$48,'Over to underbark'!E$47:E$48)*AA165</f>
        <v>16.213166323200003</v>
      </c>
      <c r="AF165">
        <f>LOOKUP($A165,'Over to underbark'!$A$47:$A$48,'Over to underbark'!E$47:E$48)*AB165</f>
        <v>27.116728224767996</v>
      </c>
      <c r="AG165">
        <f>LOOKUP($A165,'Over to underbark'!$A$47:$A$48,'Over to underbark'!E$47:E$48)*AC165</f>
        <v>23.31876024576</v>
      </c>
      <c r="AH165" t="b">
        <f t="shared" si="37"/>
        <v>1</v>
      </c>
      <c r="AI165" t="b">
        <f t="shared" si="38"/>
        <v>1</v>
      </c>
      <c r="AJ165">
        <f>LOOKUP(A165,'Over to underbark'!$A$47:$A$48,'Over to underbark'!E$47:E$48)*M165</f>
        <v>134.44200000000001</v>
      </c>
      <c r="AK165" s="22">
        <f>LOOKUP(A165,'Over to underbark'!$A$47:$A$48,'Over to underbark'!$B$47:$B$48)*AJ165</f>
        <v>45.710280000000004</v>
      </c>
      <c r="AL165" s="22">
        <f>LOOKUP(A165,'Over to underbark'!$A$47:$A$48,'Over to underbark'!C$47:C$48)*AJ165</f>
        <v>47.054699999999997</v>
      </c>
      <c r="AM165" s="22">
        <f t="shared" si="39"/>
        <v>180.15228000000002</v>
      </c>
      <c r="AN165" s="36">
        <v>428.93</v>
      </c>
      <c r="AO165" s="23">
        <f t="shared" si="40"/>
        <v>360.30456000000004</v>
      </c>
      <c r="AQ165">
        <f t="shared" si="41"/>
        <v>0.67164179104477617</v>
      </c>
    </row>
    <row r="166" spans="1:43" x14ac:dyDescent="0.35">
      <c r="A166" t="s">
        <v>41</v>
      </c>
      <c r="B166">
        <v>8</v>
      </c>
      <c r="C166">
        <v>2</v>
      </c>
      <c r="D166" t="s">
        <v>42</v>
      </c>
      <c r="E166">
        <v>2</v>
      </c>
      <c r="F166">
        <v>1</v>
      </c>
      <c r="G166" s="12">
        <v>52</v>
      </c>
      <c r="H166" s="12">
        <v>16.436</v>
      </c>
      <c r="I166" s="12">
        <v>1530</v>
      </c>
      <c r="J166" s="12">
        <v>19.998999999999999</v>
      </c>
      <c r="K166" s="12">
        <v>48.058999999999997</v>
      </c>
      <c r="L166" s="12">
        <v>0.216</v>
      </c>
      <c r="M166" s="19">
        <v>330.18</v>
      </c>
      <c r="N166" s="12">
        <v>3.19</v>
      </c>
      <c r="O166" s="13">
        <v>6.35</v>
      </c>
      <c r="P166" s="14">
        <v>52</v>
      </c>
      <c r="Q166" s="14">
        <v>19.998999999999999</v>
      </c>
      <c r="R166" s="14">
        <v>187.49</v>
      </c>
      <c r="S166" s="14">
        <v>142.69</v>
      </c>
      <c r="T166" s="10" t="b">
        <f t="shared" si="42"/>
        <v>1</v>
      </c>
      <c r="U166" s="10" t="b">
        <f t="shared" si="43"/>
        <v>1</v>
      </c>
      <c r="V166" s="11">
        <f>VLOOKUP(IF(J166&lt;10, 10, IF(J166&gt;50,50,J166)),'Over to underbark'!$A$3:$C$43,IF(A166="Scots pine",3,IF(A166="Sitka spruce",2, "error")),TRUE)/100</f>
        <v>0.84</v>
      </c>
      <c r="W166">
        <f t="shared" si="28"/>
        <v>141.74244000000002</v>
      </c>
      <c r="X166">
        <f t="shared" si="29"/>
        <v>107.87363999999999</v>
      </c>
      <c r="Y166">
        <f t="shared" si="32"/>
        <v>47.545920000000017</v>
      </c>
      <c r="Z166">
        <f t="shared" si="33"/>
        <v>132.65530925400003</v>
      </c>
      <c r="AA166">
        <f t="shared" si="34"/>
        <v>39.364628400000008</v>
      </c>
      <c r="AB166">
        <f t="shared" si="35"/>
        <v>65.595813066000005</v>
      </c>
      <c r="AC166">
        <f t="shared" si="36"/>
        <v>59.546249279999998</v>
      </c>
      <c r="AD166">
        <f>LOOKUP($A166,'Over to underbark'!$A$47:$A$48,'Over to underbark'!E$47:E$48)*Z166</f>
        <v>55.715229886680014</v>
      </c>
      <c r="AE166">
        <f>LOOKUP($A166,'Over to underbark'!$A$47:$A$48,'Over to underbark'!E$47:E$48)*AA166</f>
        <v>16.533143928000001</v>
      </c>
      <c r="AF166">
        <f>LOOKUP($A166,'Over to underbark'!$A$47:$A$48,'Over to underbark'!E$47:E$48)*AB166</f>
        <v>27.550241487720001</v>
      </c>
      <c r="AG166">
        <f>LOOKUP($A166,'Over to underbark'!$A$47:$A$48,'Over to underbark'!E$47:E$48)*AC166</f>
        <v>25.009424697599997</v>
      </c>
      <c r="AH166" t="b">
        <f t="shared" si="37"/>
        <v>1</v>
      </c>
      <c r="AI166" t="b">
        <f t="shared" si="38"/>
        <v>1</v>
      </c>
      <c r="AJ166">
        <f>LOOKUP(A166,'Over to underbark'!$A$47:$A$48,'Over to underbark'!E$47:E$48)*M166</f>
        <v>138.6756</v>
      </c>
      <c r="AK166" s="22">
        <f>LOOKUP(A166,'Over to underbark'!$A$47:$A$48,'Over to underbark'!$B$47:$B$48)*AJ166</f>
        <v>47.149704000000007</v>
      </c>
      <c r="AL166" s="22">
        <f>LOOKUP(A166,'Over to underbark'!$A$47:$A$48,'Over to underbark'!C$47:C$48)*AJ166</f>
        <v>48.536459999999998</v>
      </c>
      <c r="AM166" s="22">
        <f t="shared" si="39"/>
        <v>185.82530400000002</v>
      </c>
      <c r="AN166" s="36">
        <v>442.44</v>
      </c>
      <c r="AO166" s="23">
        <f t="shared" si="40"/>
        <v>371.65060800000003</v>
      </c>
      <c r="AQ166">
        <f t="shared" si="41"/>
        <v>0.67164179104477606</v>
      </c>
    </row>
    <row r="167" spans="1:43" x14ac:dyDescent="0.35">
      <c r="A167" t="s">
        <v>41</v>
      </c>
      <c r="B167">
        <v>8</v>
      </c>
      <c r="C167">
        <v>2</v>
      </c>
      <c r="D167" t="s">
        <v>42</v>
      </c>
      <c r="E167">
        <v>2</v>
      </c>
      <c r="F167">
        <v>1</v>
      </c>
      <c r="G167" s="12">
        <v>53</v>
      </c>
      <c r="H167" s="12">
        <v>16.672000000000001</v>
      </c>
      <c r="I167" s="12">
        <v>1507</v>
      </c>
      <c r="J167" s="12">
        <v>20.302</v>
      </c>
      <c r="K167" s="12">
        <v>48.781999999999996</v>
      </c>
      <c r="L167" s="12">
        <v>0.22600000000000001</v>
      </c>
      <c r="M167" s="19">
        <v>340.26</v>
      </c>
      <c r="N167" s="12">
        <v>3.423</v>
      </c>
      <c r="O167" s="13">
        <v>6.42</v>
      </c>
      <c r="P167" s="14">
        <v>53</v>
      </c>
      <c r="Q167" s="14">
        <v>20.302</v>
      </c>
      <c r="R167" s="14">
        <v>187.607</v>
      </c>
      <c r="S167" s="14">
        <v>152.65299999999999</v>
      </c>
      <c r="T167" s="10" t="b">
        <f t="shared" si="42"/>
        <v>1</v>
      </c>
      <c r="U167" s="10" t="b">
        <f t="shared" si="43"/>
        <v>1</v>
      </c>
      <c r="V167" s="11">
        <f>VLOOKUP(IF(J167&lt;10, 10, IF(J167&gt;50,50,J167)),'Over to underbark'!$A$3:$C$43,IF(A167="Scots pine",3,IF(A167="Sitka spruce",2, "error")),TRUE)/100</f>
        <v>0.84</v>
      </c>
      <c r="W167">
        <f t="shared" si="28"/>
        <v>141.83089200000001</v>
      </c>
      <c r="X167">
        <f t="shared" si="29"/>
        <v>115.40566799999999</v>
      </c>
      <c r="Y167">
        <f t="shared" si="32"/>
        <v>48.997440000000005</v>
      </c>
      <c r="Z167">
        <f t="shared" si="33"/>
        <v>135.86011720020002</v>
      </c>
      <c r="AA167">
        <f t="shared" si="34"/>
        <v>40.100118120000005</v>
      </c>
      <c r="AB167">
        <f t="shared" si="35"/>
        <v>66.569835943800001</v>
      </c>
      <c r="AC167">
        <f t="shared" si="36"/>
        <v>63.703928735999995</v>
      </c>
      <c r="AD167">
        <f>LOOKUP($A167,'Over to underbark'!$A$47:$A$48,'Over to underbark'!E$47:E$48)*Z167</f>
        <v>57.061249224084008</v>
      </c>
      <c r="AE167">
        <f>LOOKUP($A167,'Over to underbark'!$A$47:$A$48,'Over to underbark'!E$47:E$48)*AA167</f>
        <v>16.8420496104</v>
      </c>
      <c r="AF167">
        <f>LOOKUP($A167,'Over to underbark'!$A$47:$A$48,'Over to underbark'!E$47:E$48)*AB167</f>
        <v>27.959331096395999</v>
      </c>
      <c r="AG167">
        <f>LOOKUP($A167,'Over to underbark'!$A$47:$A$48,'Over to underbark'!E$47:E$48)*AC167</f>
        <v>26.755650069119998</v>
      </c>
      <c r="AH167" t="b">
        <f t="shared" si="37"/>
        <v>1</v>
      </c>
      <c r="AI167" t="b">
        <f t="shared" si="38"/>
        <v>1</v>
      </c>
      <c r="AJ167">
        <f>LOOKUP(A167,'Over to underbark'!$A$47:$A$48,'Over to underbark'!E$47:E$48)*M167</f>
        <v>142.9092</v>
      </c>
      <c r="AK167" s="22">
        <f>LOOKUP(A167,'Over to underbark'!$A$47:$A$48,'Over to underbark'!$B$47:$B$48)*AJ167</f>
        <v>48.589128000000002</v>
      </c>
      <c r="AL167" s="22">
        <f>LOOKUP(A167,'Over to underbark'!$A$47:$A$48,'Over to underbark'!C$47:C$48)*AJ167</f>
        <v>50.018219999999999</v>
      </c>
      <c r="AM167" s="22">
        <f t="shared" si="39"/>
        <v>191.49832800000001</v>
      </c>
      <c r="AN167" s="36">
        <v>455.95</v>
      </c>
      <c r="AO167" s="23">
        <f t="shared" si="40"/>
        <v>382.99665600000003</v>
      </c>
      <c r="AQ167">
        <f t="shared" si="41"/>
        <v>0.67164179104477606</v>
      </c>
    </row>
    <row r="168" spans="1:43" x14ac:dyDescent="0.35">
      <c r="A168" t="s">
        <v>41</v>
      </c>
      <c r="B168">
        <v>8</v>
      </c>
      <c r="C168">
        <v>2</v>
      </c>
      <c r="D168" t="s">
        <v>42</v>
      </c>
      <c r="E168">
        <v>2</v>
      </c>
      <c r="F168">
        <v>1</v>
      </c>
      <c r="G168" s="12">
        <v>54</v>
      </c>
      <c r="H168" s="12">
        <v>16.908000000000001</v>
      </c>
      <c r="I168" s="12">
        <v>1484</v>
      </c>
      <c r="J168" s="12">
        <v>20.609000000000002</v>
      </c>
      <c r="K168" s="12">
        <v>49.505000000000003</v>
      </c>
      <c r="L168" s="12">
        <v>0.23599999999999999</v>
      </c>
      <c r="M168" s="19">
        <v>350.34</v>
      </c>
      <c r="N168" s="12">
        <v>3.6419999999999999</v>
      </c>
      <c r="O168" s="13">
        <v>6.4880000000000004</v>
      </c>
      <c r="P168" s="14">
        <v>54</v>
      </c>
      <c r="Q168" s="14">
        <v>20.609000000000002</v>
      </c>
      <c r="R168" s="14">
        <v>187.41499999999999</v>
      </c>
      <c r="S168" s="14">
        <v>162.92500000000001</v>
      </c>
      <c r="T168" s="10" t="b">
        <f t="shared" si="42"/>
        <v>1</v>
      </c>
      <c r="U168" s="10" t="b">
        <f t="shared" si="43"/>
        <v>1</v>
      </c>
      <c r="V168" s="11">
        <f>VLOOKUP(IF(J168&lt;10, 10, IF(J168&gt;50,50,J168)),'Over to underbark'!$A$3:$C$43,IF(A168="Scots pine",3,IF(A168="Sitka spruce",2, "error")),TRUE)/100</f>
        <v>0.84</v>
      </c>
      <c r="W168">
        <f t="shared" si="28"/>
        <v>141.68573999999998</v>
      </c>
      <c r="X168">
        <f t="shared" si="29"/>
        <v>123.17130000000002</v>
      </c>
      <c r="Y168">
        <f t="shared" si="32"/>
        <v>50.448960000000014</v>
      </c>
      <c r="Z168">
        <f t="shared" si="33"/>
        <v>139.018356189</v>
      </c>
      <c r="AA168">
        <f t="shared" si="34"/>
        <v>40.809911400000004</v>
      </c>
      <c r="AB168">
        <f t="shared" si="35"/>
        <v>67.487174810999988</v>
      </c>
      <c r="AC168">
        <f t="shared" si="36"/>
        <v>67.990557600000002</v>
      </c>
      <c r="AD168">
        <f>LOOKUP($A168,'Over to underbark'!$A$47:$A$48,'Over to underbark'!E$47:E$48)*Z168</f>
        <v>58.387709599379995</v>
      </c>
      <c r="AE168">
        <f>LOOKUP($A168,'Over to underbark'!$A$47:$A$48,'Over to underbark'!E$47:E$48)*AA168</f>
        <v>17.140162788000001</v>
      </c>
      <c r="AF168">
        <f>LOOKUP($A168,'Over to underbark'!$A$47:$A$48,'Over to underbark'!E$47:E$48)*AB168</f>
        <v>28.344613420619993</v>
      </c>
      <c r="AG168">
        <f>LOOKUP($A168,'Over to underbark'!$A$47:$A$48,'Over to underbark'!E$47:E$48)*AC168</f>
        <v>28.556034191999998</v>
      </c>
      <c r="AH168" t="b">
        <f t="shared" si="37"/>
        <v>1</v>
      </c>
      <c r="AI168" t="b">
        <f t="shared" si="38"/>
        <v>1</v>
      </c>
      <c r="AJ168">
        <f>LOOKUP(A168,'Over to underbark'!$A$47:$A$48,'Over to underbark'!E$47:E$48)*M168</f>
        <v>147.14279999999999</v>
      </c>
      <c r="AK168" s="22">
        <f>LOOKUP(A168,'Over to underbark'!$A$47:$A$48,'Over to underbark'!$B$47:$B$48)*AJ168</f>
        <v>50.028552000000005</v>
      </c>
      <c r="AL168" s="22">
        <f>LOOKUP(A168,'Over to underbark'!$A$47:$A$48,'Over to underbark'!C$47:C$48)*AJ168</f>
        <v>51.499979999999994</v>
      </c>
      <c r="AM168" s="22">
        <f t="shared" si="39"/>
        <v>197.17135200000001</v>
      </c>
      <c r="AN168" s="36">
        <v>469.46</v>
      </c>
      <c r="AO168" s="23">
        <f t="shared" si="40"/>
        <v>394.34270400000003</v>
      </c>
      <c r="AQ168">
        <f t="shared" si="41"/>
        <v>0.67164179104477606</v>
      </c>
    </row>
    <row r="169" spans="1:43" x14ac:dyDescent="0.35">
      <c r="A169" t="s">
        <v>41</v>
      </c>
      <c r="B169">
        <v>8</v>
      </c>
      <c r="C169">
        <v>2</v>
      </c>
      <c r="D169" t="s">
        <v>42</v>
      </c>
      <c r="E169">
        <v>2</v>
      </c>
      <c r="F169">
        <v>1</v>
      </c>
      <c r="G169" s="12">
        <v>55</v>
      </c>
      <c r="H169" s="12">
        <v>17.143999999999998</v>
      </c>
      <c r="I169" s="12">
        <v>1461</v>
      </c>
      <c r="J169" s="12">
        <v>20.922000000000001</v>
      </c>
      <c r="K169" s="12">
        <v>50.228999999999999</v>
      </c>
      <c r="L169" s="12">
        <v>0.247</v>
      </c>
      <c r="M169" s="19">
        <v>360.42</v>
      </c>
      <c r="N169" s="12">
        <v>3.847</v>
      </c>
      <c r="O169" s="13">
        <v>6.5529999999999999</v>
      </c>
      <c r="P169" s="14">
        <v>55</v>
      </c>
      <c r="Q169" s="14">
        <v>20.922000000000001</v>
      </c>
      <c r="R169" s="14">
        <v>186.886</v>
      </c>
      <c r="S169" s="14">
        <v>173.53399999999999</v>
      </c>
      <c r="T169" s="10" t="b">
        <f t="shared" si="42"/>
        <v>1</v>
      </c>
      <c r="U169" s="10" t="b">
        <f t="shared" si="43"/>
        <v>1</v>
      </c>
      <c r="V169" s="11">
        <f>VLOOKUP(IF(J169&lt;10, 10, IF(J169&gt;50,50,J169)),'Over to underbark'!$A$3:$C$43,IF(A169="Scots pine",3,IF(A169="Sitka spruce",2, "error")),TRUE)/100</f>
        <v>0.84</v>
      </c>
      <c r="W169">
        <f t="shared" si="28"/>
        <v>141.28581599999998</v>
      </c>
      <c r="X169">
        <f t="shared" si="29"/>
        <v>131.19170399999999</v>
      </c>
      <c r="Y169">
        <f t="shared" si="32"/>
        <v>51.900480000000009</v>
      </c>
      <c r="Z169">
        <f t="shared" si="33"/>
        <v>142.12580637960002</v>
      </c>
      <c r="AA169">
        <f t="shared" si="34"/>
        <v>41.491679760000004</v>
      </c>
      <c r="AB169">
        <f t="shared" si="35"/>
        <v>68.342693252399997</v>
      </c>
      <c r="AC169">
        <f t="shared" si="36"/>
        <v>72.417820608</v>
      </c>
      <c r="AD169">
        <f>LOOKUP($A169,'Over to underbark'!$A$47:$A$48,'Over to underbark'!E$47:E$48)*Z169</f>
        <v>59.692838679432008</v>
      </c>
      <c r="AE169">
        <f>LOOKUP($A169,'Over to underbark'!$A$47:$A$48,'Over to underbark'!E$47:E$48)*AA169</f>
        <v>17.426505499200001</v>
      </c>
      <c r="AF169">
        <f>LOOKUP($A169,'Over to underbark'!$A$47:$A$48,'Over to underbark'!E$47:E$48)*AB169</f>
        <v>28.703931166007997</v>
      </c>
      <c r="AG169">
        <f>LOOKUP($A169,'Over to underbark'!$A$47:$A$48,'Over to underbark'!E$47:E$48)*AC169</f>
        <v>30.41548465536</v>
      </c>
      <c r="AH169" t="b">
        <f t="shared" si="37"/>
        <v>1</v>
      </c>
      <c r="AI169" t="b">
        <f t="shared" si="38"/>
        <v>1</v>
      </c>
      <c r="AJ169">
        <f>LOOKUP(A169,'Over to underbark'!$A$47:$A$48,'Over to underbark'!E$47:E$48)*M169</f>
        <v>151.37639999999999</v>
      </c>
      <c r="AK169" s="22">
        <f>LOOKUP(A169,'Over to underbark'!$A$47:$A$48,'Over to underbark'!$B$47:$B$48)*AJ169</f>
        <v>51.467976</v>
      </c>
      <c r="AL169" s="22">
        <f>LOOKUP(A169,'Over to underbark'!$A$47:$A$48,'Over to underbark'!C$47:C$48)*AJ169</f>
        <v>52.981739999999995</v>
      </c>
      <c r="AM169" s="22">
        <f t="shared" si="39"/>
        <v>202.84437599999998</v>
      </c>
      <c r="AN169" s="36">
        <v>482.96</v>
      </c>
      <c r="AO169" s="23">
        <f t="shared" si="40"/>
        <v>405.68875199999997</v>
      </c>
      <c r="AQ169">
        <f t="shared" si="41"/>
        <v>0.67164179104477606</v>
      </c>
    </row>
    <row r="170" spans="1:43" x14ac:dyDescent="0.35">
      <c r="A170" t="s">
        <v>41</v>
      </c>
      <c r="B170">
        <v>8</v>
      </c>
      <c r="C170">
        <v>2</v>
      </c>
      <c r="D170" t="s">
        <v>42</v>
      </c>
      <c r="E170">
        <v>2</v>
      </c>
      <c r="F170">
        <v>1</v>
      </c>
      <c r="G170" s="12">
        <v>56</v>
      </c>
      <c r="H170" s="12">
        <v>17.38</v>
      </c>
      <c r="I170" s="12">
        <v>1438</v>
      </c>
      <c r="J170" s="12">
        <v>21.24</v>
      </c>
      <c r="K170" s="12">
        <v>50.951999999999998</v>
      </c>
      <c r="L170" s="12">
        <v>0.25800000000000001</v>
      </c>
      <c r="M170" s="19">
        <v>370.5</v>
      </c>
      <c r="N170" s="12">
        <v>4.04</v>
      </c>
      <c r="O170" s="13">
        <v>6.6159999999999997</v>
      </c>
      <c r="P170" s="14">
        <v>56</v>
      </c>
      <c r="Q170" s="14">
        <v>21.24</v>
      </c>
      <c r="R170" s="14">
        <v>186.05</v>
      </c>
      <c r="S170" s="14">
        <v>184.45</v>
      </c>
      <c r="T170" s="10" t="b">
        <f t="shared" si="42"/>
        <v>1</v>
      </c>
      <c r="U170" s="10" t="b">
        <f t="shared" si="43"/>
        <v>1</v>
      </c>
      <c r="V170" s="11">
        <f>VLOOKUP(IF(J170&lt;10, 10, IF(J170&gt;50,50,J170)),'Over to underbark'!$A$3:$C$43,IF(A170="Scots pine",3,IF(A170="Sitka spruce",2, "error")),TRUE)/100</f>
        <v>0.84</v>
      </c>
      <c r="W170">
        <f t="shared" si="28"/>
        <v>140.65380000000002</v>
      </c>
      <c r="X170">
        <f t="shared" si="29"/>
        <v>139.4442</v>
      </c>
      <c r="Y170">
        <f t="shared" si="32"/>
        <v>53.352000000000011</v>
      </c>
      <c r="Z170">
        <f t="shared" si="33"/>
        <v>145.18698903000001</v>
      </c>
      <c r="AA170">
        <f t="shared" si="34"/>
        <v>42.147918000000004</v>
      </c>
      <c r="AB170">
        <f t="shared" si="35"/>
        <v>69.141894570000005</v>
      </c>
      <c r="AC170">
        <f t="shared" si="36"/>
        <v>76.973198400000001</v>
      </c>
      <c r="AD170">
        <f>LOOKUP($A170,'Over to underbark'!$A$47:$A$48,'Over to underbark'!E$47:E$48)*Z170</f>
        <v>60.978535392600001</v>
      </c>
      <c r="AE170">
        <f>LOOKUP($A170,'Over to underbark'!$A$47:$A$48,'Over to underbark'!E$47:E$48)*AA170</f>
        <v>17.702125560000002</v>
      </c>
      <c r="AF170">
        <f>LOOKUP($A170,'Over to underbark'!$A$47:$A$48,'Over to underbark'!E$47:E$48)*AB170</f>
        <v>29.039595719400001</v>
      </c>
      <c r="AG170">
        <f>LOOKUP($A170,'Over to underbark'!$A$47:$A$48,'Over to underbark'!E$47:E$48)*AC170</f>
        <v>32.328743328000002</v>
      </c>
      <c r="AH170" t="b">
        <f t="shared" si="37"/>
        <v>1</v>
      </c>
      <c r="AI170" t="b">
        <f t="shared" si="38"/>
        <v>1</v>
      </c>
      <c r="AJ170">
        <f>LOOKUP(A170,'Over to underbark'!$A$47:$A$48,'Over to underbark'!E$47:E$48)*M170</f>
        <v>155.60999999999999</v>
      </c>
      <c r="AK170" s="22">
        <f>LOOKUP(A170,'Over to underbark'!$A$47:$A$48,'Over to underbark'!$B$47:$B$48)*AJ170</f>
        <v>52.907399999999996</v>
      </c>
      <c r="AL170" s="22">
        <f>LOOKUP(A170,'Over to underbark'!$A$47:$A$48,'Over to underbark'!C$47:C$48)*AJ170</f>
        <v>54.463499999999989</v>
      </c>
      <c r="AM170" s="22">
        <f t="shared" si="39"/>
        <v>208.51739999999998</v>
      </c>
      <c r="AN170" s="36">
        <v>496.47</v>
      </c>
      <c r="AO170" s="23">
        <f t="shared" si="40"/>
        <v>417.03479999999996</v>
      </c>
      <c r="AQ170">
        <f t="shared" si="41"/>
        <v>0.67164179104477617</v>
      </c>
    </row>
    <row r="171" spans="1:43" x14ac:dyDescent="0.35">
      <c r="A171" t="s">
        <v>41</v>
      </c>
      <c r="B171">
        <v>8</v>
      </c>
      <c r="C171">
        <v>2</v>
      </c>
      <c r="D171" t="s">
        <v>42</v>
      </c>
      <c r="E171">
        <v>2</v>
      </c>
      <c r="F171">
        <v>1</v>
      </c>
      <c r="G171" s="12">
        <v>57</v>
      </c>
      <c r="H171" s="12">
        <v>17.596</v>
      </c>
      <c r="I171" s="12">
        <v>1417</v>
      </c>
      <c r="J171" s="12">
        <v>21.527999999999999</v>
      </c>
      <c r="K171" s="12">
        <v>51.578000000000003</v>
      </c>
      <c r="L171" s="12">
        <v>0.26800000000000002</v>
      </c>
      <c r="M171" s="19">
        <v>379.84</v>
      </c>
      <c r="N171" s="12">
        <v>4.3220000000000001</v>
      </c>
      <c r="O171" s="13">
        <v>6.6639999999999997</v>
      </c>
      <c r="P171" s="14">
        <v>57</v>
      </c>
      <c r="Q171" s="14">
        <v>21.527999999999999</v>
      </c>
      <c r="R171" s="14">
        <v>185.22</v>
      </c>
      <c r="S171" s="14">
        <v>194.62</v>
      </c>
      <c r="T171" s="10" t="b">
        <f t="shared" si="42"/>
        <v>1</v>
      </c>
      <c r="U171" s="10" t="b">
        <f t="shared" si="43"/>
        <v>1</v>
      </c>
      <c r="V171" s="11">
        <f>VLOOKUP(IF(J171&lt;10, 10, IF(J171&gt;50,50,J171)),'Over to underbark'!$A$3:$C$43,IF(A171="Scots pine",3,IF(A171="Sitka spruce",2, "error")),TRUE)/100</f>
        <v>0.84</v>
      </c>
      <c r="W171">
        <f t="shared" si="28"/>
        <v>140.02632</v>
      </c>
      <c r="X171">
        <f t="shared" si="29"/>
        <v>147.13272000000001</v>
      </c>
      <c r="Y171">
        <f t="shared" si="32"/>
        <v>54.696960000000018</v>
      </c>
      <c r="Z171">
        <f t="shared" si="33"/>
        <v>148.01509681200002</v>
      </c>
      <c r="AA171">
        <f t="shared" si="34"/>
        <v>42.751375200000012</v>
      </c>
      <c r="AB171">
        <f t="shared" si="35"/>
        <v>69.872266547999999</v>
      </c>
      <c r="AC171">
        <f t="shared" si="36"/>
        <v>81.217261440000016</v>
      </c>
      <c r="AD171">
        <f>LOOKUP($A171,'Over to underbark'!$A$47:$A$48,'Over to underbark'!E$47:E$48)*Z171</f>
        <v>62.16634066104001</v>
      </c>
      <c r="AE171">
        <f>LOOKUP($A171,'Over to underbark'!$A$47:$A$48,'Over to underbark'!E$47:E$48)*AA171</f>
        <v>17.955577584000004</v>
      </c>
      <c r="AF171">
        <f>LOOKUP($A171,'Over to underbark'!$A$47:$A$48,'Over to underbark'!E$47:E$48)*AB171</f>
        <v>29.346351950159999</v>
      </c>
      <c r="AG171">
        <f>LOOKUP($A171,'Over to underbark'!$A$47:$A$48,'Over to underbark'!E$47:E$48)*AC171</f>
        <v>34.111249804800003</v>
      </c>
      <c r="AH171" t="b">
        <f t="shared" si="37"/>
        <v>1</v>
      </c>
      <c r="AI171" t="b">
        <f t="shared" si="38"/>
        <v>1</v>
      </c>
      <c r="AJ171">
        <f>LOOKUP(A171,'Over to underbark'!$A$47:$A$48,'Over to underbark'!E$47:E$48)*M171</f>
        <v>159.53279999999998</v>
      </c>
      <c r="AK171" s="22">
        <f>LOOKUP(A171,'Over to underbark'!$A$47:$A$48,'Over to underbark'!$B$47:$B$48)*AJ171</f>
        <v>54.241152</v>
      </c>
      <c r="AL171" s="22">
        <f>LOOKUP(A171,'Over to underbark'!$A$47:$A$48,'Over to underbark'!C$47:C$48)*AJ171</f>
        <v>55.836479999999987</v>
      </c>
      <c r="AM171" s="22">
        <f t="shared" si="39"/>
        <v>213.77395199999998</v>
      </c>
      <c r="AN171" s="36">
        <v>508.99</v>
      </c>
      <c r="AO171" s="23">
        <f t="shared" si="40"/>
        <v>427.54790399999996</v>
      </c>
      <c r="AQ171">
        <f t="shared" si="41"/>
        <v>0.67164179104477617</v>
      </c>
    </row>
    <row r="172" spans="1:43" x14ac:dyDescent="0.35">
      <c r="A172" t="s">
        <v>41</v>
      </c>
      <c r="B172">
        <v>8</v>
      </c>
      <c r="C172">
        <v>2</v>
      </c>
      <c r="D172" t="s">
        <v>42</v>
      </c>
      <c r="E172">
        <v>2</v>
      </c>
      <c r="F172">
        <v>1</v>
      </c>
      <c r="G172" s="12">
        <v>58</v>
      </c>
      <c r="H172" s="12">
        <v>17.812000000000001</v>
      </c>
      <c r="I172" s="12">
        <v>1396</v>
      </c>
      <c r="J172" s="12">
        <v>21.821000000000002</v>
      </c>
      <c r="K172" s="12">
        <v>52.204000000000001</v>
      </c>
      <c r="L172" s="12">
        <v>0.27900000000000003</v>
      </c>
      <c r="M172" s="19">
        <v>389.18</v>
      </c>
      <c r="N172" s="12">
        <v>4.5890000000000004</v>
      </c>
      <c r="O172" s="13">
        <v>6.71</v>
      </c>
      <c r="P172" s="14">
        <v>58</v>
      </c>
      <c r="Q172" s="14">
        <v>21.821000000000002</v>
      </c>
      <c r="R172" s="14">
        <v>184.13300000000001</v>
      </c>
      <c r="S172" s="14">
        <v>205.047</v>
      </c>
      <c r="T172" s="10" t="b">
        <f t="shared" si="42"/>
        <v>1</v>
      </c>
      <c r="U172" s="10" t="b">
        <f t="shared" si="43"/>
        <v>1</v>
      </c>
      <c r="V172" s="11">
        <f>VLOOKUP(IF(J172&lt;10, 10, IF(J172&gt;50,50,J172)),'Over to underbark'!$A$3:$C$43,IF(A172="Scots pine",3,IF(A172="Sitka spruce",2, "error")),TRUE)/100</f>
        <v>0.84</v>
      </c>
      <c r="W172">
        <f t="shared" si="28"/>
        <v>139.20454800000002</v>
      </c>
      <c r="X172">
        <f t="shared" si="29"/>
        <v>155.01553200000001</v>
      </c>
      <c r="Y172">
        <f t="shared" si="32"/>
        <v>56.041920000000012</v>
      </c>
      <c r="Z172">
        <f t="shared" si="33"/>
        <v>150.8044724838</v>
      </c>
      <c r="AA172">
        <f t="shared" si="34"/>
        <v>43.333460280000011</v>
      </c>
      <c r="AB172">
        <f t="shared" si="35"/>
        <v>70.555493572200007</v>
      </c>
      <c r="AC172">
        <f t="shared" si="36"/>
        <v>85.568573664000013</v>
      </c>
      <c r="AD172">
        <f>LOOKUP($A172,'Over to underbark'!$A$47:$A$48,'Over to underbark'!E$47:E$48)*Z172</f>
        <v>63.337878443195997</v>
      </c>
      <c r="AE172">
        <f>LOOKUP($A172,'Over to underbark'!$A$47:$A$48,'Over to underbark'!E$47:E$48)*AA172</f>
        <v>18.200053317600005</v>
      </c>
      <c r="AF172">
        <f>LOOKUP($A172,'Over to underbark'!$A$47:$A$48,'Over to underbark'!E$47:E$48)*AB172</f>
        <v>29.633307300324002</v>
      </c>
      <c r="AG172">
        <f>LOOKUP($A172,'Over to underbark'!$A$47:$A$48,'Over to underbark'!E$47:E$48)*AC172</f>
        <v>35.938800938880007</v>
      </c>
      <c r="AH172" t="b">
        <f t="shared" si="37"/>
        <v>1</v>
      </c>
      <c r="AI172" t="b">
        <f t="shared" si="38"/>
        <v>1</v>
      </c>
      <c r="AJ172">
        <f>LOOKUP(A172,'Over to underbark'!$A$47:$A$48,'Over to underbark'!E$47:E$48)*M172</f>
        <v>163.4556</v>
      </c>
      <c r="AK172" s="22">
        <f>LOOKUP(A172,'Over to underbark'!$A$47:$A$48,'Over to underbark'!$B$47:$B$48)*AJ172</f>
        <v>55.574904000000004</v>
      </c>
      <c r="AL172" s="22">
        <f>LOOKUP(A172,'Over to underbark'!$A$47:$A$48,'Over to underbark'!C$47:C$48)*AJ172</f>
        <v>57.20946</v>
      </c>
      <c r="AM172" s="22">
        <f t="shared" si="39"/>
        <v>219.03050400000001</v>
      </c>
      <c r="AN172" s="36">
        <v>521.5</v>
      </c>
      <c r="AO172" s="23">
        <f t="shared" si="40"/>
        <v>438.06100800000002</v>
      </c>
      <c r="AQ172">
        <f t="shared" si="41"/>
        <v>0.67164179104477617</v>
      </c>
    </row>
    <row r="173" spans="1:43" x14ac:dyDescent="0.35">
      <c r="A173" t="s">
        <v>41</v>
      </c>
      <c r="B173">
        <v>8</v>
      </c>
      <c r="C173">
        <v>2</v>
      </c>
      <c r="D173" t="s">
        <v>42</v>
      </c>
      <c r="E173">
        <v>2</v>
      </c>
      <c r="F173">
        <v>1</v>
      </c>
      <c r="G173" s="12">
        <v>59</v>
      </c>
      <c r="H173" s="12">
        <v>18.027999999999999</v>
      </c>
      <c r="I173" s="12">
        <v>1375</v>
      </c>
      <c r="J173" s="12">
        <v>22.117999999999999</v>
      </c>
      <c r="K173" s="12">
        <v>52.831000000000003</v>
      </c>
      <c r="L173" s="12">
        <v>0.28999999999999998</v>
      </c>
      <c r="M173" s="19">
        <v>398.52</v>
      </c>
      <c r="N173" s="12">
        <v>4.8419999999999996</v>
      </c>
      <c r="O173" s="13">
        <v>6.7549999999999999</v>
      </c>
      <c r="P173" s="14">
        <v>59</v>
      </c>
      <c r="Q173" s="14">
        <v>22.117999999999999</v>
      </c>
      <c r="R173" s="14">
        <v>182.816</v>
      </c>
      <c r="S173" s="14">
        <v>215.70400000000001</v>
      </c>
      <c r="T173" s="10" t="b">
        <f t="shared" si="42"/>
        <v>1</v>
      </c>
      <c r="U173" s="10" t="b">
        <f t="shared" si="43"/>
        <v>1</v>
      </c>
      <c r="V173" s="11">
        <f>VLOOKUP(IF(J173&lt;10, 10, IF(J173&gt;50,50,J173)),'Over to underbark'!$A$3:$C$43,IF(A173="Scots pine",3,IF(A173="Sitka spruce",2, "error")),TRUE)/100</f>
        <v>0.84</v>
      </c>
      <c r="W173">
        <f t="shared" si="28"/>
        <v>138.20889600000001</v>
      </c>
      <c r="X173">
        <f t="shared" si="29"/>
        <v>163.07222400000001</v>
      </c>
      <c r="Y173">
        <f t="shared" si="32"/>
        <v>57.386880000000012</v>
      </c>
      <c r="Z173">
        <f t="shared" si="33"/>
        <v>153.5591851776</v>
      </c>
      <c r="AA173">
        <f t="shared" si="34"/>
        <v>43.896418560000008</v>
      </c>
      <c r="AB173">
        <f t="shared" si="35"/>
        <v>71.196528614399995</v>
      </c>
      <c r="AC173">
        <f t="shared" si="36"/>
        <v>90.015867648000011</v>
      </c>
      <c r="AD173">
        <f>LOOKUP($A173,'Over to underbark'!$A$47:$A$48,'Over to underbark'!E$47:E$48)*Z173</f>
        <v>64.494857774591992</v>
      </c>
      <c r="AE173">
        <f>LOOKUP($A173,'Over to underbark'!$A$47:$A$48,'Over to underbark'!E$47:E$48)*AA173</f>
        <v>18.436495795200003</v>
      </c>
      <c r="AF173">
        <f>LOOKUP($A173,'Over to underbark'!$A$47:$A$48,'Over to underbark'!E$47:E$48)*AB173</f>
        <v>29.902542018047995</v>
      </c>
      <c r="AG173">
        <f>LOOKUP($A173,'Over to underbark'!$A$47:$A$48,'Over to underbark'!E$47:E$48)*AC173</f>
        <v>37.806664412160004</v>
      </c>
      <c r="AH173" t="b">
        <f t="shared" si="37"/>
        <v>1</v>
      </c>
      <c r="AI173" t="b">
        <f t="shared" si="38"/>
        <v>1</v>
      </c>
      <c r="AJ173">
        <f>LOOKUP(A173,'Over to underbark'!$A$47:$A$48,'Over to underbark'!E$47:E$48)*M173</f>
        <v>167.3784</v>
      </c>
      <c r="AK173" s="22">
        <f>LOOKUP(A173,'Over to underbark'!$A$47:$A$48,'Over to underbark'!$B$47:$B$48)*AJ173</f>
        <v>56.908656000000001</v>
      </c>
      <c r="AL173" s="22">
        <f>LOOKUP(A173,'Over to underbark'!$A$47:$A$48,'Over to underbark'!C$47:C$48)*AJ173</f>
        <v>58.582439999999998</v>
      </c>
      <c r="AM173" s="22">
        <f t="shared" si="39"/>
        <v>224.28705600000001</v>
      </c>
      <c r="AN173" s="36">
        <v>534.02</v>
      </c>
      <c r="AO173" s="23">
        <f t="shared" si="40"/>
        <v>448.57411200000001</v>
      </c>
      <c r="AQ173">
        <f t="shared" si="41"/>
        <v>0.67164179104477606</v>
      </c>
    </row>
    <row r="174" spans="1:43" x14ac:dyDescent="0.35">
      <c r="A174" t="s">
        <v>41</v>
      </c>
      <c r="B174">
        <v>8</v>
      </c>
      <c r="C174">
        <v>2</v>
      </c>
      <c r="D174" t="s">
        <v>42</v>
      </c>
      <c r="E174">
        <v>2</v>
      </c>
      <c r="F174">
        <v>1</v>
      </c>
      <c r="G174" s="12">
        <v>60</v>
      </c>
      <c r="H174" s="12">
        <v>18.244</v>
      </c>
      <c r="I174" s="12">
        <v>1354</v>
      </c>
      <c r="J174" s="12">
        <v>22.420999999999999</v>
      </c>
      <c r="K174" s="12">
        <v>53.457000000000001</v>
      </c>
      <c r="L174" s="12">
        <v>0.30099999999999999</v>
      </c>
      <c r="M174" s="19">
        <v>407.86</v>
      </c>
      <c r="N174" s="12">
        <v>5.0830000000000002</v>
      </c>
      <c r="O174" s="13">
        <v>6.798</v>
      </c>
      <c r="P174" s="14">
        <v>60</v>
      </c>
      <c r="Q174" s="14">
        <v>22.420999999999999</v>
      </c>
      <c r="R174" s="14">
        <v>181.24</v>
      </c>
      <c r="S174" s="14">
        <v>226.62</v>
      </c>
      <c r="T174" s="10" t="b">
        <f t="shared" si="42"/>
        <v>1</v>
      </c>
      <c r="U174" s="10" t="b">
        <f t="shared" si="43"/>
        <v>1</v>
      </c>
      <c r="V174" s="11">
        <f>VLOOKUP(IF(J174&lt;10, 10, IF(J174&gt;50,50,J174)),'Over to underbark'!$A$3:$C$43,IF(A174="Scots pine",3,IF(A174="Sitka spruce",2, "error")),TRUE)/100</f>
        <v>0.84</v>
      </c>
      <c r="W174">
        <f t="shared" si="28"/>
        <v>137.01743999999999</v>
      </c>
      <c r="X174">
        <f t="shared" si="29"/>
        <v>171.32471999999999</v>
      </c>
      <c r="Y174">
        <f t="shared" si="32"/>
        <v>58.731840000000012</v>
      </c>
      <c r="Z174">
        <f t="shared" si="33"/>
        <v>156.27486434400001</v>
      </c>
      <c r="AA174">
        <f t="shared" si="34"/>
        <v>44.437838400000004</v>
      </c>
      <c r="AB174">
        <f t="shared" si="35"/>
        <v>71.790051816000002</v>
      </c>
      <c r="AC174">
        <f t="shared" si="36"/>
        <v>94.571245439999984</v>
      </c>
      <c r="AD174">
        <f>LOOKUP($A174,'Over to underbark'!$A$47:$A$48,'Over to underbark'!E$47:E$48)*Z174</f>
        <v>65.635443024479997</v>
      </c>
      <c r="AE174">
        <f>LOOKUP($A174,'Over to underbark'!$A$47:$A$48,'Over to underbark'!E$47:E$48)*AA174</f>
        <v>18.663892128000001</v>
      </c>
      <c r="AF174">
        <f>LOOKUP($A174,'Over to underbark'!$A$47:$A$48,'Over to underbark'!E$47:E$48)*AB174</f>
        <v>30.151821762720001</v>
      </c>
      <c r="AG174">
        <f>LOOKUP($A174,'Over to underbark'!$A$47:$A$48,'Over to underbark'!E$47:E$48)*AC174</f>
        <v>39.719923084799994</v>
      </c>
      <c r="AH174" t="b">
        <f t="shared" si="37"/>
        <v>1</v>
      </c>
      <c r="AI174" t="b">
        <f t="shared" si="38"/>
        <v>1</v>
      </c>
      <c r="AJ174">
        <f>LOOKUP(A174,'Over to underbark'!$A$47:$A$48,'Over to underbark'!E$47:E$48)*M174</f>
        <v>171.30119999999999</v>
      </c>
      <c r="AK174" s="22">
        <f>LOOKUP(A174,'Over to underbark'!$A$47:$A$48,'Over to underbark'!$B$47:$B$48)*AJ174</f>
        <v>58.242408000000005</v>
      </c>
      <c r="AL174" s="22">
        <f>LOOKUP(A174,'Over to underbark'!$A$47:$A$48,'Over to underbark'!C$47:C$48)*AJ174</f>
        <v>59.955419999999997</v>
      </c>
      <c r="AM174" s="22">
        <f t="shared" si="39"/>
        <v>229.54360800000001</v>
      </c>
      <c r="AN174" s="36">
        <v>546.53</v>
      </c>
      <c r="AO174" s="23">
        <f t="shared" si="40"/>
        <v>459.08721600000001</v>
      </c>
      <c r="AQ174">
        <f t="shared" si="41"/>
        <v>0.67164179104477606</v>
      </c>
    </row>
    <row r="175" spans="1:43" x14ac:dyDescent="0.35">
      <c r="A175" t="s">
        <v>41</v>
      </c>
      <c r="B175">
        <v>8</v>
      </c>
      <c r="C175">
        <v>2</v>
      </c>
      <c r="D175" t="s">
        <v>42</v>
      </c>
      <c r="E175">
        <v>2</v>
      </c>
      <c r="F175">
        <v>1</v>
      </c>
      <c r="G175" s="12">
        <v>61</v>
      </c>
      <c r="H175" s="12">
        <v>18.46</v>
      </c>
      <c r="I175" s="12">
        <v>1334</v>
      </c>
      <c r="J175" s="12">
        <v>22.72</v>
      </c>
      <c r="K175" s="12">
        <v>54.082999999999998</v>
      </c>
      <c r="L175" s="12">
        <v>0.313</v>
      </c>
      <c r="M175" s="19">
        <v>417.2</v>
      </c>
      <c r="N175" s="12">
        <v>5.3109999999999999</v>
      </c>
      <c r="O175" s="13">
        <v>6.8390000000000004</v>
      </c>
      <c r="P175" s="14">
        <v>61</v>
      </c>
      <c r="Q175" s="14">
        <v>22.72</v>
      </c>
      <c r="R175" s="14">
        <v>179.607</v>
      </c>
      <c r="S175" s="14">
        <v>237.59299999999999</v>
      </c>
      <c r="T175" s="10" t="b">
        <f t="shared" si="42"/>
        <v>1</v>
      </c>
      <c r="U175" s="10" t="b">
        <f t="shared" si="43"/>
        <v>1</v>
      </c>
      <c r="V175" s="11">
        <f>VLOOKUP(IF(J175&lt;10, 10, IF(J175&gt;50,50,J175)),'Over to underbark'!$A$3:$C$43,IF(A175="Scots pine",3,IF(A175="Sitka spruce",2, "error")),TRUE)/100</f>
        <v>0.84</v>
      </c>
      <c r="W175">
        <f t="shared" si="28"/>
        <v>135.782892</v>
      </c>
      <c r="X175">
        <f t="shared" si="29"/>
        <v>179.62030799999999</v>
      </c>
      <c r="Y175">
        <f t="shared" si="32"/>
        <v>60.076800000000013</v>
      </c>
      <c r="Z175">
        <f t="shared" si="33"/>
        <v>158.98195312019999</v>
      </c>
      <c r="AA175">
        <f t="shared" si="34"/>
        <v>44.974518120000006</v>
      </c>
      <c r="AB175">
        <f t="shared" si="35"/>
        <v>72.373118743799992</v>
      </c>
      <c r="AC175">
        <f t="shared" si="36"/>
        <v>99.150410015999995</v>
      </c>
      <c r="AD175">
        <f>LOOKUP($A175,'Over to underbark'!$A$47:$A$48,'Over to underbark'!E$47:E$48)*Z175</f>
        <v>66.772420310483994</v>
      </c>
      <c r="AE175">
        <f>LOOKUP($A175,'Over to underbark'!$A$47:$A$48,'Over to underbark'!E$47:E$48)*AA175</f>
        <v>18.889297610400003</v>
      </c>
      <c r="AF175">
        <f>LOOKUP($A175,'Over to underbark'!$A$47:$A$48,'Over to underbark'!E$47:E$48)*AB175</f>
        <v>30.396709872395995</v>
      </c>
      <c r="AG175">
        <f>LOOKUP($A175,'Over to underbark'!$A$47:$A$48,'Over to underbark'!E$47:E$48)*AC175</f>
        <v>41.643172206719996</v>
      </c>
      <c r="AH175" t="b">
        <f t="shared" si="37"/>
        <v>1</v>
      </c>
      <c r="AI175" t="b">
        <f t="shared" si="38"/>
        <v>1</v>
      </c>
      <c r="AJ175">
        <f>LOOKUP(A175,'Over to underbark'!$A$47:$A$48,'Over to underbark'!E$47:E$48)*M175</f>
        <v>175.22399999999999</v>
      </c>
      <c r="AK175" s="22">
        <f>LOOKUP(A175,'Over to underbark'!$A$47:$A$48,'Over to underbark'!$B$47:$B$48)*AJ175</f>
        <v>59.576160000000002</v>
      </c>
      <c r="AL175" s="22">
        <f>LOOKUP(A175,'Over to underbark'!$A$47:$A$48,'Over to underbark'!C$47:C$48)*AJ175</f>
        <v>61.328399999999995</v>
      </c>
      <c r="AM175" s="22">
        <f t="shared" si="39"/>
        <v>234.80016000000001</v>
      </c>
      <c r="AN175" s="36">
        <v>559.04999999999995</v>
      </c>
      <c r="AO175" s="23">
        <f t="shared" si="40"/>
        <v>469.60032000000001</v>
      </c>
      <c r="AQ175">
        <f t="shared" si="41"/>
        <v>0.67164179104477606</v>
      </c>
    </row>
    <row r="176" spans="1:43" x14ac:dyDescent="0.35">
      <c r="A176" t="s">
        <v>41</v>
      </c>
      <c r="B176">
        <v>8</v>
      </c>
      <c r="C176">
        <v>2</v>
      </c>
      <c r="D176" t="s">
        <v>42</v>
      </c>
      <c r="E176">
        <v>2</v>
      </c>
      <c r="F176">
        <v>1</v>
      </c>
      <c r="G176" s="12">
        <v>62</v>
      </c>
      <c r="H176" s="12">
        <v>18.652000000000001</v>
      </c>
      <c r="I176" s="12">
        <v>1315</v>
      </c>
      <c r="J176" s="12">
        <v>22.998000000000001</v>
      </c>
      <c r="K176" s="12">
        <v>54.625999999999998</v>
      </c>
      <c r="L176" s="12">
        <v>0.32400000000000001</v>
      </c>
      <c r="M176" s="19">
        <v>425.66</v>
      </c>
      <c r="N176" s="12">
        <v>5.6059999999999999</v>
      </c>
      <c r="O176" s="13">
        <v>6.8650000000000002</v>
      </c>
      <c r="P176" s="14">
        <v>62</v>
      </c>
      <c r="Q176" s="14">
        <v>22.998000000000001</v>
      </c>
      <c r="R176" s="14">
        <v>177.88300000000001</v>
      </c>
      <c r="S176" s="14">
        <v>247.77699999999999</v>
      </c>
      <c r="T176" s="10" t="b">
        <f t="shared" si="42"/>
        <v>1</v>
      </c>
      <c r="U176" s="10" t="b">
        <f t="shared" si="43"/>
        <v>1</v>
      </c>
      <c r="V176" s="11">
        <f>VLOOKUP(IF(J176&lt;10, 10, IF(J176&gt;50,50,J176)),'Over to underbark'!$A$3:$C$43,IF(A176="Scots pine",3,IF(A176="Sitka spruce",2, "error")),TRUE)/100</f>
        <v>0.84</v>
      </c>
      <c r="W176">
        <f t="shared" si="28"/>
        <v>134.47954800000002</v>
      </c>
      <c r="X176">
        <f t="shared" si="29"/>
        <v>187.319412</v>
      </c>
      <c r="Y176">
        <f t="shared" si="32"/>
        <v>61.295040000000014</v>
      </c>
      <c r="Z176">
        <f t="shared" si="33"/>
        <v>161.39708197380003</v>
      </c>
      <c r="AA176">
        <f t="shared" si="34"/>
        <v>45.440270280000007</v>
      </c>
      <c r="AB176">
        <f t="shared" si="35"/>
        <v>72.856332322200018</v>
      </c>
      <c r="AC176">
        <f t="shared" si="36"/>
        <v>103.400315424</v>
      </c>
      <c r="AD176">
        <f>LOOKUP($A176,'Over to underbark'!$A$47:$A$48,'Over to underbark'!E$47:E$48)*Z176</f>
        <v>67.786774428996011</v>
      </c>
      <c r="AE176">
        <f>LOOKUP($A176,'Over to underbark'!$A$47:$A$48,'Over to underbark'!E$47:E$48)*AA176</f>
        <v>19.084913517600004</v>
      </c>
      <c r="AF176">
        <f>LOOKUP($A176,'Over to underbark'!$A$47:$A$48,'Over to underbark'!E$47:E$48)*AB176</f>
        <v>30.599659575324008</v>
      </c>
      <c r="AG176">
        <f>LOOKUP($A176,'Over to underbark'!$A$47:$A$48,'Over to underbark'!E$47:E$48)*AC176</f>
        <v>43.428132478079995</v>
      </c>
      <c r="AH176" t="b">
        <f t="shared" si="37"/>
        <v>1</v>
      </c>
      <c r="AI176" t="b">
        <f t="shared" si="38"/>
        <v>1</v>
      </c>
      <c r="AJ176">
        <f>LOOKUP(A176,'Over to underbark'!$A$47:$A$48,'Over to underbark'!E$47:E$48)*M176</f>
        <v>178.77719999999999</v>
      </c>
      <c r="AK176" s="22">
        <f>LOOKUP(A176,'Over to underbark'!$A$47:$A$48,'Over to underbark'!$B$47:$B$48)*AJ176</f>
        <v>60.784248000000005</v>
      </c>
      <c r="AL176" s="22">
        <f>LOOKUP(A176,'Over to underbark'!$A$47:$A$48,'Over to underbark'!C$47:C$48)*AJ176</f>
        <v>62.572019999999995</v>
      </c>
      <c r="AM176" s="22">
        <f t="shared" si="39"/>
        <v>239.56144799999998</v>
      </c>
      <c r="AN176" s="36">
        <v>570.38</v>
      </c>
      <c r="AO176" s="23">
        <f t="shared" si="40"/>
        <v>479.12289599999997</v>
      </c>
      <c r="AQ176">
        <f t="shared" si="41"/>
        <v>0.67164179104477617</v>
      </c>
    </row>
    <row r="177" spans="1:43" x14ac:dyDescent="0.35">
      <c r="A177" t="s">
        <v>41</v>
      </c>
      <c r="B177">
        <v>8</v>
      </c>
      <c r="C177">
        <v>2</v>
      </c>
      <c r="D177" t="s">
        <v>42</v>
      </c>
      <c r="E177">
        <v>2</v>
      </c>
      <c r="F177">
        <v>1</v>
      </c>
      <c r="G177" s="12">
        <v>63</v>
      </c>
      <c r="H177" s="12">
        <v>18.844000000000001</v>
      </c>
      <c r="I177" s="12">
        <v>1297</v>
      </c>
      <c r="J177" s="12">
        <v>23.271999999999998</v>
      </c>
      <c r="K177" s="12">
        <v>55.168999999999997</v>
      </c>
      <c r="L177" s="12">
        <v>0.33500000000000002</v>
      </c>
      <c r="M177" s="19">
        <v>434.12</v>
      </c>
      <c r="N177" s="12">
        <v>5.8879999999999999</v>
      </c>
      <c r="O177" s="13">
        <v>6.891</v>
      </c>
      <c r="P177" s="14">
        <v>63</v>
      </c>
      <c r="Q177" s="14">
        <v>23.271999999999998</v>
      </c>
      <c r="R177" s="14">
        <v>176.142</v>
      </c>
      <c r="S177" s="14">
        <v>257.97800000000001</v>
      </c>
      <c r="T177" s="10" t="b">
        <f t="shared" si="42"/>
        <v>1</v>
      </c>
      <c r="U177" s="10" t="b">
        <f t="shared" si="43"/>
        <v>1</v>
      </c>
      <c r="V177" s="11">
        <f>VLOOKUP(IF(J177&lt;10, 10, IF(J177&gt;50,50,J177)),'Over to underbark'!$A$3:$C$43,IF(A177="Scots pine",3,IF(A177="Sitka spruce",2, "error")),TRUE)/100</f>
        <v>0.84</v>
      </c>
      <c r="W177">
        <f t="shared" si="28"/>
        <v>133.163352</v>
      </c>
      <c r="X177">
        <f t="shared" si="29"/>
        <v>195.03136800000001</v>
      </c>
      <c r="Y177">
        <f t="shared" si="32"/>
        <v>62.513280000000016</v>
      </c>
      <c r="Z177">
        <f t="shared" si="33"/>
        <v>163.80964878120002</v>
      </c>
      <c r="AA177">
        <f t="shared" si="34"/>
        <v>45.904608720000006</v>
      </c>
      <c r="AB177">
        <f t="shared" si="35"/>
        <v>73.336427362799995</v>
      </c>
      <c r="AC177">
        <f t="shared" si="36"/>
        <v>107.65731513600001</v>
      </c>
      <c r="AD177">
        <f>LOOKUP($A177,'Over to underbark'!$A$47:$A$48,'Over to underbark'!E$47:E$48)*Z177</f>
        <v>68.800052488104015</v>
      </c>
      <c r="AE177">
        <f>LOOKUP($A177,'Over to underbark'!$A$47:$A$48,'Over to underbark'!E$47:E$48)*AA177</f>
        <v>19.279935662400003</v>
      </c>
      <c r="AF177">
        <f>LOOKUP($A177,'Over to underbark'!$A$47:$A$48,'Over to underbark'!E$47:E$48)*AB177</f>
        <v>30.801299492375996</v>
      </c>
      <c r="AG177">
        <f>LOOKUP($A177,'Over to underbark'!$A$47:$A$48,'Over to underbark'!E$47:E$48)*AC177</f>
        <v>45.216072357120005</v>
      </c>
      <c r="AH177" t="b">
        <f t="shared" si="37"/>
        <v>1</v>
      </c>
      <c r="AI177" t="b">
        <f t="shared" si="38"/>
        <v>1</v>
      </c>
      <c r="AJ177">
        <f>LOOKUP(A177,'Over to underbark'!$A$47:$A$48,'Over to underbark'!E$47:E$48)*M177</f>
        <v>182.3304</v>
      </c>
      <c r="AK177" s="22">
        <f>LOOKUP(A177,'Over to underbark'!$A$47:$A$48,'Over to underbark'!$B$47:$B$48)*AJ177</f>
        <v>61.992336000000002</v>
      </c>
      <c r="AL177" s="22">
        <f>LOOKUP(A177,'Over to underbark'!$A$47:$A$48,'Over to underbark'!C$47:C$48)*AJ177</f>
        <v>63.815639999999995</v>
      </c>
      <c r="AM177" s="22">
        <f t="shared" si="39"/>
        <v>244.32273599999999</v>
      </c>
      <c r="AN177" s="36">
        <v>581.72</v>
      </c>
      <c r="AO177" s="23">
        <f t="shared" si="40"/>
        <v>488.64547199999998</v>
      </c>
      <c r="AQ177">
        <f t="shared" si="41"/>
        <v>0.67164179104477617</v>
      </c>
    </row>
    <row r="178" spans="1:43" x14ac:dyDescent="0.35">
      <c r="A178" t="s">
        <v>41</v>
      </c>
      <c r="B178">
        <v>8</v>
      </c>
      <c r="C178">
        <v>2</v>
      </c>
      <c r="D178" t="s">
        <v>42</v>
      </c>
      <c r="E178">
        <v>2</v>
      </c>
      <c r="F178">
        <v>1</v>
      </c>
      <c r="G178" s="12">
        <v>64</v>
      </c>
      <c r="H178" s="12">
        <v>19.036000000000001</v>
      </c>
      <c r="I178" s="12">
        <v>1278</v>
      </c>
      <c r="J178" s="12">
        <v>23.559000000000001</v>
      </c>
      <c r="K178" s="12">
        <v>55.712000000000003</v>
      </c>
      <c r="L178" s="12">
        <v>0.34599999999999997</v>
      </c>
      <c r="M178" s="19">
        <v>442.58</v>
      </c>
      <c r="N178" s="12">
        <v>6.157</v>
      </c>
      <c r="O178" s="13">
        <v>6.915</v>
      </c>
      <c r="P178" s="14">
        <v>64</v>
      </c>
      <c r="Q178" s="14">
        <v>23.559000000000001</v>
      </c>
      <c r="R178" s="14">
        <v>174.065</v>
      </c>
      <c r="S178" s="14">
        <v>268.51499999999999</v>
      </c>
      <c r="T178" s="10" t="b">
        <f t="shared" si="42"/>
        <v>1</v>
      </c>
      <c r="U178" s="10" t="b">
        <f t="shared" si="43"/>
        <v>1</v>
      </c>
      <c r="V178" s="11">
        <f>VLOOKUP(IF(J178&lt;10, 10, IF(J178&gt;50,50,J178)),'Over to underbark'!$A$3:$C$43,IF(A178="Scots pine",3,IF(A178="Sitka spruce",2, "error")),TRUE)/100</f>
        <v>0.84</v>
      </c>
      <c r="W178">
        <f t="shared" si="28"/>
        <v>131.59314000000001</v>
      </c>
      <c r="X178">
        <f t="shared" si="29"/>
        <v>202.99733999999998</v>
      </c>
      <c r="Y178">
        <f t="shared" si="32"/>
        <v>63.73152000000001</v>
      </c>
      <c r="Z178">
        <f t="shared" si="33"/>
        <v>166.17157749900002</v>
      </c>
      <c r="AA178">
        <f t="shared" si="34"/>
        <v>46.341005400000007</v>
      </c>
      <c r="AB178">
        <f t="shared" si="35"/>
        <v>73.754885420999997</v>
      </c>
      <c r="AC178">
        <f t="shared" si="36"/>
        <v>112.05453167999998</v>
      </c>
      <c r="AD178">
        <f>LOOKUP($A178,'Over to underbark'!$A$47:$A$48,'Over to underbark'!E$47:E$48)*Z178</f>
        <v>69.79206254958001</v>
      </c>
      <c r="AE178">
        <f>LOOKUP($A178,'Over to underbark'!$A$47:$A$48,'Over to underbark'!E$47:E$48)*AA178</f>
        <v>19.463222268000003</v>
      </c>
      <c r="AF178">
        <f>LOOKUP($A178,'Over to underbark'!$A$47:$A$48,'Over to underbark'!E$47:E$48)*AB178</f>
        <v>30.977051876819999</v>
      </c>
      <c r="AG178">
        <f>LOOKUP($A178,'Over to underbark'!$A$47:$A$48,'Over to underbark'!E$47:E$48)*AC178</f>
        <v>47.062903305599988</v>
      </c>
      <c r="AH178" t="b">
        <f t="shared" si="37"/>
        <v>1</v>
      </c>
      <c r="AI178" t="b">
        <f t="shared" si="38"/>
        <v>1</v>
      </c>
      <c r="AJ178">
        <f>LOOKUP(A178,'Over to underbark'!$A$47:$A$48,'Over to underbark'!E$47:E$48)*M178</f>
        <v>185.88359999999997</v>
      </c>
      <c r="AK178" s="22">
        <f>LOOKUP(A178,'Over to underbark'!$A$47:$A$48,'Over to underbark'!$B$47:$B$48)*AJ178</f>
        <v>63.200423999999998</v>
      </c>
      <c r="AL178" s="22">
        <f>LOOKUP(A178,'Over to underbark'!$A$47:$A$48,'Over to underbark'!C$47:C$48)*AJ178</f>
        <v>65.059259999999981</v>
      </c>
      <c r="AM178" s="22">
        <f t="shared" si="39"/>
        <v>249.08402399999997</v>
      </c>
      <c r="AN178" s="36">
        <v>593.05999999999995</v>
      </c>
      <c r="AO178" s="23">
        <f t="shared" si="40"/>
        <v>498.16804799999994</v>
      </c>
      <c r="AQ178">
        <f t="shared" si="41"/>
        <v>0.67164179104477617</v>
      </c>
    </row>
    <row r="179" spans="1:43" x14ac:dyDescent="0.35">
      <c r="A179" t="s">
        <v>41</v>
      </c>
      <c r="B179">
        <v>8</v>
      </c>
      <c r="C179">
        <v>2</v>
      </c>
      <c r="D179" t="s">
        <v>42</v>
      </c>
      <c r="E179">
        <v>2</v>
      </c>
      <c r="F179">
        <v>1</v>
      </c>
      <c r="G179" s="12">
        <v>65</v>
      </c>
      <c r="H179" s="12">
        <v>19.228000000000002</v>
      </c>
      <c r="I179" s="12">
        <v>1260</v>
      </c>
      <c r="J179" s="12">
        <v>23.841999999999999</v>
      </c>
      <c r="K179" s="12">
        <v>56.253999999999998</v>
      </c>
      <c r="L179" s="12">
        <v>0.35799999999999998</v>
      </c>
      <c r="M179" s="19">
        <v>451.04</v>
      </c>
      <c r="N179" s="12">
        <v>6.415</v>
      </c>
      <c r="O179" s="13">
        <v>6.9390000000000001</v>
      </c>
      <c r="P179" s="14">
        <v>65</v>
      </c>
      <c r="Q179" s="14">
        <v>23.841999999999999</v>
      </c>
      <c r="R179" s="14">
        <v>171.98599999999999</v>
      </c>
      <c r="S179" s="14">
        <v>279.05399999999997</v>
      </c>
      <c r="T179" s="10" t="b">
        <f t="shared" si="42"/>
        <v>1</v>
      </c>
      <c r="U179" s="10" t="b">
        <f t="shared" si="43"/>
        <v>1</v>
      </c>
      <c r="V179" s="11">
        <f>VLOOKUP(IF(J179&lt;10, 10, IF(J179&gt;50,50,J179)),'Over to underbark'!$A$3:$C$43,IF(A179="Scots pine",3,IF(A179="Sitka spruce",2, "error")),TRUE)/100</f>
        <v>0.84</v>
      </c>
      <c r="W179">
        <f t="shared" si="28"/>
        <v>130.02141599999999</v>
      </c>
      <c r="X179">
        <f t="shared" si="29"/>
        <v>210.96482399999999</v>
      </c>
      <c r="Y179">
        <f t="shared" si="32"/>
        <v>64.949760000000012</v>
      </c>
      <c r="Z179">
        <f t="shared" si="33"/>
        <v>168.53320479959999</v>
      </c>
      <c r="AA179">
        <f t="shared" si="34"/>
        <v>46.777235760000003</v>
      </c>
      <c r="AB179">
        <f t="shared" si="35"/>
        <v>74.172976592399991</v>
      </c>
      <c r="AC179">
        <f t="shared" si="36"/>
        <v>116.45258284800001</v>
      </c>
      <c r="AD179">
        <f>LOOKUP($A179,'Over to underbark'!$A$47:$A$48,'Over to underbark'!E$47:E$48)*Z179</f>
        <v>70.783946015831987</v>
      </c>
      <c r="AE179">
        <f>LOOKUP($A179,'Over to underbark'!$A$47:$A$48,'Over to underbark'!E$47:E$48)*AA179</f>
        <v>19.646439019200002</v>
      </c>
      <c r="AF179">
        <f>LOOKUP($A179,'Over to underbark'!$A$47:$A$48,'Over to underbark'!E$47:E$48)*AB179</f>
        <v>31.152650168807995</v>
      </c>
      <c r="AG179">
        <f>LOOKUP($A179,'Over to underbark'!$A$47:$A$48,'Over to underbark'!E$47:E$48)*AC179</f>
        <v>48.91008479616</v>
      </c>
      <c r="AH179" t="b">
        <f t="shared" si="37"/>
        <v>1</v>
      </c>
      <c r="AI179" t="b">
        <f t="shared" si="38"/>
        <v>1</v>
      </c>
      <c r="AJ179">
        <f>LOOKUP(A179,'Over to underbark'!$A$47:$A$48,'Over to underbark'!E$47:E$48)*M179</f>
        <v>189.43680000000001</v>
      </c>
      <c r="AK179" s="22">
        <f>LOOKUP(A179,'Over to underbark'!$A$47:$A$48,'Over to underbark'!$B$47:$B$48)*AJ179</f>
        <v>64.408512000000002</v>
      </c>
      <c r="AL179" s="22">
        <f>LOOKUP(A179,'Over to underbark'!$A$47:$A$48,'Over to underbark'!C$47:C$48)*AJ179</f>
        <v>66.302880000000002</v>
      </c>
      <c r="AM179" s="22">
        <f t="shared" si="39"/>
        <v>253.84531200000001</v>
      </c>
      <c r="AN179" s="36">
        <v>604.39</v>
      </c>
      <c r="AO179" s="23">
        <f t="shared" si="40"/>
        <v>507.69062400000001</v>
      </c>
      <c r="AQ179">
        <f t="shared" si="41"/>
        <v>0.67164179104477606</v>
      </c>
    </row>
    <row r="180" spans="1:43" x14ac:dyDescent="0.35">
      <c r="A180" t="s">
        <v>41</v>
      </c>
      <c r="B180">
        <v>8</v>
      </c>
      <c r="C180">
        <v>2</v>
      </c>
      <c r="D180" t="s">
        <v>42</v>
      </c>
      <c r="E180">
        <v>2</v>
      </c>
      <c r="F180">
        <v>1</v>
      </c>
      <c r="G180" s="12">
        <v>66</v>
      </c>
      <c r="H180" s="12">
        <v>19.420000000000002</v>
      </c>
      <c r="I180" s="12">
        <v>1242</v>
      </c>
      <c r="J180" s="12">
        <v>24.13</v>
      </c>
      <c r="K180" s="12">
        <v>56.796999999999997</v>
      </c>
      <c r="L180" s="12">
        <v>0.37</v>
      </c>
      <c r="M180" s="19">
        <v>459.5</v>
      </c>
      <c r="N180" s="12">
        <v>6.6630000000000003</v>
      </c>
      <c r="O180" s="13">
        <v>6.9619999999999997</v>
      </c>
      <c r="P180" s="14">
        <v>66</v>
      </c>
      <c r="Q180" s="14">
        <v>24.13</v>
      </c>
      <c r="R180" s="14">
        <v>169.74</v>
      </c>
      <c r="S180" s="14">
        <v>289.76</v>
      </c>
      <c r="T180" s="10" t="b">
        <f t="shared" si="42"/>
        <v>1</v>
      </c>
      <c r="U180" s="10" t="b">
        <f t="shared" si="43"/>
        <v>1</v>
      </c>
      <c r="V180" s="11">
        <f>VLOOKUP(IF(J180&lt;10, 10, IF(J180&gt;50,50,J180)),'Over to underbark'!$A$3:$C$43,IF(A180="Scots pine",3,IF(A180="Sitka spruce",2, "error")),TRUE)/100</f>
        <v>0.84</v>
      </c>
      <c r="W180">
        <f t="shared" si="28"/>
        <v>128.32344000000001</v>
      </c>
      <c r="X180">
        <f t="shared" si="29"/>
        <v>219.05855999999997</v>
      </c>
      <c r="Y180">
        <f t="shared" si="32"/>
        <v>66.168000000000021</v>
      </c>
      <c r="Z180">
        <f t="shared" si="33"/>
        <v>170.86966376399999</v>
      </c>
      <c r="AA180">
        <f t="shared" si="34"/>
        <v>47.199578400000007</v>
      </c>
      <c r="AB180">
        <f t="shared" si="35"/>
        <v>74.560432715999994</v>
      </c>
      <c r="AC180">
        <f t="shared" si="36"/>
        <v>120.92032511999997</v>
      </c>
      <c r="AD180">
        <f>LOOKUP($A180,'Over to underbark'!$A$47:$A$48,'Over to underbark'!E$47:E$48)*Z180</f>
        <v>71.765258780879989</v>
      </c>
      <c r="AE180">
        <f>LOOKUP($A180,'Over to underbark'!$A$47:$A$48,'Over to underbark'!E$47:E$48)*AA180</f>
        <v>19.823822928000002</v>
      </c>
      <c r="AF180">
        <f>LOOKUP($A180,'Over to underbark'!$A$47:$A$48,'Over to underbark'!E$47:E$48)*AB180</f>
        <v>31.315381740719996</v>
      </c>
      <c r="AG180">
        <f>LOOKUP($A180,'Over to underbark'!$A$47:$A$48,'Over to underbark'!E$47:E$48)*AC180</f>
        <v>50.786536550399987</v>
      </c>
      <c r="AH180" t="b">
        <f t="shared" si="37"/>
        <v>1</v>
      </c>
      <c r="AI180" t="b">
        <f t="shared" si="38"/>
        <v>1</v>
      </c>
      <c r="AJ180">
        <f>LOOKUP(A180,'Over to underbark'!$A$47:$A$48,'Over to underbark'!E$47:E$48)*M180</f>
        <v>192.98999999999998</v>
      </c>
      <c r="AK180" s="22">
        <f>LOOKUP(A180,'Over to underbark'!$A$47:$A$48,'Over to underbark'!$B$47:$B$48)*AJ180</f>
        <v>65.616599999999991</v>
      </c>
      <c r="AL180" s="22">
        <f>LOOKUP(A180,'Over to underbark'!$A$47:$A$48,'Over to underbark'!C$47:C$48)*AJ180</f>
        <v>67.546499999999995</v>
      </c>
      <c r="AM180" s="22">
        <f t="shared" si="39"/>
        <v>258.60659999999996</v>
      </c>
      <c r="AN180" s="36">
        <v>615.73</v>
      </c>
      <c r="AO180" s="23">
        <f t="shared" si="40"/>
        <v>517.21319999999992</v>
      </c>
      <c r="AQ180">
        <f t="shared" si="41"/>
        <v>0.67164179104477617</v>
      </c>
    </row>
    <row r="181" spans="1:43" x14ac:dyDescent="0.35">
      <c r="A181" t="s">
        <v>41</v>
      </c>
      <c r="B181">
        <v>8</v>
      </c>
      <c r="C181">
        <v>2</v>
      </c>
      <c r="D181" t="s">
        <v>42</v>
      </c>
      <c r="E181">
        <v>2</v>
      </c>
      <c r="F181">
        <v>1</v>
      </c>
      <c r="G181" s="12">
        <v>67</v>
      </c>
      <c r="H181" s="12">
        <v>19.594000000000001</v>
      </c>
      <c r="I181" s="12">
        <v>1226</v>
      </c>
      <c r="J181" s="12">
        <v>24.388000000000002</v>
      </c>
      <c r="K181" s="12">
        <v>57.268999999999998</v>
      </c>
      <c r="L181" s="12">
        <v>0.38100000000000001</v>
      </c>
      <c r="M181" s="19">
        <v>466.96</v>
      </c>
      <c r="N181" s="12">
        <v>6.9649999999999999</v>
      </c>
      <c r="O181" s="13">
        <v>6.97</v>
      </c>
      <c r="P181" s="14">
        <v>67</v>
      </c>
      <c r="Q181" s="14">
        <v>24.388000000000002</v>
      </c>
      <c r="R181" s="14">
        <v>167.63</v>
      </c>
      <c r="S181" s="14">
        <v>299.33</v>
      </c>
      <c r="T181" s="10" t="b">
        <f t="shared" si="42"/>
        <v>1</v>
      </c>
      <c r="U181" s="10" t="b">
        <f t="shared" si="43"/>
        <v>1</v>
      </c>
      <c r="V181" s="11">
        <f>VLOOKUP(IF(J181&lt;10, 10, IF(J181&gt;50,50,J181)),'Over to underbark'!$A$3:$C$43,IF(A181="Scots pine",3,IF(A181="Sitka spruce",2, "error")),TRUE)/100</f>
        <v>0.84</v>
      </c>
      <c r="W181">
        <f t="shared" si="28"/>
        <v>126.72827999999998</v>
      </c>
      <c r="X181">
        <f t="shared" si="29"/>
        <v>226.29347999999999</v>
      </c>
      <c r="Y181">
        <f t="shared" si="32"/>
        <v>67.24224000000001</v>
      </c>
      <c r="Z181">
        <f t="shared" si="33"/>
        <v>172.91043109799998</v>
      </c>
      <c r="AA181">
        <f t="shared" si="34"/>
        <v>47.561230800000004</v>
      </c>
      <c r="AB181">
        <f t="shared" si="35"/>
        <v>74.878337141999992</v>
      </c>
      <c r="AC181">
        <f t="shared" si="36"/>
        <v>124.91400096</v>
      </c>
      <c r="AD181">
        <f>LOOKUP($A181,'Over to underbark'!$A$47:$A$48,'Over to underbark'!E$47:E$48)*Z181</f>
        <v>72.622381061159984</v>
      </c>
      <c r="AE181">
        <f>LOOKUP($A181,'Over to underbark'!$A$47:$A$48,'Over to underbark'!E$47:E$48)*AA181</f>
        <v>19.975716936000001</v>
      </c>
      <c r="AF181">
        <f>LOOKUP($A181,'Over to underbark'!$A$47:$A$48,'Over to underbark'!E$47:E$48)*AB181</f>
        <v>31.448901599639996</v>
      </c>
      <c r="AG181">
        <f>LOOKUP($A181,'Over to underbark'!$A$47:$A$48,'Over to underbark'!E$47:E$48)*AC181</f>
        <v>52.463880403199994</v>
      </c>
      <c r="AH181" t="b">
        <f t="shared" si="37"/>
        <v>1</v>
      </c>
      <c r="AI181" t="b">
        <f t="shared" si="38"/>
        <v>1</v>
      </c>
      <c r="AJ181">
        <f>LOOKUP(A181,'Over to underbark'!$A$47:$A$48,'Over to underbark'!E$47:E$48)*M181</f>
        <v>196.1232</v>
      </c>
      <c r="AK181" s="22">
        <f>LOOKUP(A181,'Over to underbark'!$A$47:$A$48,'Over to underbark'!$B$47:$B$48)*AJ181</f>
        <v>66.681888000000001</v>
      </c>
      <c r="AL181" s="22">
        <f>LOOKUP(A181,'Over to underbark'!$A$47:$A$48,'Over to underbark'!C$47:C$48)*AJ181</f>
        <v>68.643119999999996</v>
      </c>
      <c r="AM181" s="22">
        <f t="shared" si="39"/>
        <v>262.80508800000001</v>
      </c>
      <c r="AN181" s="36">
        <v>625.73</v>
      </c>
      <c r="AO181" s="23">
        <f t="shared" si="40"/>
        <v>525.61017600000002</v>
      </c>
      <c r="AQ181">
        <f t="shared" si="41"/>
        <v>0.67164179104477606</v>
      </c>
    </row>
    <row r="182" spans="1:43" x14ac:dyDescent="0.35">
      <c r="A182" t="s">
        <v>41</v>
      </c>
      <c r="B182">
        <v>8</v>
      </c>
      <c r="C182">
        <v>2</v>
      </c>
      <c r="D182" t="s">
        <v>42</v>
      </c>
      <c r="E182">
        <v>2</v>
      </c>
      <c r="F182">
        <v>1</v>
      </c>
      <c r="G182" s="12">
        <v>68</v>
      </c>
      <c r="H182" s="12">
        <v>19.768000000000001</v>
      </c>
      <c r="I182" s="12">
        <v>1210</v>
      </c>
      <c r="J182" s="12">
        <v>24.649000000000001</v>
      </c>
      <c r="K182" s="12">
        <v>57.741</v>
      </c>
      <c r="L182" s="12">
        <v>0.39200000000000002</v>
      </c>
      <c r="M182" s="19">
        <v>474.42</v>
      </c>
      <c r="N182" s="12">
        <v>7.2569999999999997</v>
      </c>
      <c r="O182" s="13">
        <v>6.9770000000000003</v>
      </c>
      <c r="P182" s="14">
        <v>68</v>
      </c>
      <c r="Q182" s="14">
        <v>24.649000000000001</v>
      </c>
      <c r="R182" s="14">
        <v>165.42099999999999</v>
      </c>
      <c r="S182" s="14">
        <v>308.99900000000002</v>
      </c>
      <c r="T182" s="10" t="b">
        <f t="shared" si="42"/>
        <v>1</v>
      </c>
      <c r="U182" s="10" t="b">
        <f t="shared" si="43"/>
        <v>1</v>
      </c>
      <c r="V182" s="11">
        <f>VLOOKUP(IF(J182&lt;10, 10, IF(J182&gt;50,50,J182)),'Over to underbark'!$A$3:$C$43,IF(A182="Scots pine",3,IF(A182="Sitka spruce",2, "error")),TRUE)/100</f>
        <v>0.84</v>
      </c>
      <c r="W182">
        <f t="shared" si="28"/>
        <v>125.05827599999998</v>
      </c>
      <c r="X182">
        <f t="shared" si="29"/>
        <v>233.60324400000002</v>
      </c>
      <c r="Y182">
        <f t="shared" si="32"/>
        <v>68.316480000000013</v>
      </c>
      <c r="Z182">
        <f t="shared" si="33"/>
        <v>174.93627828059999</v>
      </c>
      <c r="AA182">
        <f t="shared" si="34"/>
        <v>47.914650360000003</v>
      </c>
      <c r="AB182">
        <f t="shared" si="35"/>
        <v>75.178080671399982</v>
      </c>
      <c r="AC182">
        <f t="shared" si="36"/>
        <v>128.94899068800001</v>
      </c>
      <c r="AD182">
        <f>LOOKUP($A182,'Over to underbark'!$A$47:$A$48,'Over to underbark'!E$47:E$48)*Z182</f>
        <v>73.473236877851988</v>
      </c>
      <c r="AE182">
        <f>LOOKUP($A182,'Over to underbark'!$A$47:$A$48,'Over to underbark'!E$47:E$48)*AA182</f>
        <v>20.124153151200002</v>
      </c>
      <c r="AF182">
        <f>LOOKUP($A182,'Over to underbark'!$A$47:$A$48,'Over to underbark'!E$47:E$48)*AB182</f>
        <v>31.57479388198799</v>
      </c>
      <c r="AG182">
        <f>LOOKUP($A182,'Over to underbark'!$A$47:$A$48,'Over to underbark'!E$47:E$48)*AC182</f>
        <v>54.158576088960004</v>
      </c>
      <c r="AH182" t="b">
        <f t="shared" si="37"/>
        <v>1</v>
      </c>
      <c r="AI182" t="b">
        <f t="shared" si="38"/>
        <v>1</v>
      </c>
      <c r="AJ182">
        <f>LOOKUP(A182,'Over to underbark'!$A$47:$A$48,'Over to underbark'!E$47:E$48)*M182</f>
        <v>199.25640000000001</v>
      </c>
      <c r="AK182" s="22">
        <f>LOOKUP(A182,'Over to underbark'!$A$47:$A$48,'Over to underbark'!$B$47:$B$48)*AJ182</f>
        <v>67.74717600000001</v>
      </c>
      <c r="AL182" s="22">
        <f>LOOKUP(A182,'Over to underbark'!$A$47:$A$48,'Over to underbark'!C$47:C$48)*AJ182</f>
        <v>69.739739999999998</v>
      </c>
      <c r="AM182" s="22">
        <f t="shared" si="39"/>
        <v>267.00357600000001</v>
      </c>
      <c r="AN182" s="36">
        <v>635.72</v>
      </c>
      <c r="AO182" s="23">
        <f t="shared" si="40"/>
        <v>534.00715200000002</v>
      </c>
      <c r="AQ182">
        <f t="shared" si="41"/>
        <v>0.67164179104477606</v>
      </c>
    </row>
    <row r="183" spans="1:43" x14ac:dyDescent="0.35">
      <c r="A183" t="s">
        <v>41</v>
      </c>
      <c r="B183">
        <v>8</v>
      </c>
      <c r="C183">
        <v>2</v>
      </c>
      <c r="D183" t="s">
        <v>42</v>
      </c>
      <c r="E183">
        <v>2</v>
      </c>
      <c r="F183">
        <v>1</v>
      </c>
      <c r="G183" s="12">
        <v>69</v>
      </c>
      <c r="H183" s="12">
        <v>19.942</v>
      </c>
      <c r="I183" s="12">
        <v>1194</v>
      </c>
      <c r="J183" s="12">
        <v>24.914999999999999</v>
      </c>
      <c r="K183" s="12">
        <v>58.213999999999999</v>
      </c>
      <c r="L183" s="12">
        <v>0.40400000000000003</v>
      </c>
      <c r="M183" s="19">
        <v>481.88</v>
      </c>
      <c r="N183" s="12">
        <v>7.5369999999999999</v>
      </c>
      <c r="O183" s="13">
        <v>6.984</v>
      </c>
      <c r="P183" s="14">
        <v>69</v>
      </c>
      <c r="Q183" s="14">
        <v>24.914999999999999</v>
      </c>
      <c r="R183" s="14">
        <v>163.08000000000001</v>
      </c>
      <c r="S183" s="14">
        <v>318.8</v>
      </c>
      <c r="T183" s="10" t="b">
        <f t="shared" si="42"/>
        <v>1</v>
      </c>
      <c r="U183" s="10" t="b">
        <f t="shared" si="43"/>
        <v>1</v>
      </c>
      <c r="V183" s="11">
        <f>VLOOKUP(IF(J183&lt;10, 10, IF(J183&gt;50,50,J183)),'Over to underbark'!$A$3:$C$43,IF(A183="Scots pine",3,IF(A183="Sitka spruce",2, "error")),TRUE)/100</f>
        <v>0.84</v>
      </c>
      <c r="W183">
        <f t="shared" si="28"/>
        <v>123.28848000000001</v>
      </c>
      <c r="X183">
        <f t="shared" si="29"/>
        <v>241.0128</v>
      </c>
      <c r="Y183">
        <f t="shared" si="32"/>
        <v>69.390720000000016</v>
      </c>
      <c r="Z183">
        <f t="shared" si="33"/>
        <v>176.94223192799998</v>
      </c>
      <c r="AA183">
        <f t="shared" si="34"/>
        <v>48.257092800000009</v>
      </c>
      <c r="AB183">
        <f t="shared" si="35"/>
        <v>75.453609671999999</v>
      </c>
      <c r="AC183">
        <f t="shared" si="36"/>
        <v>133.03906559999999</v>
      </c>
      <c r="AD183">
        <f>LOOKUP($A183,'Over to underbark'!$A$47:$A$48,'Over to underbark'!E$47:E$48)*Z183</f>
        <v>74.31573740975999</v>
      </c>
      <c r="AE183">
        <f>LOOKUP($A183,'Over to underbark'!$A$47:$A$48,'Over to underbark'!E$47:E$48)*AA183</f>
        <v>20.267978976000002</v>
      </c>
      <c r="AF183">
        <f>LOOKUP($A183,'Over to underbark'!$A$47:$A$48,'Over to underbark'!E$47:E$48)*AB183</f>
        <v>31.690516062239997</v>
      </c>
      <c r="AG183">
        <f>LOOKUP($A183,'Over to underbark'!$A$47:$A$48,'Over to underbark'!E$47:E$48)*AC183</f>
        <v>55.876407551999989</v>
      </c>
      <c r="AH183" t="b">
        <f t="shared" si="37"/>
        <v>1</v>
      </c>
      <c r="AI183" t="b">
        <f t="shared" si="38"/>
        <v>1</v>
      </c>
      <c r="AJ183">
        <f>LOOKUP(A183,'Over to underbark'!$A$47:$A$48,'Over to underbark'!E$47:E$48)*M183</f>
        <v>202.3896</v>
      </c>
      <c r="AK183" s="22">
        <f>LOOKUP(A183,'Over to underbark'!$A$47:$A$48,'Over to underbark'!$B$47:$B$48)*AJ183</f>
        <v>68.812464000000006</v>
      </c>
      <c r="AL183" s="22">
        <f>LOOKUP(A183,'Over to underbark'!$A$47:$A$48,'Over to underbark'!C$47:C$48)*AJ183</f>
        <v>70.836359999999999</v>
      </c>
      <c r="AM183" s="22">
        <f t="shared" si="39"/>
        <v>271.20206400000001</v>
      </c>
      <c r="AN183" s="36">
        <v>645.72</v>
      </c>
      <c r="AO183" s="23">
        <f t="shared" si="40"/>
        <v>542.40412800000001</v>
      </c>
      <c r="AQ183">
        <f t="shared" si="41"/>
        <v>0.67164179104477606</v>
      </c>
    </row>
    <row r="184" spans="1:43" x14ac:dyDescent="0.35">
      <c r="A184" t="s">
        <v>41</v>
      </c>
      <c r="B184">
        <v>8</v>
      </c>
      <c r="C184">
        <v>2</v>
      </c>
      <c r="D184" t="s">
        <v>42</v>
      </c>
      <c r="E184">
        <v>2</v>
      </c>
      <c r="F184">
        <v>1</v>
      </c>
      <c r="G184" s="12">
        <v>70</v>
      </c>
      <c r="H184" s="12">
        <v>20.116</v>
      </c>
      <c r="I184" s="12">
        <v>1178</v>
      </c>
      <c r="J184" s="12">
        <v>25.184999999999999</v>
      </c>
      <c r="K184" s="12">
        <v>58.686</v>
      </c>
      <c r="L184" s="12">
        <v>0.41499999999999998</v>
      </c>
      <c r="M184" s="19">
        <v>489.34</v>
      </c>
      <c r="N184" s="12">
        <v>7.8070000000000004</v>
      </c>
      <c r="O184" s="13">
        <v>6.9909999999999997</v>
      </c>
      <c r="P184" s="14">
        <v>70</v>
      </c>
      <c r="Q184" s="14">
        <v>25.184999999999999</v>
      </c>
      <c r="R184" s="14">
        <v>160.63399999999999</v>
      </c>
      <c r="S184" s="14">
        <v>328.70600000000002</v>
      </c>
      <c r="T184" s="10" t="b">
        <f t="shared" si="42"/>
        <v>1</v>
      </c>
      <c r="U184" s="10" t="b">
        <f t="shared" si="43"/>
        <v>1</v>
      </c>
      <c r="V184" s="11">
        <f>VLOOKUP(IF(J184&lt;10, 10, IF(J184&gt;50,50,J184)),'Over to underbark'!$A$3:$C$43,IF(A184="Scots pine",3,IF(A184="Sitka spruce",2, "error")),TRUE)/100</f>
        <v>0.84</v>
      </c>
      <c r="W184">
        <f t="shared" si="28"/>
        <v>121.43930399999998</v>
      </c>
      <c r="X184">
        <f t="shared" si="29"/>
        <v>248.50173600000002</v>
      </c>
      <c r="Y184">
        <f t="shared" si="32"/>
        <v>70.464960000000019</v>
      </c>
      <c r="Z184">
        <f t="shared" si="33"/>
        <v>178.93236117240002</v>
      </c>
      <c r="AA184">
        <f t="shared" si="34"/>
        <v>48.590803440000009</v>
      </c>
      <c r="AB184">
        <f t="shared" si="35"/>
        <v>75.709877115599994</v>
      </c>
      <c r="AC184">
        <f t="shared" si="36"/>
        <v>137.17295827200002</v>
      </c>
      <c r="AD184">
        <f>LOOKUP($A184,'Over to underbark'!$A$47:$A$48,'Over to underbark'!E$47:E$48)*Z184</f>
        <v>75.151591692408005</v>
      </c>
      <c r="AE184">
        <f>LOOKUP($A184,'Over to underbark'!$A$47:$A$48,'Over to underbark'!E$47:E$48)*AA184</f>
        <v>20.408137444800005</v>
      </c>
      <c r="AF184">
        <f>LOOKUP($A184,'Over to underbark'!$A$47:$A$48,'Over to underbark'!E$47:E$48)*AB184</f>
        <v>31.798148388551997</v>
      </c>
      <c r="AG184">
        <f>LOOKUP($A184,'Over to underbark'!$A$47:$A$48,'Over to underbark'!E$47:E$48)*AC184</f>
        <v>57.612642474240005</v>
      </c>
      <c r="AH184" t="b">
        <f t="shared" si="37"/>
        <v>1</v>
      </c>
      <c r="AI184" t="b">
        <f t="shared" si="38"/>
        <v>1</v>
      </c>
      <c r="AJ184">
        <f>LOOKUP(A184,'Over to underbark'!$A$47:$A$48,'Over to underbark'!E$47:E$48)*M184</f>
        <v>205.52279999999999</v>
      </c>
      <c r="AK184" s="22">
        <f>LOOKUP(A184,'Over to underbark'!$A$47:$A$48,'Over to underbark'!$B$47:$B$48)*AJ184</f>
        <v>69.877752000000001</v>
      </c>
      <c r="AL184" s="22">
        <f>LOOKUP(A184,'Over to underbark'!$A$47:$A$48,'Over to underbark'!C$47:C$48)*AJ184</f>
        <v>71.932979999999986</v>
      </c>
      <c r="AM184" s="22">
        <f t="shared" si="39"/>
        <v>275.400552</v>
      </c>
      <c r="AN184" s="36">
        <v>655.72</v>
      </c>
      <c r="AO184" s="23">
        <f t="shared" si="40"/>
        <v>550.80110400000001</v>
      </c>
      <c r="AQ184">
        <f t="shared" si="41"/>
        <v>0.67164179104477617</v>
      </c>
    </row>
    <row r="185" spans="1:43" x14ac:dyDescent="0.35">
      <c r="A185" t="s">
        <v>41</v>
      </c>
      <c r="B185">
        <v>8</v>
      </c>
      <c r="C185">
        <v>2</v>
      </c>
      <c r="D185" t="s">
        <v>42</v>
      </c>
      <c r="E185">
        <v>2</v>
      </c>
      <c r="F185">
        <v>1</v>
      </c>
      <c r="G185" s="12">
        <v>71</v>
      </c>
      <c r="H185" s="12">
        <v>20.29</v>
      </c>
      <c r="I185" s="12">
        <v>1162</v>
      </c>
      <c r="J185" s="12">
        <v>25.46</v>
      </c>
      <c r="K185" s="12">
        <v>59.158000000000001</v>
      </c>
      <c r="L185" s="12">
        <v>0.42799999999999999</v>
      </c>
      <c r="M185" s="19">
        <v>496.8</v>
      </c>
      <c r="N185" s="12">
        <v>8.0679999999999996</v>
      </c>
      <c r="O185" s="13">
        <v>6.9969999999999999</v>
      </c>
      <c r="P185" s="14">
        <v>71</v>
      </c>
      <c r="Q185" s="14">
        <v>25.46</v>
      </c>
      <c r="R185" s="14">
        <v>158.07</v>
      </c>
      <c r="S185" s="14">
        <v>338.73</v>
      </c>
      <c r="T185" s="10" t="b">
        <f t="shared" si="42"/>
        <v>1</v>
      </c>
      <c r="U185" s="10" t="b">
        <f t="shared" si="43"/>
        <v>1</v>
      </c>
      <c r="V185" s="11">
        <f>VLOOKUP(IF(J185&lt;10, 10, IF(J185&gt;50,50,J185)),'Over to underbark'!$A$3:$C$43,IF(A185="Scots pine",3,IF(A185="Sitka spruce",2, "error")),TRUE)/100</f>
        <v>0.84</v>
      </c>
      <c r="W185">
        <f t="shared" si="28"/>
        <v>119.50091999999999</v>
      </c>
      <c r="X185">
        <f t="shared" si="29"/>
        <v>256.07988</v>
      </c>
      <c r="Y185">
        <f t="shared" si="32"/>
        <v>71.539200000000008</v>
      </c>
      <c r="Z185">
        <f t="shared" si="33"/>
        <v>180.90470680199996</v>
      </c>
      <c r="AA185">
        <f t="shared" si="34"/>
        <v>48.914701200000003</v>
      </c>
      <c r="AB185">
        <f t="shared" si="35"/>
        <v>75.944498237999994</v>
      </c>
      <c r="AC185">
        <f t="shared" si="36"/>
        <v>141.35609376000002</v>
      </c>
      <c r="AD185">
        <f>LOOKUP($A185,'Over to underbark'!$A$47:$A$48,'Over to underbark'!E$47:E$48)*Z185</f>
        <v>75.979976856839983</v>
      </c>
      <c r="AE185">
        <f>LOOKUP($A185,'Over to underbark'!$A$47:$A$48,'Over to underbark'!E$47:E$48)*AA185</f>
        <v>20.544174504000001</v>
      </c>
      <c r="AF185">
        <f>LOOKUP($A185,'Over to underbark'!$A$47:$A$48,'Over to underbark'!E$47:E$48)*AB185</f>
        <v>31.896689259959995</v>
      </c>
      <c r="AG185">
        <f>LOOKUP($A185,'Over to underbark'!$A$47:$A$48,'Over to underbark'!E$47:E$48)*AC185</f>
        <v>59.369559379200005</v>
      </c>
      <c r="AH185" t="b">
        <f t="shared" si="37"/>
        <v>1</v>
      </c>
      <c r="AI185" t="b">
        <f t="shared" si="38"/>
        <v>1</v>
      </c>
      <c r="AJ185">
        <f>LOOKUP(A185,'Over to underbark'!$A$47:$A$48,'Over to underbark'!E$47:E$48)*M185</f>
        <v>208.65600000000001</v>
      </c>
      <c r="AK185" s="22">
        <f>LOOKUP(A185,'Over to underbark'!$A$47:$A$48,'Over to underbark'!$B$47:$B$48)*AJ185</f>
        <v>70.943040000000011</v>
      </c>
      <c r="AL185" s="22">
        <f>LOOKUP(A185,'Over to underbark'!$A$47:$A$48,'Over to underbark'!C$47:C$48)*AJ185</f>
        <v>73.029600000000002</v>
      </c>
      <c r="AM185" s="22">
        <f t="shared" si="39"/>
        <v>279.59904</v>
      </c>
      <c r="AN185" s="36">
        <v>665.71</v>
      </c>
      <c r="AO185" s="23">
        <f t="shared" si="40"/>
        <v>559.19808</v>
      </c>
      <c r="AQ185">
        <f t="shared" si="41"/>
        <v>0.67164179104477606</v>
      </c>
    </row>
    <row r="186" spans="1:43" x14ac:dyDescent="0.35">
      <c r="A186" t="s">
        <v>41</v>
      </c>
      <c r="B186">
        <v>8</v>
      </c>
      <c r="C186">
        <v>2</v>
      </c>
      <c r="D186" t="s">
        <v>42</v>
      </c>
      <c r="E186">
        <v>2</v>
      </c>
      <c r="F186">
        <v>1</v>
      </c>
      <c r="G186" s="12">
        <v>72</v>
      </c>
      <c r="H186" s="12">
        <v>20.442</v>
      </c>
      <c r="I186" s="12">
        <v>1148</v>
      </c>
      <c r="J186" s="12">
        <v>25.704000000000001</v>
      </c>
      <c r="K186" s="12">
        <v>59.57</v>
      </c>
      <c r="L186" s="12">
        <v>0.438</v>
      </c>
      <c r="M186" s="19">
        <v>503.26</v>
      </c>
      <c r="N186" s="12">
        <v>8.3480000000000008</v>
      </c>
      <c r="O186" s="13">
        <v>6.99</v>
      </c>
      <c r="P186" s="14">
        <v>72</v>
      </c>
      <c r="Q186" s="14">
        <v>25.704000000000001</v>
      </c>
      <c r="R186" s="14">
        <v>155.72800000000001</v>
      </c>
      <c r="S186" s="14">
        <v>347.53199999999998</v>
      </c>
      <c r="T186" s="10" t="b">
        <f t="shared" si="42"/>
        <v>1</v>
      </c>
      <c r="U186" s="10" t="b">
        <f t="shared" si="43"/>
        <v>1</v>
      </c>
      <c r="V186" s="11">
        <f>VLOOKUP(IF(J186&lt;10, 10, IF(J186&gt;50,50,J186)),'Over to underbark'!$A$3:$C$43,IF(A186="Scots pine",3,IF(A186="Sitka spruce",2, "error")),TRUE)/100</f>
        <v>0.84</v>
      </c>
      <c r="W186">
        <f t="shared" si="28"/>
        <v>117.730368</v>
      </c>
      <c r="X186">
        <f t="shared" si="29"/>
        <v>262.73419200000001</v>
      </c>
      <c r="Y186">
        <f t="shared" si="32"/>
        <v>72.46944000000002</v>
      </c>
      <c r="Z186">
        <f t="shared" si="33"/>
        <v>182.59432174080001</v>
      </c>
      <c r="AA186">
        <f t="shared" si="34"/>
        <v>49.185060480000011</v>
      </c>
      <c r="AB186">
        <f t="shared" si="35"/>
        <v>76.125343795199996</v>
      </c>
      <c r="AC186">
        <f t="shared" si="36"/>
        <v>145.02927398400001</v>
      </c>
      <c r="AD186">
        <f>LOOKUP($A186,'Over to underbark'!$A$47:$A$48,'Over to underbark'!E$47:E$48)*Z186</f>
        <v>76.689615131136009</v>
      </c>
      <c r="AE186">
        <f>LOOKUP($A186,'Over to underbark'!$A$47:$A$48,'Over to underbark'!E$47:E$48)*AA186</f>
        <v>20.657725401600004</v>
      </c>
      <c r="AF186">
        <f>LOOKUP($A186,'Over to underbark'!$A$47:$A$48,'Over to underbark'!E$47:E$48)*AB186</f>
        <v>31.972644393983998</v>
      </c>
      <c r="AG186">
        <f>LOOKUP($A186,'Over to underbark'!$A$47:$A$48,'Over to underbark'!E$47:E$48)*AC186</f>
        <v>60.912295073280006</v>
      </c>
      <c r="AH186" t="b">
        <f t="shared" si="37"/>
        <v>1</v>
      </c>
      <c r="AI186" t="b">
        <f t="shared" si="38"/>
        <v>1</v>
      </c>
      <c r="AJ186">
        <f>LOOKUP(A186,'Over to underbark'!$A$47:$A$48,'Over to underbark'!E$47:E$48)*M186</f>
        <v>211.36919999999998</v>
      </c>
      <c r="AK186" s="22">
        <f>LOOKUP(A186,'Over to underbark'!$A$47:$A$48,'Over to underbark'!$B$47:$B$48)*AJ186</f>
        <v>71.865527999999998</v>
      </c>
      <c r="AL186" s="22">
        <f>LOOKUP(A186,'Over to underbark'!$A$47:$A$48,'Over to underbark'!C$47:C$48)*AJ186</f>
        <v>73.979219999999984</v>
      </c>
      <c r="AM186" s="22">
        <f t="shared" si="39"/>
        <v>283.23472799999996</v>
      </c>
      <c r="AN186" s="36">
        <v>674.37</v>
      </c>
      <c r="AO186" s="23">
        <f t="shared" si="40"/>
        <v>566.46945599999992</v>
      </c>
      <c r="AQ186">
        <f t="shared" si="41"/>
        <v>0.67164179104477617</v>
      </c>
    </row>
    <row r="187" spans="1:43" x14ac:dyDescent="0.35">
      <c r="A187" t="s">
        <v>41</v>
      </c>
      <c r="B187">
        <v>8</v>
      </c>
      <c r="C187">
        <v>2</v>
      </c>
      <c r="D187" t="s">
        <v>42</v>
      </c>
      <c r="E187">
        <v>2</v>
      </c>
      <c r="F187">
        <v>1</v>
      </c>
      <c r="G187" s="12">
        <v>73</v>
      </c>
      <c r="H187" s="12">
        <v>20.594000000000001</v>
      </c>
      <c r="I187" s="12">
        <v>1135</v>
      </c>
      <c r="J187" s="12">
        <v>25.94</v>
      </c>
      <c r="K187" s="12">
        <v>59.981999999999999</v>
      </c>
      <c r="L187" s="12">
        <v>0.44900000000000001</v>
      </c>
      <c r="M187" s="19">
        <v>509.72</v>
      </c>
      <c r="N187" s="12">
        <v>8.6199999999999992</v>
      </c>
      <c r="O187" s="13">
        <v>6.9820000000000002</v>
      </c>
      <c r="P187" s="14">
        <v>73</v>
      </c>
      <c r="Q187" s="14">
        <v>25.94</v>
      </c>
      <c r="R187" s="14">
        <v>153.51599999999999</v>
      </c>
      <c r="S187" s="14">
        <v>356.20400000000001</v>
      </c>
      <c r="T187" s="10" t="b">
        <f t="shared" si="42"/>
        <v>1</v>
      </c>
      <c r="U187" s="10" t="b">
        <f t="shared" si="43"/>
        <v>1</v>
      </c>
      <c r="V187" s="11">
        <f>VLOOKUP(IF(J187&lt;10, 10, IF(J187&gt;50,50,J187)),'Over to underbark'!$A$3:$C$43,IF(A187="Scots pine",3,IF(A187="Sitka spruce",2, "error")),TRUE)/100</f>
        <v>0.84</v>
      </c>
      <c r="W187">
        <f t="shared" si="28"/>
        <v>116.05809599999999</v>
      </c>
      <c r="X187">
        <f t="shared" si="29"/>
        <v>269.29022399999997</v>
      </c>
      <c r="Y187">
        <f t="shared" si="32"/>
        <v>73.399680000000018</v>
      </c>
      <c r="Z187">
        <f t="shared" si="33"/>
        <v>184.30352879759999</v>
      </c>
      <c r="AA187">
        <f t="shared" si="34"/>
        <v>49.466230560000007</v>
      </c>
      <c r="AB187">
        <f t="shared" si="35"/>
        <v>76.33003699439999</v>
      </c>
      <c r="AC187">
        <f t="shared" si="36"/>
        <v>148.64820364799996</v>
      </c>
      <c r="AD187">
        <f>LOOKUP($A187,'Over to underbark'!$A$47:$A$48,'Over to underbark'!E$47:E$48)*Z187</f>
        <v>77.407482094991991</v>
      </c>
      <c r="AE187">
        <f>LOOKUP($A187,'Over to underbark'!$A$47:$A$48,'Over to underbark'!E$47:E$48)*AA187</f>
        <v>20.775816835200001</v>
      </c>
      <c r="AF187">
        <f>LOOKUP($A187,'Over to underbark'!$A$47:$A$48,'Over to underbark'!E$47:E$48)*AB187</f>
        <v>32.058615537647995</v>
      </c>
      <c r="AG187">
        <f>LOOKUP($A187,'Over to underbark'!$A$47:$A$48,'Over to underbark'!E$47:E$48)*AC187</f>
        <v>62.432245532159982</v>
      </c>
      <c r="AH187" t="b">
        <f t="shared" si="37"/>
        <v>1</v>
      </c>
      <c r="AI187" t="b">
        <f t="shared" si="38"/>
        <v>1</v>
      </c>
      <c r="AJ187">
        <f>LOOKUP(A187,'Over to underbark'!$A$47:$A$48,'Over to underbark'!E$47:E$48)*M187</f>
        <v>214.08240000000001</v>
      </c>
      <c r="AK187" s="22">
        <f>LOOKUP(A187,'Over to underbark'!$A$47:$A$48,'Over to underbark'!$B$47:$B$48)*AJ187</f>
        <v>72.788016000000013</v>
      </c>
      <c r="AL187" s="22">
        <f>LOOKUP(A187,'Over to underbark'!$A$47:$A$48,'Over to underbark'!C$47:C$48)*AJ187</f>
        <v>74.928839999999994</v>
      </c>
      <c r="AM187" s="22">
        <f t="shared" si="39"/>
        <v>286.87041600000003</v>
      </c>
      <c r="AN187" s="36">
        <v>683.02</v>
      </c>
      <c r="AO187" s="23">
        <f t="shared" si="40"/>
        <v>573.74083200000007</v>
      </c>
      <c r="AQ187">
        <f t="shared" si="41"/>
        <v>0.67164179104477595</v>
      </c>
    </row>
    <row r="188" spans="1:43" x14ac:dyDescent="0.35">
      <c r="A188" t="s">
        <v>41</v>
      </c>
      <c r="B188">
        <v>8</v>
      </c>
      <c r="C188">
        <v>2</v>
      </c>
      <c r="D188" t="s">
        <v>42</v>
      </c>
      <c r="E188">
        <v>2</v>
      </c>
      <c r="F188">
        <v>1</v>
      </c>
      <c r="G188" s="12">
        <v>74</v>
      </c>
      <c r="H188" s="12">
        <v>20.745999999999999</v>
      </c>
      <c r="I188" s="12">
        <v>1121</v>
      </c>
      <c r="J188" s="12">
        <v>26.190999999999999</v>
      </c>
      <c r="K188" s="12">
        <v>60.393999999999998</v>
      </c>
      <c r="L188" s="12">
        <v>0.46</v>
      </c>
      <c r="M188" s="19">
        <v>516.17999999999995</v>
      </c>
      <c r="N188" s="12">
        <v>8.8829999999999991</v>
      </c>
      <c r="O188" s="13">
        <v>6.9749999999999996</v>
      </c>
      <c r="P188" s="14">
        <v>74</v>
      </c>
      <c r="Q188" s="14">
        <v>26.190999999999999</v>
      </c>
      <c r="R188" s="14">
        <v>151.03200000000001</v>
      </c>
      <c r="S188" s="14">
        <v>365.14800000000002</v>
      </c>
      <c r="T188" s="10" t="b">
        <f t="shared" si="42"/>
        <v>1</v>
      </c>
      <c r="U188" s="10" t="b">
        <f t="shared" si="43"/>
        <v>1</v>
      </c>
      <c r="V188" s="11">
        <f>VLOOKUP(IF(J188&lt;10, 10, IF(J188&gt;50,50,J188)),'Over to underbark'!$A$3:$C$43,IF(A188="Scots pine",3,IF(A188="Sitka spruce",2, "error")),TRUE)/100</f>
        <v>0.84</v>
      </c>
      <c r="W188">
        <f t="shared" si="28"/>
        <v>114.18019200000002</v>
      </c>
      <c r="X188">
        <f t="shared" si="29"/>
        <v>276.05188800000002</v>
      </c>
      <c r="Y188">
        <f t="shared" si="32"/>
        <v>74.32992000000003</v>
      </c>
      <c r="Z188">
        <f t="shared" si="33"/>
        <v>185.97174311520004</v>
      </c>
      <c r="AA188">
        <f t="shared" si="34"/>
        <v>49.724781120000017</v>
      </c>
      <c r="AB188">
        <f t="shared" si="35"/>
        <v>76.484833588800001</v>
      </c>
      <c r="AC188">
        <f t="shared" si="36"/>
        <v>152.38064217600001</v>
      </c>
      <c r="AD188">
        <f>LOOKUP($A188,'Over to underbark'!$A$47:$A$48,'Over to underbark'!E$47:E$48)*Z188</f>
        <v>78.108132108384012</v>
      </c>
      <c r="AE188">
        <f>LOOKUP($A188,'Over to underbark'!$A$47:$A$48,'Over to underbark'!E$47:E$48)*AA188</f>
        <v>20.884408070400006</v>
      </c>
      <c r="AF188">
        <f>LOOKUP($A188,'Over to underbark'!$A$47:$A$48,'Over to underbark'!E$47:E$48)*AB188</f>
        <v>32.123630107296002</v>
      </c>
      <c r="AG188">
        <f>LOOKUP($A188,'Over to underbark'!$A$47:$A$48,'Over to underbark'!E$47:E$48)*AC188</f>
        <v>63.999869713919999</v>
      </c>
      <c r="AH188" t="b">
        <f t="shared" si="37"/>
        <v>1</v>
      </c>
      <c r="AI188" t="b">
        <f t="shared" si="38"/>
        <v>1</v>
      </c>
      <c r="AJ188">
        <f>LOOKUP(A188,'Over to underbark'!$A$47:$A$48,'Over to underbark'!E$47:E$48)*M188</f>
        <v>216.79559999999998</v>
      </c>
      <c r="AK188" s="22">
        <f>LOOKUP(A188,'Over to underbark'!$A$47:$A$48,'Over to underbark'!$B$47:$B$48)*AJ188</f>
        <v>73.710504</v>
      </c>
      <c r="AL188" s="22">
        <f>LOOKUP(A188,'Over to underbark'!$A$47:$A$48,'Over to underbark'!C$47:C$48)*AJ188</f>
        <v>75.87845999999999</v>
      </c>
      <c r="AM188" s="22">
        <f t="shared" si="39"/>
        <v>290.50610399999999</v>
      </c>
      <c r="AN188" s="36">
        <v>691.68</v>
      </c>
      <c r="AO188" s="23">
        <f t="shared" si="40"/>
        <v>581.01220799999999</v>
      </c>
      <c r="AQ188">
        <f t="shared" si="41"/>
        <v>0.67164179104477617</v>
      </c>
    </row>
    <row r="189" spans="1:43" x14ac:dyDescent="0.35">
      <c r="A189" t="s">
        <v>41</v>
      </c>
      <c r="B189">
        <v>8</v>
      </c>
      <c r="C189">
        <v>2</v>
      </c>
      <c r="D189" t="s">
        <v>42</v>
      </c>
      <c r="E189">
        <v>2</v>
      </c>
      <c r="F189">
        <v>1</v>
      </c>
      <c r="G189" s="12">
        <v>75</v>
      </c>
      <c r="H189" s="12">
        <v>20.898</v>
      </c>
      <c r="I189" s="12">
        <v>1108</v>
      </c>
      <c r="J189" s="12">
        <v>26.434000000000001</v>
      </c>
      <c r="K189" s="12">
        <v>60.805999999999997</v>
      </c>
      <c r="L189" s="12">
        <v>0.47199999999999998</v>
      </c>
      <c r="M189" s="19">
        <v>522.64</v>
      </c>
      <c r="N189" s="12">
        <v>9.1379999999999999</v>
      </c>
      <c r="O189" s="13">
        <v>6.9690000000000003</v>
      </c>
      <c r="P189" s="14">
        <v>75</v>
      </c>
      <c r="Q189" s="14">
        <v>26.434000000000001</v>
      </c>
      <c r="R189" s="14">
        <v>148.68299999999999</v>
      </c>
      <c r="S189" s="14">
        <v>373.95699999999999</v>
      </c>
      <c r="T189" s="10" t="b">
        <f t="shared" si="42"/>
        <v>1</v>
      </c>
      <c r="U189" s="10" t="b">
        <f t="shared" si="43"/>
        <v>1</v>
      </c>
      <c r="V189" s="11">
        <f>VLOOKUP(IF(J189&lt;10, 10, IF(J189&gt;50,50,J189)),'Over to underbark'!$A$3:$C$43,IF(A189="Scots pine",3,IF(A189="Sitka spruce",2, "error")),TRUE)/100</f>
        <v>0.84</v>
      </c>
      <c r="W189">
        <f t="shared" si="28"/>
        <v>112.40434799999998</v>
      </c>
      <c r="X189">
        <f t="shared" si="29"/>
        <v>282.71149200000002</v>
      </c>
      <c r="Y189">
        <f t="shared" si="32"/>
        <v>75.260160000000013</v>
      </c>
      <c r="Z189">
        <f t="shared" si="33"/>
        <v>187.66030309380002</v>
      </c>
      <c r="AA189">
        <f t="shared" si="34"/>
        <v>49.994558280000007</v>
      </c>
      <c r="AB189">
        <f t="shared" si="35"/>
        <v>76.664395042199999</v>
      </c>
      <c r="AC189">
        <f t="shared" si="36"/>
        <v>156.056743584</v>
      </c>
      <c r="AD189">
        <f>LOOKUP($A189,'Over to underbark'!$A$47:$A$48,'Over to underbark'!E$47:E$48)*Z189</f>
        <v>78.817327299396013</v>
      </c>
      <c r="AE189">
        <f>LOOKUP($A189,'Over to underbark'!$A$47:$A$48,'Over to underbark'!E$47:E$48)*AA189</f>
        <v>20.997714477600002</v>
      </c>
      <c r="AF189">
        <f>LOOKUP($A189,'Over to underbark'!$A$47:$A$48,'Over to underbark'!E$47:E$48)*AB189</f>
        <v>32.199045917724</v>
      </c>
      <c r="AG189">
        <f>LOOKUP($A189,'Over to underbark'!$A$47:$A$48,'Over to underbark'!E$47:E$48)*AC189</f>
        <v>65.543832305280006</v>
      </c>
      <c r="AH189" t="b">
        <f t="shared" si="37"/>
        <v>1</v>
      </c>
      <c r="AI189" t="b">
        <f t="shared" si="38"/>
        <v>1</v>
      </c>
      <c r="AJ189">
        <f>LOOKUP(A189,'Over to underbark'!$A$47:$A$48,'Over to underbark'!E$47:E$48)*M189</f>
        <v>219.50879999999998</v>
      </c>
      <c r="AK189" s="22">
        <f>LOOKUP(A189,'Over to underbark'!$A$47:$A$48,'Over to underbark'!$B$47:$B$48)*AJ189</f>
        <v>74.632992000000002</v>
      </c>
      <c r="AL189" s="22">
        <f>LOOKUP(A189,'Over to underbark'!$A$47:$A$48,'Over to underbark'!C$47:C$48)*AJ189</f>
        <v>76.828079999999986</v>
      </c>
      <c r="AM189" s="22">
        <f t="shared" si="39"/>
        <v>294.14179200000001</v>
      </c>
      <c r="AN189" s="36">
        <v>700.34</v>
      </c>
      <c r="AO189" s="23">
        <f t="shared" si="40"/>
        <v>588.28358400000002</v>
      </c>
      <c r="AQ189">
        <f t="shared" si="41"/>
        <v>0.67164179104477617</v>
      </c>
    </row>
    <row r="190" spans="1:43" x14ac:dyDescent="0.35">
      <c r="A190" t="s">
        <v>41</v>
      </c>
      <c r="B190">
        <v>8</v>
      </c>
      <c r="C190">
        <v>2</v>
      </c>
      <c r="D190" t="s">
        <v>42</v>
      </c>
      <c r="E190">
        <v>2</v>
      </c>
      <c r="F190">
        <v>1</v>
      </c>
      <c r="G190" s="12">
        <v>76</v>
      </c>
      <c r="H190" s="12">
        <v>21.05</v>
      </c>
      <c r="I190" s="12">
        <v>1095</v>
      </c>
      <c r="J190" s="12">
        <v>26.68</v>
      </c>
      <c r="K190" s="12">
        <v>61.218000000000004</v>
      </c>
      <c r="L190" s="12">
        <v>0.48299999999999998</v>
      </c>
      <c r="M190" s="19">
        <v>529.1</v>
      </c>
      <c r="N190" s="12">
        <v>9.3849999999999998</v>
      </c>
      <c r="O190" s="13">
        <v>6.9619999999999997</v>
      </c>
      <c r="P190" s="14">
        <v>76</v>
      </c>
      <c r="Q190" s="14">
        <v>26.68</v>
      </c>
      <c r="R190" s="14">
        <v>146.279</v>
      </c>
      <c r="S190" s="14">
        <v>382.82100000000003</v>
      </c>
      <c r="T190" s="10" t="b">
        <f t="shared" si="42"/>
        <v>1</v>
      </c>
      <c r="U190" s="10" t="b">
        <f t="shared" si="43"/>
        <v>1</v>
      </c>
      <c r="V190" s="11">
        <f>VLOOKUP(IF(J190&lt;10, 10, IF(J190&gt;50,50,J190)),'Over to underbark'!$A$3:$C$43,IF(A190="Scots pine",3,IF(A190="Sitka spruce",2, "error")),TRUE)/100</f>
        <v>0.84</v>
      </c>
      <c r="W190">
        <f t="shared" si="28"/>
        <v>110.58692400000001</v>
      </c>
      <c r="X190">
        <f t="shared" si="29"/>
        <v>289.41267599999998</v>
      </c>
      <c r="Y190">
        <f t="shared" si="32"/>
        <v>76.190400000000025</v>
      </c>
      <c r="Z190">
        <f t="shared" si="33"/>
        <v>189.34057409940004</v>
      </c>
      <c r="AA190">
        <f t="shared" si="34"/>
        <v>50.259761640000015</v>
      </c>
      <c r="AB190">
        <f t="shared" si="35"/>
        <v>76.833867108600003</v>
      </c>
      <c r="AC190">
        <f t="shared" si="36"/>
        <v>159.75579715199999</v>
      </c>
      <c r="AD190">
        <f>LOOKUP($A190,'Over to underbark'!$A$47:$A$48,'Over to underbark'!E$47:E$48)*Z190</f>
        <v>79.523041121748022</v>
      </c>
      <c r="AE190">
        <f>LOOKUP($A190,'Over to underbark'!$A$47:$A$48,'Over to underbark'!E$47:E$48)*AA190</f>
        <v>21.109099888800007</v>
      </c>
      <c r="AF190">
        <f>LOOKUP($A190,'Over to underbark'!$A$47:$A$48,'Over to underbark'!E$47:E$48)*AB190</f>
        <v>32.270224185612001</v>
      </c>
      <c r="AG190">
        <f>LOOKUP($A190,'Over to underbark'!$A$47:$A$48,'Over to underbark'!E$47:E$48)*AC190</f>
        <v>67.097434803839988</v>
      </c>
      <c r="AH190" t="b">
        <f t="shared" si="37"/>
        <v>1</v>
      </c>
      <c r="AI190" t="b">
        <f t="shared" si="38"/>
        <v>1</v>
      </c>
      <c r="AJ190">
        <f>LOOKUP(A190,'Over to underbark'!$A$47:$A$48,'Over to underbark'!E$47:E$48)*M190</f>
        <v>222.22200000000001</v>
      </c>
      <c r="AK190" s="22">
        <f>LOOKUP(A190,'Over to underbark'!$A$47:$A$48,'Over to underbark'!$B$47:$B$48)*AJ190</f>
        <v>75.555480000000003</v>
      </c>
      <c r="AL190" s="22">
        <f>LOOKUP(A190,'Over to underbark'!$A$47:$A$48,'Over to underbark'!C$47:C$48)*AJ190</f>
        <v>77.777699999999996</v>
      </c>
      <c r="AM190" s="22">
        <f t="shared" si="39"/>
        <v>297.77748000000003</v>
      </c>
      <c r="AN190" s="36">
        <v>708.99</v>
      </c>
      <c r="AO190" s="23">
        <f t="shared" si="40"/>
        <v>595.55496000000005</v>
      </c>
      <c r="AQ190">
        <f t="shared" si="41"/>
        <v>0.67164179104477606</v>
      </c>
    </row>
    <row r="191" spans="1:43" x14ac:dyDescent="0.35">
      <c r="A191" t="s">
        <v>41</v>
      </c>
      <c r="B191">
        <v>8</v>
      </c>
      <c r="C191">
        <v>2</v>
      </c>
      <c r="D191" t="s">
        <v>42</v>
      </c>
      <c r="E191">
        <v>2</v>
      </c>
      <c r="F191">
        <v>1</v>
      </c>
      <c r="G191" s="12">
        <v>77</v>
      </c>
      <c r="H191" s="12">
        <v>21.181999999999999</v>
      </c>
      <c r="I191" s="12">
        <v>1083</v>
      </c>
      <c r="J191" s="12">
        <v>26.895</v>
      </c>
      <c r="K191" s="12">
        <v>61.527000000000001</v>
      </c>
      <c r="L191" s="12">
        <v>0.49399999999999999</v>
      </c>
      <c r="M191" s="19">
        <v>534.54</v>
      </c>
      <c r="N191" s="12">
        <v>9.6329999999999991</v>
      </c>
      <c r="O191" s="13">
        <v>6.9420000000000002</v>
      </c>
      <c r="P191" s="14">
        <v>77</v>
      </c>
      <c r="Q191" s="14">
        <v>26.895</v>
      </c>
      <c r="R191" s="14">
        <v>144.12299999999999</v>
      </c>
      <c r="S191" s="14">
        <v>390.41699999999997</v>
      </c>
      <c r="T191" s="10" t="b">
        <f t="shared" si="42"/>
        <v>1</v>
      </c>
      <c r="U191" s="10" t="b">
        <f t="shared" si="43"/>
        <v>1</v>
      </c>
      <c r="V191" s="11">
        <f>VLOOKUP(IF(J191&lt;10, 10, IF(J191&gt;50,50,J191)),'Over to underbark'!$A$3:$C$43,IF(A191="Scots pine",3,IF(A191="Sitka spruce",2, "error")),TRUE)/100</f>
        <v>0.84</v>
      </c>
      <c r="W191">
        <f t="shared" si="28"/>
        <v>108.956988</v>
      </c>
      <c r="X191">
        <f t="shared" si="29"/>
        <v>295.15525199999996</v>
      </c>
      <c r="Y191">
        <f t="shared" si="32"/>
        <v>76.973760000000013</v>
      </c>
      <c r="Z191">
        <f t="shared" si="33"/>
        <v>190.73570907779998</v>
      </c>
      <c r="AA191">
        <f t="shared" si="34"/>
        <v>50.472148680000004</v>
      </c>
      <c r="AB191">
        <f t="shared" si="35"/>
        <v>76.952443138199996</v>
      </c>
      <c r="AC191">
        <f t="shared" si="36"/>
        <v>162.92569910399999</v>
      </c>
      <c r="AD191">
        <f>LOOKUP($A191,'Over to underbark'!$A$47:$A$48,'Over to underbark'!E$47:E$48)*Z191</f>
        <v>80.108997812675995</v>
      </c>
      <c r="AE191">
        <f>LOOKUP($A191,'Over to underbark'!$A$47:$A$48,'Over to underbark'!E$47:E$48)*AA191</f>
        <v>21.1983024456</v>
      </c>
      <c r="AF191">
        <f>LOOKUP($A191,'Over to underbark'!$A$47:$A$48,'Over to underbark'!E$47:E$48)*AB191</f>
        <v>32.320026118043998</v>
      </c>
      <c r="AG191">
        <f>LOOKUP($A191,'Over to underbark'!$A$47:$A$48,'Over to underbark'!E$47:E$48)*AC191</f>
        <v>68.428793623679994</v>
      </c>
      <c r="AH191" t="b">
        <f t="shared" si="37"/>
        <v>1</v>
      </c>
      <c r="AI191" t="b">
        <f t="shared" si="38"/>
        <v>1</v>
      </c>
      <c r="AJ191">
        <f>LOOKUP(A191,'Over to underbark'!$A$47:$A$48,'Over to underbark'!E$47:E$48)*M191</f>
        <v>224.50679999999997</v>
      </c>
      <c r="AK191" s="22">
        <f>LOOKUP(A191,'Over to underbark'!$A$47:$A$48,'Over to underbark'!$B$47:$B$48)*AJ191</f>
        <v>76.332312000000002</v>
      </c>
      <c r="AL191" s="22">
        <f>LOOKUP(A191,'Over to underbark'!$A$47:$A$48,'Over to underbark'!C$47:C$48)*AJ191</f>
        <v>78.577379999999991</v>
      </c>
      <c r="AM191" s="22">
        <f t="shared" si="39"/>
        <v>300.839112</v>
      </c>
      <c r="AN191" s="36">
        <v>716.28</v>
      </c>
      <c r="AO191" s="23">
        <f t="shared" si="40"/>
        <v>601.678224</v>
      </c>
      <c r="AQ191">
        <f t="shared" si="41"/>
        <v>0.67164179104477617</v>
      </c>
    </row>
    <row r="192" spans="1:43" x14ac:dyDescent="0.35">
      <c r="A192" t="s">
        <v>41</v>
      </c>
      <c r="B192">
        <v>8</v>
      </c>
      <c r="C192">
        <v>2</v>
      </c>
      <c r="D192" t="s">
        <v>42</v>
      </c>
      <c r="E192">
        <v>2</v>
      </c>
      <c r="F192">
        <v>1</v>
      </c>
      <c r="G192" s="12">
        <v>78</v>
      </c>
      <c r="H192" s="12">
        <v>21.314</v>
      </c>
      <c r="I192" s="12">
        <v>1071</v>
      </c>
      <c r="J192" s="12">
        <v>27.113</v>
      </c>
      <c r="K192" s="12">
        <v>61.835999999999999</v>
      </c>
      <c r="L192" s="12">
        <v>0.504</v>
      </c>
      <c r="M192" s="19">
        <v>539.98</v>
      </c>
      <c r="N192" s="12">
        <v>9.8740000000000006</v>
      </c>
      <c r="O192" s="13">
        <v>6.923</v>
      </c>
      <c r="P192" s="14">
        <v>78</v>
      </c>
      <c r="Q192" s="14">
        <v>27.113</v>
      </c>
      <c r="R192" s="14">
        <v>141.92099999999999</v>
      </c>
      <c r="S192" s="14">
        <v>398.05900000000003</v>
      </c>
      <c r="T192" s="10" t="b">
        <f t="shared" si="42"/>
        <v>1</v>
      </c>
      <c r="U192" s="10" t="b">
        <f t="shared" si="43"/>
        <v>1</v>
      </c>
      <c r="V192" s="11">
        <f>VLOOKUP(IF(J192&lt;10, 10, IF(J192&gt;50,50,J192)),'Over to underbark'!$A$3:$C$43,IF(A192="Scots pine",3,IF(A192="Sitka spruce",2, "error")),TRUE)/100</f>
        <v>0.85</v>
      </c>
      <c r="W192">
        <f t="shared" ref="W192:W255" si="44">R192*0.9*V192</f>
        <v>108.569565</v>
      </c>
      <c r="X192">
        <f t="shared" ref="X192:X255" si="45">S192*0.9*V192</f>
        <v>304.51513499999999</v>
      </c>
      <c r="Y192">
        <f t="shared" si="32"/>
        <v>72.897300000000016</v>
      </c>
      <c r="Z192">
        <f t="shared" si="33"/>
        <v>191.51835088274998</v>
      </c>
      <c r="AA192">
        <f t="shared" si="34"/>
        <v>48.391302150000008</v>
      </c>
      <c r="AB192">
        <f t="shared" si="35"/>
        <v>77.979992447249998</v>
      </c>
      <c r="AC192">
        <f t="shared" si="36"/>
        <v>168.09235452000001</v>
      </c>
      <c r="AD192">
        <f>LOOKUP($A192,'Over to underbark'!$A$47:$A$48,'Over to underbark'!E$47:E$48)*Z192</f>
        <v>80.437707370754993</v>
      </c>
      <c r="AE192">
        <f>LOOKUP($A192,'Over to underbark'!$A$47:$A$48,'Over to underbark'!E$47:E$48)*AA192</f>
        <v>20.324346903000002</v>
      </c>
      <c r="AF192">
        <f>LOOKUP($A192,'Over to underbark'!$A$47:$A$48,'Over to underbark'!E$47:E$48)*AB192</f>
        <v>32.751596827844999</v>
      </c>
      <c r="AG192">
        <f>LOOKUP($A192,'Over to underbark'!$A$47:$A$48,'Over to underbark'!E$47:E$48)*AC192</f>
        <v>70.598788898400002</v>
      </c>
      <c r="AH192" t="b">
        <f t="shared" si="37"/>
        <v>1</v>
      </c>
      <c r="AI192" t="b">
        <f t="shared" si="38"/>
        <v>1</v>
      </c>
      <c r="AJ192">
        <f>LOOKUP(A192,'Over to underbark'!$A$47:$A$48,'Over to underbark'!E$47:E$48)*M192</f>
        <v>226.79159999999999</v>
      </c>
      <c r="AK192" s="22">
        <f>LOOKUP(A192,'Over to underbark'!$A$47:$A$48,'Over to underbark'!$B$47:$B$48)*AJ192</f>
        <v>77.109144000000001</v>
      </c>
      <c r="AL192" s="22">
        <f>LOOKUP(A192,'Over to underbark'!$A$47:$A$48,'Over to underbark'!C$47:C$48)*AJ192</f>
        <v>79.377059999999986</v>
      </c>
      <c r="AM192" s="22">
        <f t="shared" si="39"/>
        <v>303.90074399999997</v>
      </c>
      <c r="AN192" s="36">
        <v>723.57</v>
      </c>
      <c r="AO192" s="23">
        <f t="shared" si="40"/>
        <v>607.80148799999995</v>
      </c>
      <c r="AQ192">
        <f t="shared" si="41"/>
        <v>0.67164179104477617</v>
      </c>
    </row>
    <row r="193" spans="1:43" x14ac:dyDescent="0.35">
      <c r="A193" t="s">
        <v>41</v>
      </c>
      <c r="B193">
        <v>8</v>
      </c>
      <c r="C193">
        <v>2</v>
      </c>
      <c r="D193" t="s">
        <v>42</v>
      </c>
      <c r="E193">
        <v>2</v>
      </c>
      <c r="F193">
        <v>1</v>
      </c>
      <c r="G193" s="12">
        <v>79</v>
      </c>
      <c r="H193" s="12">
        <v>21.446000000000002</v>
      </c>
      <c r="I193" s="12">
        <v>1060</v>
      </c>
      <c r="J193" s="12">
        <v>27.321999999999999</v>
      </c>
      <c r="K193" s="12">
        <v>62.145000000000003</v>
      </c>
      <c r="L193" s="12">
        <v>0.51500000000000001</v>
      </c>
      <c r="M193" s="19">
        <v>545.41999999999996</v>
      </c>
      <c r="N193" s="12">
        <v>10.109</v>
      </c>
      <c r="O193" s="13">
        <v>6.9039999999999999</v>
      </c>
      <c r="P193" s="14">
        <v>79</v>
      </c>
      <c r="Q193" s="14">
        <v>27.321999999999999</v>
      </c>
      <c r="R193" s="14">
        <v>139.875</v>
      </c>
      <c r="S193" s="14">
        <v>405.54500000000002</v>
      </c>
      <c r="T193" s="10" t="b">
        <f t="shared" si="42"/>
        <v>1</v>
      </c>
      <c r="U193" s="10" t="b">
        <f t="shared" si="43"/>
        <v>1</v>
      </c>
      <c r="V193" s="11">
        <f>VLOOKUP(IF(J193&lt;10, 10, IF(J193&gt;50,50,J193)),'Over to underbark'!$A$3:$C$43,IF(A193="Scots pine",3,IF(A193="Sitka spruce",2, "error")),TRUE)/100</f>
        <v>0.85</v>
      </c>
      <c r="W193">
        <f t="shared" si="44"/>
        <v>107.004375</v>
      </c>
      <c r="X193">
        <f t="shared" si="45"/>
        <v>310.24192499999998</v>
      </c>
      <c r="Y193">
        <f t="shared" si="32"/>
        <v>73.631700000000023</v>
      </c>
      <c r="Z193">
        <f t="shared" si="33"/>
        <v>192.91772705624999</v>
      </c>
      <c r="AA193">
        <f t="shared" si="34"/>
        <v>48.586331250000015</v>
      </c>
      <c r="AB193">
        <f t="shared" si="35"/>
        <v>78.120399093749995</v>
      </c>
      <c r="AC193">
        <f t="shared" si="36"/>
        <v>171.2535426</v>
      </c>
      <c r="AD193">
        <f>LOOKUP($A193,'Over to underbark'!$A$47:$A$48,'Over to underbark'!E$47:E$48)*Z193</f>
        <v>81.025445363624996</v>
      </c>
      <c r="AE193">
        <f>LOOKUP($A193,'Over to underbark'!$A$47:$A$48,'Over to underbark'!E$47:E$48)*AA193</f>
        <v>20.406259125000005</v>
      </c>
      <c r="AF193">
        <f>LOOKUP($A193,'Over to underbark'!$A$47:$A$48,'Over to underbark'!E$47:E$48)*AB193</f>
        <v>32.810567619375</v>
      </c>
      <c r="AG193">
        <f>LOOKUP($A193,'Over to underbark'!$A$47:$A$48,'Over to underbark'!E$47:E$48)*AC193</f>
        <v>71.926487891999997</v>
      </c>
      <c r="AH193" t="b">
        <f t="shared" si="37"/>
        <v>1</v>
      </c>
      <c r="AI193" t="b">
        <f t="shared" si="38"/>
        <v>1</v>
      </c>
      <c r="AJ193">
        <f>LOOKUP(A193,'Over to underbark'!$A$47:$A$48,'Over to underbark'!E$47:E$48)*M193</f>
        <v>229.07639999999998</v>
      </c>
      <c r="AK193" s="22">
        <f>LOOKUP(A193,'Over to underbark'!$A$47:$A$48,'Over to underbark'!$B$47:$B$48)*AJ193</f>
        <v>77.885975999999999</v>
      </c>
      <c r="AL193" s="22">
        <f>LOOKUP(A193,'Over to underbark'!$A$47:$A$48,'Over to underbark'!C$47:C$48)*AJ193</f>
        <v>80.176739999999981</v>
      </c>
      <c r="AM193" s="22">
        <f t="shared" si="39"/>
        <v>306.96237599999995</v>
      </c>
      <c r="AN193" s="36">
        <v>730.86</v>
      </c>
      <c r="AO193" s="23">
        <f t="shared" si="40"/>
        <v>613.9247519999999</v>
      </c>
      <c r="AQ193">
        <f t="shared" si="41"/>
        <v>0.67164179104477628</v>
      </c>
    </row>
    <row r="194" spans="1:43" x14ac:dyDescent="0.35">
      <c r="A194" t="s">
        <v>41</v>
      </c>
      <c r="B194">
        <v>8</v>
      </c>
      <c r="C194">
        <v>2</v>
      </c>
      <c r="D194" t="s">
        <v>42</v>
      </c>
      <c r="E194">
        <v>2</v>
      </c>
      <c r="F194">
        <v>1</v>
      </c>
      <c r="G194" s="12">
        <v>80</v>
      </c>
      <c r="H194" s="12">
        <v>21.577999999999999</v>
      </c>
      <c r="I194" s="12">
        <v>1048</v>
      </c>
      <c r="J194" s="12">
        <v>27.545999999999999</v>
      </c>
      <c r="K194" s="12">
        <v>62.454000000000001</v>
      </c>
      <c r="L194" s="12">
        <v>0.52600000000000002</v>
      </c>
      <c r="M194" s="19">
        <v>550.86</v>
      </c>
      <c r="N194" s="12">
        <v>10.339</v>
      </c>
      <c r="O194" s="13">
        <v>6.8860000000000001</v>
      </c>
      <c r="P194" s="14">
        <v>80</v>
      </c>
      <c r="Q194" s="14">
        <v>27.545999999999999</v>
      </c>
      <c r="R194" s="14">
        <v>137.589</v>
      </c>
      <c r="S194" s="14">
        <v>413.27100000000002</v>
      </c>
      <c r="T194" s="10" t="b">
        <f t="shared" si="42"/>
        <v>1</v>
      </c>
      <c r="U194" s="10" t="b">
        <f t="shared" si="43"/>
        <v>1</v>
      </c>
      <c r="V194" s="11">
        <f>VLOOKUP(IF(J194&lt;10, 10, IF(J194&gt;50,50,J194)),'Over to underbark'!$A$3:$C$43,IF(A194="Scots pine",3,IF(A194="Sitka spruce",2, "error")),TRUE)/100</f>
        <v>0.85</v>
      </c>
      <c r="W194">
        <f t="shared" si="44"/>
        <v>105.255585</v>
      </c>
      <c r="X194">
        <f t="shared" si="45"/>
        <v>316.15231500000004</v>
      </c>
      <c r="Y194">
        <f t="shared" si="32"/>
        <v>74.366100000000017</v>
      </c>
      <c r="Z194">
        <f t="shared" si="33"/>
        <v>194.28050256975004</v>
      </c>
      <c r="AA194">
        <f t="shared" si="34"/>
        <v>48.761164350000008</v>
      </c>
      <c r="AB194">
        <f t="shared" si="35"/>
        <v>78.216255200250004</v>
      </c>
      <c r="AC194">
        <f t="shared" si="36"/>
        <v>174.51607788000001</v>
      </c>
      <c r="AD194">
        <f>LOOKUP($A194,'Over to underbark'!$A$47:$A$48,'Over to underbark'!E$47:E$48)*Z194</f>
        <v>81.597811079295013</v>
      </c>
      <c r="AE194">
        <f>LOOKUP($A194,'Over to underbark'!$A$47:$A$48,'Over to underbark'!E$47:E$48)*AA194</f>
        <v>20.479689027000003</v>
      </c>
      <c r="AF194">
        <f>LOOKUP($A194,'Over to underbark'!$A$47:$A$48,'Over to underbark'!E$47:E$48)*AB194</f>
        <v>32.850827184105</v>
      </c>
      <c r="AG194">
        <f>LOOKUP($A194,'Over to underbark'!$A$47:$A$48,'Over to underbark'!E$47:E$48)*AC194</f>
        <v>73.2967527096</v>
      </c>
      <c r="AH194" t="b">
        <f t="shared" si="37"/>
        <v>1</v>
      </c>
      <c r="AI194" t="b">
        <f t="shared" si="38"/>
        <v>1</v>
      </c>
      <c r="AJ194">
        <f>LOOKUP(A194,'Over to underbark'!$A$47:$A$48,'Over to underbark'!E$47:E$48)*M194</f>
        <v>231.3612</v>
      </c>
      <c r="AK194" s="22">
        <f>LOOKUP(A194,'Over to underbark'!$A$47:$A$48,'Over to underbark'!$B$47:$B$48)*AJ194</f>
        <v>78.662807999999998</v>
      </c>
      <c r="AL194" s="22">
        <f>LOOKUP(A194,'Over to underbark'!$A$47:$A$48,'Over to underbark'!C$47:C$48)*AJ194</f>
        <v>80.97641999999999</v>
      </c>
      <c r="AM194" s="22">
        <f t="shared" si="39"/>
        <v>310.02400799999998</v>
      </c>
      <c r="AN194" s="36">
        <v>738.15</v>
      </c>
      <c r="AO194" s="23">
        <f t="shared" si="40"/>
        <v>620.04801599999996</v>
      </c>
      <c r="AQ194">
        <f t="shared" si="41"/>
        <v>0.67164179104477628</v>
      </c>
    </row>
    <row r="195" spans="1:43" x14ac:dyDescent="0.35">
      <c r="A195" t="s">
        <v>41</v>
      </c>
      <c r="B195">
        <v>8</v>
      </c>
      <c r="C195">
        <v>2</v>
      </c>
      <c r="D195" t="s">
        <v>42</v>
      </c>
      <c r="E195">
        <v>2</v>
      </c>
      <c r="F195">
        <v>1</v>
      </c>
      <c r="G195" s="12">
        <v>81</v>
      </c>
      <c r="H195" s="12">
        <v>21.71</v>
      </c>
      <c r="I195" s="12">
        <v>1037</v>
      </c>
      <c r="J195" s="12">
        <v>27.76</v>
      </c>
      <c r="K195" s="12">
        <v>62.764000000000003</v>
      </c>
      <c r="L195" s="12">
        <v>0.53600000000000003</v>
      </c>
      <c r="M195" s="19">
        <v>556.29999999999995</v>
      </c>
      <c r="N195" s="12">
        <v>10.563000000000001</v>
      </c>
      <c r="O195" s="13">
        <v>6.8680000000000003</v>
      </c>
      <c r="P195" s="14">
        <v>81</v>
      </c>
      <c r="Q195" s="14">
        <v>27.76</v>
      </c>
      <c r="R195" s="14">
        <v>135.47499999999999</v>
      </c>
      <c r="S195" s="14">
        <v>420.82499999999999</v>
      </c>
      <c r="T195" s="10" t="b">
        <f t="shared" si="42"/>
        <v>1</v>
      </c>
      <c r="U195" s="10" t="b">
        <f t="shared" si="43"/>
        <v>1</v>
      </c>
      <c r="V195" s="11">
        <f>VLOOKUP(IF(J195&lt;10, 10, IF(J195&gt;50,50,J195)),'Over to underbark'!$A$3:$C$43,IF(A195="Scots pine",3,IF(A195="Sitka spruce",2, "error")),TRUE)/100</f>
        <v>0.85</v>
      </c>
      <c r="W195">
        <f t="shared" si="44"/>
        <v>103.638375</v>
      </c>
      <c r="X195">
        <f t="shared" si="45"/>
        <v>321.93112500000001</v>
      </c>
      <c r="Y195">
        <f t="shared" si="32"/>
        <v>75.100500000000011</v>
      </c>
      <c r="Z195">
        <f t="shared" si="33"/>
        <v>195.66950855625004</v>
      </c>
      <c r="AA195">
        <f t="shared" si="34"/>
        <v>48.950471250000007</v>
      </c>
      <c r="AB195">
        <f t="shared" si="35"/>
        <v>78.344039193750007</v>
      </c>
      <c r="AC195">
        <f t="shared" si="36"/>
        <v>177.70598100000001</v>
      </c>
      <c r="AD195">
        <f>LOOKUP($A195,'Over to underbark'!$A$47:$A$48,'Over to underbark'!E$47:E$48)*Z195</f>
        <v>82.181193593625011</v>
      </c>
      <c r="AE195">
        <f>LOOKUP($A195,'Over to underbark'!$A$47:$A$48,'Over to underbark'!E$47:E$48)*AA195</f>
        <v>20.559197925000003</v>
      </c>
      <c r="AF195">
        <f>LOOKUP($A195,'Over to underbark'!$A$47:$A$48,'Over to underbark'!E$47:E$48)*AB195</f>
        <v>32.904496461375004</v>
      </c>
      <c r="AG195">
        <f>LOOKUP($A195,'Over to underbark'!$A$47:$A$48,'Over to underbark'!E$47:E$48)*AC195</f>
        <v>74.636512019999998</v>
      </c>
      <c r="AH195" t="b">
        <f t="shared" si="37"/>
        <v>1</v>
      </c>
      <c r="AI195" t="b">
        <f t="shared" si="38"/>
        <v>1</v>
      </c>
      <c r="AJ195">
        <f>LOOKUP(A195,'Over to underbark'!$A$47:$A$48,'Over to underbark'!E$47:E$48)*M195</f>
        <v>233.64599999999996</v>
      </c>
      <c r="AK195" s="22">
        <f>LOOKUP(A195,'Over to underbark'!$A$47:$A$48,'Over to underbark'!$B$47:$B$48)*AJ195</f>
        <v>79.439639999999997</v>
      </c>
      <c r="AL195" s="22">
        <f>LOOKUP(A195,'Over to underbark'!$A$47:$A$48,'Over to underbark'!C$47:C$48)*AJ195</f>
        <v>81.776099999999985</v>
      </c>
      <c r="AM195" s="22">
        <f t="shared" si="39"/>
        <v>313.08563999999996</v>
      </c>
      <c r="AN195" s="36">
        <v>745.44</v>
      </c>
      <c r="AO195" s="23">
        <f t="shared" si="40"/>
        <v>626.17127999999991</v>
      </c>
      <c r="AQ195">
        <f t="shared" si="41"/>
        <v>0.67164179104477628</v>
      </c>
    </row>
    <row r="196" spans="1:43" x14ac:dyDescent="0.35">
      <c r="A196" t="s">
        <v>41</v>
      </c>
      <c r="B196">
        <v>8</v>
      </c>
      <c r="C196">
        <v>2</v>
      </c>
      <c r="D196" t="s">
        <v>42</v>
      </c>
      <c r="E196">
        <v>2</v>
      </c>
      <c r="F196">
        <v>1</v>
      </c>
      <c r="G196" s="12">
        <v>82</v>
      </c>
      <c r="H196" s="12">
        <v>21.824000000000002</v>
      </c>
      <c r="I196" s="12">
        <v>1026</v>
      </c>
      <c r="J196" s="12">
        <v>27.954999999999998</v>
      </c>
      <c r="K196" s="12">
        <v>62.973999999999997</v>
      </c>
      <c r="L196" s="12">
        <v>0.54700000000000004</v>
      </c>
      <c r="M196" s="19">
        <v>560.91999999999996</v>
      </c>
      <c r="N196" s="12">
        <v>10.755000000000001</v>
      </c>
      <c r="O196" s="13">
        <v>6.84</v>
      </c>
      <c r="P196" s="14">
        <v>82</v>
      </c>
      <c r="Q196" s="14">
        <v>27.954999999999998</v>
      </c>
      <c r="R196" s="14">
        <v>133.477</v>
      </c>
      <c r="S196" s="14">
        <v>427.44299999999998</v>
      </c>
      <c r="T196" s="10" t="b">
        <f t="shared" si="42"/>
        <v>1</v>
      </c>
      <c r="U196" s="10" t="b">
        <f t="shared" si="43"/>
        <v>1</v>
      </c>
      <c r="V196" s="11">
        <f>VLOOKUP(IF(J196&lt;10, 10, IF(J196&gt;50,50,J196)),'Over to underbark'!$A$3:$C$43,IF(A196="Scots pine",3,IF(A196="Sitka spruce",2, "error")),TRUE)/100</f>
        <v>0.85</v>
      </c>
      <c r="W196">
        <f t="shared" si="44"/>
        <v>102.109905</v>
      </c>
      <c r="X196">
        <f t="shared" si="45"/>
        <v>326.99389499999995</v>
      </c>
      <c r="Y196">
        <f t="shared" ref="Y196:Y259" si="46">(R196+S196)*0.9*(100%-V196)</f>
        <v>75.72420000000001</v>
      </c>
      <c r="Z196">
        <f t="shared" ref="Z196:Z259" si="47">(50%*Y196)+(46%*W196)+(15%*X196)+(43%*W196*10%)+(43%*W196*90%*5%)+(25%*X196*50%)+(60%*X196*8%)</f>
        <v>196.81823696174996</v>
      </c>
      <c r="AA196">
        <f t="shared" ref="AA196:AA259" si="48">(50%*Y196)+(11%*W196)</f>
        <v>49.094189550000003</v>
      </c>
      <c r="AB196">
        <f t="shared" ref="AB196:AB259" si="49">(43%*W196*90%*95%)+(25%*X196*50%)</f>
        <v>78.41494344825</v>
      </c>
      <c r="AC196">
        <f t="shared" ref="AC196:AC259" si="50">60%*X196*92%</f>
        <v>180.50063003999998</v>
      </c>
      <c r="AD196">
        <f>LOOKUP($A196,'Over to underbark'!$A$47:$A$48,'Over to underbark'!E$47:E$48)*Z196</f>
        <v>82.663659523934982</v>
      </c>
      <c r="AE196">
        <f>LOOKUP($A196,'Over to underbark'!$A$47:$A$48,'Over to underbark'!E$47:E$48)*AA196</f>
        <v>20.619559611</v>
      </c>
      <c r="AF196">
        <f>LOOKUP($A196,'Over to underbark'!$A$47:$A$48,'Over to underbark'!E$47:E$48)*AB196</f>
        <v>32.934276248265</v>
      </c>
      <c r="AG196">
        <f>LOOKUP($A196,'Over to underbark'!$A$47:$A$48,'Over to underbark'!E$47:E$48)*AC196</f>
        <v>75.810264616799984</v>
      </c>
      <c r="AH196" t="b">
        <f t="shared" ref="AH196:AH259" si="51">SUM(W196:Y196)=SUM(Z196:AC196)</f>
        <v>1</v>
      </c>
      <c r="AI196" t="b">
        <f t="shared" ref="AI196:AI259" si="52">SUM(R196:S196)*0.9 = SUM(W196:Y196)</f>
        <v>1</v>
      </c>
      <c r="AJ196">
        <f>LOOKUP(A196,'Over to underbark'!$A$47:$A$48,'Over to underbark'!E$47:E$48)*M196</f>
        <v>235.58639999999997</v>
      </c>
      <c r="AK196" s="22">
        <f>LOOKUP(A196,'Over to underbark'!$A$47:$A$48,'Over to underbark'!$B$47:$B$48)*AJ196</f>
        <v>80.099375999999992</v>
      </c>
      <c r="AL196" s="22">
        <f>LOOKUP(A196,'Over to underbark'!$A$47:$A$48,'Over to underbark'!C$47:C$48)*AJ196</f>
        <v>82.455239999999989</v>
      </c>
      <c r="AM196" s="22">
        <f t="shared" ref="AM196:AM259" si="53">AJ196+AK196</f>
        <v>315.68577599999998</v>
      </c>
      <c r="AN196" s="36">
        <v>751.63</v>
      </c>
      <c r="AO196" s="23">
        <f t="shared" ref="AO196:AO259" si="54">AM196*2</f>
        <v>631.37155199999995</v>
      </c>
      <c r="AQ196">
        <f t="shared" ref="AQ196:AQ259" si="55">(AD196+AE196+AF196+AG196)/AM196</f>
        <v>0.67164179104477595</v>
      </c>
    </row>
    <row r="197" spans="1:43" x14ac:dyDescent="0.35">
      <c r="A197" t="s">
        <v>41</v>
      </c>
      <c r="B197">
        <v>8</v>
      </c>
      <c r="C197">
        <v>2</v>
      </c>
      <c r="D197" t="s">
        <v>42</v>
      </c>
      <c r="E197">
        <v>2</v>
      </c>
      <c r="F197">
        <v>1</v>
      </c>
      <c r="G197" s="12">
        <v>83</v>
      </c>
      <c r="H197" s="12">
        <v>21.937999999999999</v>
      </c>
      <c r="I197" s="12">
        <v>1015</v>
      </c>
      <c r="J197" s="12">
        <v>28.152999999999999</v>
      </c>
      <c r="K197" s="12">
        <v>63.183999999999997</v>
      </c>
      <c r="L197" s="12">
        <v>0.55700000000000005</v>
      </c>
      <c r="M197" s="19">
        <v>565.54</v>
      </c>
      <c r="N197" s="12">
        <v>10.944000000000001</v>
      </c>
      <c r="O197" s="13">
        <v>6.8140000000000001</v>
      </c>
      <c r="P197" s="14">
        <v>83</v>
      </c>
      <c r="Q197" s="14">
        <v>28.152999999999999</v>
      </c>
      <c r="R197" s="14">
        <v>131.44499999999999</v>
      </c>
      <c r="S197" s="14">
        <v>434.09500000000003</v>
      </c>
      <c r="T197" s="10" t="b">
        <f t="shared" si="42"/>
        <v>1</v>
      </c>
      <c r="U197" s="10" t="b">
        <f t="shared" si="43"/>
        <v>1</v>
      </c>
      <c r="V197" s="11">
        <f>VLOOKUP(IF(J197&lt;10, 10, IF(J197&gt;50,50,J197)),'Over to underbark'!$A$3:$C$43,IF(A197="Scots pine",3,IF(A197="Sitka spruce",2, "error")),TRUE)/100</f>
        <v>0.85</v>
      </c>
      <c r="W197">
        <f t="shared" si="44"/>
        <v>100.555425</v>
      </c>
      <c r="X197">
        <f t="shared" si="45"/>
        <v>332.08267500000005</v>
      </c>
      <c r="Y197">
        <f t="shared" si="46"/>
        <v>76.34790000000001</v>
      </c>
      <c r="Z197">
        <f t="shared" si="47"/>
        <v>197.96178027375007</v>
      </c>
      <c r="AA197">
        <f t="shared" si="48"/>
        <v>49.235046750000009</v>
      </c>
      <c r="AB197">
        <f t="shared" si="49"/>
        <v>78.479536376249996</v>
      </c>
      <c r="AC197">
        <f t="shared" si="50"/>
        <v>183.30963660000003</v>
      </c>
      <c r="AD197">
        <f>LOOKUP($A197,'Over to underbark'!$A$47:$A$48,'Over to underbark'!E$47:E$48)*Z197</f>
        <v>83.143947714975027</v>
      </c>
      <c r="AE197">
        <f>LOOKUP($A197,'Over to underbark'!$A$47:$A$48,'Over to underbark'!E$47:E$48)*AA197</f>
        <v>20.678719635000004</v>
      </c>
      <c r="AF197">
        <f>LOOKUP($A197,'Over to underbark'!$A$47:$A$48,'Over to underbark'!E$47:E$48)*AB197</f>
        <v>32.961405278024998</v>
      </c>
      <c r="AG197">
        <f>LOOKUP($A197,'Over to underbark'!$A$47:$A$48,'Over to underbark'!E$47:E$48)*AC197</f>
        <v>76.990047372000006</v>
      </c>
      <c r="AH197" t="b">
        <f t="shared" si="51"/>
        <v>1</v>
      </c>
      <c r="AI197" t="b">
        <f t="shared" si="52"/>
        <v>1</v>
      </c>
      <c r="AJ197">
        <f>LOOKUP(A197,'Over to underbark'!$A$47:$A$48,'Over to underbark'!E$47:E$48)*M197</f>
        <v>237.52679999999998</v>
      </c>
      <c r="AK197" s="22">
        <f>LOOKUP(A197,'Over to underbark'!$A$47:$A$48,'Over to underbark'!$B$47:$B$48)*AJ197</f>
        <v>80.759112000000002</v>
      </c>
      <c r="AL197" s="22">
        <f>LOOKUP(A197,'Over to underbark'!$A$47:$A$48,'Over to underbark'!C$47:C$48)*AJ197</f>
        <v>83.134379999999993</v>
      </c>
      <c r="AM197" s="22">
        <f t="shared" si="53"/>
        <v>318.285912</v>
      </c>
      <c r="AN197" s="36">
        <v>757.82</v>
      </c>
      <c r="AO197" s="23">
        <f t="shared" si="54"/>
        <v>636.57182399999999</v>
      </c>
      <c r="AQ197">
        <f t="shared" si="55"/>
        <v>0.67164179104477628</v>
      </c>
    </row>
    <row r="198" spans="1:43" x14ac:dyDescent="0.35">
      <c r="A198" t="s">
        <v>41</v>
      </c>
      <c r="B198">
        <v>8</v>
      </c>
      <c r="C198">
        <v>2</v>
      </c>
      <c r="D198" t="s">
        <v>42</v>
      </c>
      <c r="E198">
        <v>2</v>
      </c>
      <c r="F198">
        <v>1</v>
      </c>
      <c r="G198" s="12">
        <v>84</v>
      </c>
      <c r="H198" s="12">
        <v>22.052</v>
      </c>
      <c r="I198" s="12">
        <v>1005</v>
      </c>
      <c r="J198" s="12">
        <v>28.34</v>
      </c>
      <c r="K198" s="12">
        <v>63.395000000000003</v>
      </c>
      <c r="L198" s="12">
        <v>0.56699999999999995</v>
      </c>
      <c r="M198" s="19">
        <v>570.16</v>
      </c>
      <c r="N198" s="12">
        <v>11.129</v>
      </c>
      <c r="O198" s="13">
        <v>6.7880000000000003</v>
      </c>
      <c r="P198" s="14">
        <v>84</v>
      </c>
      <c r="Q198" s="14">
        <v>28.34</v>
      </c>
      <c r="R198" s="14">
        <v>129.596</v>
      </c>
      <c r="S198" s="14">
        <v>440.56400000000002</v>
      </c>
      <c r="T198" s="10" t="b">
        <f t="shared" si="42"/>
        <v>1</v>
      </c>
      <c r="U198" s="10" t="b">
        <f t="shared" si="43"/>
        <v>1</v>
      </c>
      <c r="V198" s="11">
        <f>VLOOKUP(IF(J198&lt;10, 10, IF(J198&gt;50,50,J198)),'Over to underbark'!$A$3:$C$43,IF(A198="Scots pine",3,IF(A198="Sitka spruce",2, "error")),TRUE)/100</f>
        <v>0.85</v>
      </c>
      <c r="W198">
        <f t="shared" si="44"/>
        <v>99.140940000000001</v>
      </c>
      <c r="X198">
        <f t="shared" si="45"/>
        <v>337.03146000000004</v>
      </c>
      <c r="Y198">
        <f t="shared" si="46"/>
        <v>76.971600000000024</v>
      </c>
      <c r="Z198">
        <f t="shared" si="47"/>
        <v>199.13323158899999</v>
      </c>
      <c r="AA198">
        <f t="shared" si="48"/>
        <v>49.391303400000012</v>
      </c>
      <c r="AB198">
        <f t="shared" si="49"/>
        <v>78.578099090999999</v>
      </c>
      <c r="AC198">
        <f t="shared" si="50"/>
        <v>186.04136592000003</v>
      </c>
      <c r="AD198">
        <f>LOOKUP($A198,'Over to underbark'!$A$47:$A$48,'Over to underbark'!E$47:E$48)*Z198</f>
        <v>83.635957267379993</v>
      </c>
      <c r="AE198">
        <f>LOOKUP($A198,'Over to underbark'!$A$47:$A$48,'Over to underbark'!E$47:E$48)*AA198</f>
        <v>20.744347428000005</v>
      </c>
      <c r="AF198">
        <f>LOOKUP($A198,'Over to underbark'!$A$47:$A$48,'Over to underbark'!E$47:E$48)*AB198</f>
        <v>33.002801618219998</v>
      </c>
      <c r="AG198">
        <f>LOOKUP($A198,'Over to underbark'!$A$47:$A$48,'Over to underbark'!E$47:E$48)*AC198</f>
        <v>78.137373686400011</v>
      </c>
      <c r="AH198" t="b">
        <f t="shared" si="51"/>
        <v>1</v>
      </c>
      <c r="AI198" t="b">
        <f t="shared" si="52"/>
        <v>1</v>
      </c>
      <c r="AJ198">
        <f>LOOKUP(A198,'Over to underbark'!$A$47:$A$48,'Over to underbark'!E$47:E$48)*M198</f>
        <v>239.46719999999999</v>
      </c>
      <c r="AK198" s="22">
        <f>LOOKUP(A198,'Over to underbark'!$A$47:$A$48,'Over to underbark'!$B$47:$B$48)*AJ198</f>
        <v>81.418847999999997</v>
      </c>
      <c r="AL198" s="22">
        <f>LOOKUP(A198,'Over to underbark'!$A$47:$A$48,'Over to underbark'!C$47:C$48)*AJ198</f>
        <v>83.813519999999997</v>
      </c>
      <c r="AM198" s="22">
        <f t="shared" si="53"/>
        <v>320.88604799999996</v>
      </c>
      <c r="AN198" s="36">
        <v>764.01</v>
      </c>
      <c r="AO198" s="23">
        <f t="shared" si="54"/>
        <v>641.77209599999992</v>
      </c>
      <c r="AQ198">
        <f t="shared" si="55"/>
        <v>0.67164179104477628</v>
      </c>
    </row>
    <row r="199" spans="1:43" x14ac:dyDescent="0.35">
      <c r="A199" t="s">
        <v>41</v>
      </c>
      <c r="B199">
        <v>8</v>
      </c>
      <c r="C199">
        <v>2</v>
      </c>
      <c r="D199" t="s">
        <v>42</v>
      </c>
      <c r="E199">
        <v>2</v>
      </c>
      <c r="F199">
        <v>1</v>
      </c>
      <c r="G199" s="12">
        <v>85</v>
      </c>
      <c r="H199" s="12">
        <v>22.166</v>
      </c>
      <c r="I199" s="12">
        <v>994</v>
      </c>
      <c r="J199" s="12">
        <v>28.538</v>
      </c>
      <c r="K199" s="12">
        <v>63.604999999999997</v>
      </c>
      <c r="L199" s="12">
        <v>0.57799999999999996</v>
      </c>
      <c r="M199" s="19">
        <v>574.78</v>
      </c>
      <c r="N199" s="12">
        <v>11.31</v>
      </c>
      <c r="O199" s="13">
        <v>6.7619999999999996</v>
      </c>
      <c r="P199" s="14">
        <v>85</v>
      </c>
      <c r="Q199" s="14">
        <v>28.538</v>
      </c>
      <c r="R199" s="14">
        <v>127.589</v>
      </c>
      <c r="S199" s="14">
        <v>447.19099999999997</v>
      </c>
      <c r="T199" s="10" t="b">
        <f t="shared" ref="T199:T215" si="56">G199=P199</f>
        <v>1</v>
      </c>
      <c r="U199" s="10" t="b">
        <f t="shared" ref="U199:U215" si="57">J199=Q199</f>
        <v>1</v>
      </c>
      <c r="V199" s="11">
        <f>VLOOKUP(IF(J199&lt;10, 10, IF(J199&gt;50,50,J199)),'Over to underbark'!$A$3:$C$43,IF(A199="Scots pine",3,IF(A199="Sitka spruce",2, "error")),TRUE)/100</f>
        <v>0.85</v>
      </c>
      <c r="W199">
        <f t="shared" si="44"/>
        <v>97.605585000000005</v>
      </c>
      <c r="X199">
        <f t="shared" si="45"/>
        <v>342.10111499999999</v>
      </c>
      <c r="Y199">
        <f t="shared" si="46"/>
        <v>77.595300000000009</v>
      </c>
      <c r="Z199">
        <f t="shared" si="47"/>
        <v>200.28058746975</v>
      </c>
      <c r="AA199">
        <f t="shared" si="48"/>
        <v>49.534264350000001</v>
      </c>
      <c r="AB199">
        <f t="shared" si="49"/>
        <v>78.64733270024999</v>
      </c>
      <c r="AC199">
        <f t="shared" si="50"/>
        <v>188.83981548</v>
      </c>
      <c r="AD199">
        <f>LOOKUP($A199,'Over to underbark'!$A$47:$A$48,'Over to underbark'!E$47:E$48)*Z199</f>
        <v>84.117846737294997</v>
      </c>
      <c r="AE199">
        <f>LOOKUP($A199,'Over to underbark'!$A$47:$A$48,'Over to underbark'!E$47:E$48)*AA199</f>
        <v>20.804391027000001</v>
      </c>
      <c r="AF199">
        <f>LOOKUP($A199,'Over to underbark'!$A$47:$A$48,'Over to underbark'!E$47:E$48)*AB199</f>
        <v>33.031879734104997</v>
      </c>
      <c r="AG199">
        <f>LOOKUP($A199,'Over to underbark'!$A$47:$A$48,'Over to underbark'!E$47:E$48)*AC199</f>
        <v>79.312722501599993</v>
      </c>
      <c r="AH199" t="b">
        <f t="shared" si="51"/>
        <v>1</v>
      </c>
      <c r="AI199" t="b">
        <f t="shared" si="52"/>
        <v>1</v>
      </c>
      <c r="AJ199">
        <f>LOOKUP(A199,'Over to underbark'!$A$47:$A$48,'Over to underbark'!E$47:E$48)*M199</f>
        <v>241.40759999999997</v>
      </c>
      <c r="AK199" s="22">
        <f>LOOKUP(A199,'Over to underbark'!$A$47:$A$48,'Over to underbark'!$B$47:$B$48)*AJ199</f>
        <v>82.078583999999992</v>
      </c>
      <c r="AL199" s="22">
        <f>LOOKUP(A199,'Over to underbark'!$A$47:$A$48,'Over to underbark'!C$47:C$48)*AJ199</f>
        <v>84.492659999999987</v>
      </c>
      <c r="AM199" s="22">
        <f t="shared" si="53"/>
        <v>323.48618399999998</v>
      </c>
      <c r="AN199" s="36">
        <v>770.21</v>
      </c>
      <c r="AO199" s="23">
        <f t="shared" si="54"/>
        <v>646.97236799999996</v>
      </c>
      <c r="AQ199">
        <f t="shared" si="55"/>
        <v>0.67164179104477617</v>
      </c>
    </row>
    <row r="200" spans="1:43" x14ac:dyDescent="0.35">
      <c r="A200" t="s">
        <v>41</v>
      </c>
      <c r="B200">
        <v>8</v>
      </c>
      <c r="C200">
        <v>2</v>
      </c>
      <c r="D200" t="s">
        <v>42</v>
      </c>
      <c r="E200">
        <v>2</v>
      </c>
      <c r="F200">
        <v>1</v>
      </c>
      <c r="G200" s="12">
        <v>86</v>
      </c>
      <c r="H200" s="12">
        <v>22.28</v>
      </c>
      <c r="I200" s="12">
        <v>984</v>
      </c>
      <c r="J200" s="12">
        <v>28.74</v>
      </c>
      <c r="K200" s="12">
        <v>63.814999999999998</v>
      </c>
      <c r="L200" s="12">
        <v>0.58899999999999997</v>
      </c>
      <c r="M200" s="19">
        <v>579.4</v>
      </c>
      <c r="N200" s="12">
        <v>11.488</v>
      </c>
      <c r="O200" s="13">
        <v>6.7370000000000001</v>
      </c>
      <c r="P200" s="14">
        <v>86</v>
      </c>
      <c r="Q200" s="14">
        <v>28.74</v>
      </c>
      <c r="R200" s="14">
        <v>125.538</v>
      </c>
      <c r="S200" s="14">
        <v>453.86200000000002</v>
      </c>
      <c r="T200" s="10" t="b">
        <f t="shared" si="56"/>
        <v>1</v>
      </c>
      <c r="U200" s="10" t="b">
        <f t="shared" si="57"/>
        <v>1</v>
      </c>
      <c r="V200" s="11">
        <f>VLOOKUP(IF(J200&lt;10, 10, IF(J200&gt;50,50,J200)),'Over to underbark'!$A$3:$C$43,IF(A200="Scots pine",3,IF(A200="Sitka spruce",2, "error")),TRUE)/100</f>
        <v>0.85</v>
      </c>
      <c r="W200">
        <f t="shared" si="44"/>
        <v>96.036569999999998</v>
      </c>
      <c r="X200">
        <f t="shared" si="45"/>
        <v>347.20443000000006</v>
      </c>
      <c r="Y200">
        <f t="shared" si="46"/>
        <v>78.219000000000023</v>
      </c>
      <c r="Z200">
        <f t="shared" si="47"/>
        <v>201.42123322950002</v>
      </c>
      <c r="AA200">
        <f t="shared" si="48"/>
        <v>49.673522700000014</v>
      </c>
      <c r="AB200">
        <f t="shared" si="49"/>
        <v>78.708398710500006</v>
      </c>
      <c r="AC200">
        <f t="shared" si="50"/>
        <v>191.65684536000003</v>
      </c>
      <c r="AD200">
        <f>LOOKUP($A200,'Over to underbark'!$A$47:$A$48,'Over to underbark'!E$47:E$48)*Z200</f>
        <v>84.596917956390001</v>
      </c>
      <c r="AE200">
        <f>LOOKUP($A200,'Over to underbark'!$A$47:$A$48,'Over to underbark'!E$47:E$48)*AA200</f>
        <v>20.862879534000005</v>
      </c>
      <c r="AF200">
        <f>LOOKUP($A200,'Over to underbark'!$A$47:$A$48,'Over to underbark'!E$47:E$48)*AB200</f>
        <v>33.05752745841</v>
      </c>
      <c r="AG200">
        <f>LOOKUP($A200,'Over to underbark'!$A$47:$A$48,'Over to underbark'!E$47:E$48)*AC200</f>
        <v>80.495875051200017</v>
      </c>
      <c r="AH200" t="b">
        <f t="shared" si="51"/>
        <v>1</v>
      </c>
      <c r="AI200" t="b">
        <f t="shared" si="52"/>
        <v>1</v>
      </c>
      <c r="AJ200">
        <f>LOOKUP(A200,'Over to underbark'!$A$47:$A$48,'Over to underbark'!E$47:E$48)*M200</f>
        <v>243.34799999999998</v>
      </c>
      <c r="AK200" s="22">
        <f>LOOKUP(A200,'Over to underbark'!$A$47:$A$48,'Over to underbark'!$B$47:$B$48)*AJ200</f>
        <v>82.738320000000002</v>
      </c>
      <c r="AL200" s="22">
        <f>LOOKUP(A200,'Over to underbark'!$A$47:$A$48,'Over to underbark'!C$47:C$48)*AJ200</f>
        <v>85.17179999999999</v>
      </c>
      <c r="AM200" s="22">
        <f t="shared" si="53"/>
        <v>326.08632</v>
      </c>
      <c r="AN200" s="36">
        <v>776.4</v>
      </c>
      <c r="AO200" s="23">
        <f t="shared" si="54"/>
        <v>652.17264</v>
      </c>
      <c r="AQ200">
        <f t="shared" si="55"/>
        <v>0.67164179104477617</v>
      </c>
    </row>
    <row r="201" spans="1:43" x14ac:dyDescent="0.35">
      <c r="A201" t="s">
        <v>41</v>
      </c>
      <c r="B201">
        <v>8</v>
      </c>
      <c r="C201">
        <v>2</v>
      </c>
      <c r="D201" t="s">
        <v>42</v>
      </c>
      <c r="E201">
        <v>2</v>
      </c>
      <c r="F201">
        <v>1</v>
      </c>
      <c r="G201" s="12">
        <v>87</v>
      </c>
      <c r="H201" s="12">
        <v>22.378</v>
      </c>
      <c r="I201" s="12">
        <v>976</v>
      </c>
      <c r="J201" s="12">
        <v>28.9</v>
      </c>
      <c r="K201" s="12">
        <v>63.997999999999998</v>
      </c>
      <c r="L201" s="12">
        <v>0.59799999999999998</v>
      </c>
      <c r="M201" s="19">
        <v>583.02</v>
      </c>
      <c r="N201" s="12">
        <v>11.685</v>
      </c>
      <c r="O201" s="13">
        <v>6.7009999999999996</v>
      </c>
      <c r="P201" s="14">
        <v>87</v>
      </c>
      <c r="Q201" s="14">
        <v>28.9</v>
      </c>
      <c r="R201" s="14">
        <v>123.917</v>
      </c>
      <c r="S201" s="14">
        <v>459.10300000000001</v>
      </c>
      <c r="T201" s="10" t="b">
        <f t="shared" si="56"/>
        <v>1</v>
      </c>
      <c r="U201" s="10" t="b">
        <f t="shared" si="57"/>
        <v>1</v>
      </c>
      <c r="V201" s="11">
        <f>VLOOKUP(IF(J201&lt;10, 10, IF(J201&gt;50,50,J201)),'Over to underbark'!$A$3:$C$43,IF(A201="Scots pine",3,IF(A201="Sitka spruce",2, "error")),TRUE)/100</f>
        <v>0.85</v>
      </c>
      <c r="W201">
        <f t="shared" si="44"/>
        <v>94.796504999999996</v>
      </c>
      <c r="X201">
        <f t="shared" si="45"/>
        <v>351.213795</v>
      </c>
      <c r="Y201">
        <f t="shared" si="46"/>
        <v>78.707700000000003</v>
      </c>
      <c r="Z201">
        <f t="shared" si="47"/>
        <v>202.31286017174997</v>
      </c>
      <c r="AA201">
        <f t="shared" si="48"/>
        <v>49.78146555</v>
      </c>
      <c r="AB201">
        <f t="shared" si="49"/>
        <v>78.753659438249997</v>
      </c>
      <c r="AC201">
        <f t="shared" si="50"/>
        <v>193.87001484000001</v>
      </c>
      <c r="AD201">
        <f>LOOKUP($A201,'Over to underbark'!$A$47:$A$48,'Over to underbark'!E$47:E$48)*Z201</f>
        <v>84.971401272134983</v>
      </c>
      <c r="AE201">
        <f>LOOKUP($A201,'Over to underbark'!$A$47:$A$48,'Over to underbark'!E$47:E$48)*AA201</f>
        <v>20.908215531</v>
      </c>
      <c r="AF201">
        <f>LOOKUP($A201,'Over to underbark'!$A$47:$A$48,'Over to underbark'!E$47:E$48)*AB201</f>
        <v>33.076536964064999</v>
      </c>
      <c r="AG201">
        <f>LOOKUP($A201,'Over to underbark'!$A$47:$A$48,'Over to underbark'!E$47:E$48)*AC201</f>
        <v>81.4254062328</v>
      </c>
      <c r="AH201" t="b">
        <f t="shared" si="51"/>
        <v>1</v>
      </c>
      <c r="AI201" t="b">
        <f t="shared" si="52"/>
        <v>1</v>
      </c>
      <c r="AJ201">
        <f>LOOKUP(A201,'Over to underbark'!$A$47:$A$48,'Over to underbark'!E$47:E$48)*M201</f>
        <v>244.86839999999998</v>
      </c>
      <c r="AK201" s="22">
        <f>LOOKUP(A201,'Over to underbark'!$A$47:$A$48,'Over to underbark'!$B$47:$B$48)*AJ201</f>
        <v>83.255256000000003</v>
      </c>
      <c r="AL201" s="22">
        <f>LOOKUP(A201,'Over to underbark'!$A$47:$A$48,'Over to underbark'!C$47:C$48)*AJ201</f>
        <v>85.703939999999989</v>
      </c>
      <c r="AM201" s="22">
        <f t="shared" si="53"/>
        <v>328.12365599999998</v>
      </c>
      <c r="AN201" s="36">
        <v>781.25</v>
      </c>
      <c r="AO201" s="23">
        <f t="shared" si="54"/>
        <v>656.24731199999997</v>
      </c>
      <c r="AQ201">
        <f t="shared" si="55"/>
        <v>0.67164179104477606</v>
      </c>
    </row>
    <row r="202" spans="1:43" x14ac:dyDescent="0.35">
      <c r="A202" t="s">
        <v>41</v>
      </c>
      <c r="B202">
        <v>8</v>
      </c>
      <c r="C202">
        <v>2</v>
      </c>
      <c r="D202" t="s">
        <v>42</v>
      </c>
      <c r="E202">
        <v>2</v>
      </c>
      <c r="F202">
        <v>1</v>
      </c>
      <c r="G202" s="12">
        <v>88</v>
      </c>
      <c r="H202" s="12">
        <v>22.475999999999999</v>
      </c>
      <c r="I202" s="12">
        <v>968</v>
      </c>
      <c r="J202" s="12">
        <v>29.062999999999999</v>
      </c>
      <c r="K202" s="12">
        <v>64.180999999999997</v>
      </c>
      <c r="L202" s="12">
        <v>0.60599999999999998</v>
      </c>
      <c r="M202" s="19">
        <v>586.64</v>
      </c>
      <c r="N202" s="12">
        <v>11.879</v>
      </c>
      <c r="O202" s="13">
        <v>6.6660000000000004</v>
      </c>
      <c r="P202" s="14">
        <v>88</v>
      </c>
      <c r="Q202" s="14">
        <v>29.062999999999999</v>
      </c>
      <c r="R202" s="14">
        <v>122.26300000000001</v>
      </c>
      <c r="S202" s="14">
        <v>464.37700000000001</v>
      </c>
      <c r="T202" s="10" t="b">
        <f t="shared" si="56"/>
        <v>1</v>
      </c>
      <c r="U202" s="10" t="b">
        <f t="shared" si="57"/>
        <v>1</v>
      </c>
      <c r="V202" s="11">
        <f>VLOOKUP(IF(J202&lt;10, 10, IF(J202&gt;50,50,J202)),'Over to underbark'!$A$3:$C$43,IF(A202="Scots pine",3,IF(A202="Sitka spruce",2, "error")),TRUE)/100</f>
        <v>0.85</v>
      </c>
      <c r="W202">
        <f t="shared" si="44"/>
        <v>93.531195000000011</v>
      </c>
      <c r="X202">
        <f t="shared" si="45"/>
        <v>355.24840499999999</v>
      </c>
      <c r="Y202">
        <f t="shared" si="46"/>
        <v>79.196400000000011</v>
      </c>
      <c r="Z202">
        <f t="shared" si="47"/>
        <v>203.19945452325001</v>
      </c>
      <c r="AA202">
        <f t="shared" si="48"/>
        <v>49.88663145000001</v>
      </c>
      <c r="AB202">
        <f t="shared" si="49"/>
        <v>78.792794466749996</v>
      </c>
      <c r="AC202">
        <f t="shared" si="50"/>
        <v>196.09711955999998</v>
      </c>
      <c r="AD202">
        <f>LOOKUP($A202,'Over to underbark'!$A$47:$A$48,'Over to underbark'!E$47:E$48)*Z202</f>
        <v>85.343770899765005</v>
      </c>
      <c r="AE202">
        <f>LOOKUP($A202,'Over to underbark'!$A$47:$A$48,'Over to underbark'!E$47:E$48)*AA202</f>
        <v>20.952385209000003</v>
      </c>
      <c r="AF202">
        <f>LOOKUP($A202,'Over to underbark'!$A$47:$A$48,'Over to underbark'!E$47:E$48)*AB202</f>
        <v>33.092973676034994</v>
      </c>
      <c r="AG202">
        <f>LOOKUP($A202,'Over to underbark'!$A$47:$A$48,'Over to underbark'!E$47:E$48)*AC202</f>
        <v>82.360790215199984</v>
      </c>
      <c r="AH202" t="b">
        <f t="shared" si="51"/>
        <v>1</v>
      </c>
      <c r="AI202" t="b">
        <f t="shared" si="52"/>
        <v>1</v>
      </c>
      <c r="AJ202">
        <f>LOOKUP(A202,'Over to underbark'!$A$47:$A$48,'Over to underbark'!E$47:E$48)*M202</f>
        <v>246.38879999999997</v>
      </c>
      <c r="AK202" s="22">
        <f>LOOKUP(A202,'Over to underbark'!$A$47:$A$48,'Over to underbark'!$B$47:$B$48)*AJ202</f>
        <v>83.772192000000004</v>
      </c>
      <c r="AL202" s="22">
        <f>LOOKUP(A202,'Over to underbark'!$A$47:$A$48,'Over to underbark'!C$47:C$48)*AJ202</f>
        <v>86.236079999999987</v>
      </c>
      <c r="AM202" s="22">
        <f t="shared" si="53"/>
        <v>330.16099199999996</v>
      </c>
      <c r="AN202" s="36">
        <v>786.1</v>
      </c>
      <c r="AO202" s="23">
        <f t="shared" si="54"/>
        <v>660.32198399999993</v>
      </c>
      <c r="AQ202">
        <f t="shared" si="55"/>
        <v>0.67164179104477606</v>
      </c>
    </row>
    <row r="203" spans="1:43" x14ac:dyDescent="0.35">
      <c r="A203" t="s">
        <v>41</v>
      </c>
      <c r="B203">
        <v>8</v>
      </c>
      <c r="C203">
        <v>2</v>
      </c>
      <c r="D203" t="s">
        <v>42</v>
      </c>
      <c r="E203">
        <v>2</v>
      </c>
      <c r="F203">
        <v>1</v>
      </c>
      <c r="G203" s="12">
        <v>89</v>
      </c>
      <c r="H203" s="12">
        <v>22.574000000000002</v>
      </c>
      <c r="I203" s="12">
        <v>959</v>
      </c>
      <c r="J203" s="12">
        <v>29.225999999999999</v>
      </c>
      <c r="K203" s="12">
        <v>64.364000000000004</v>
      </c>
      <c r="L203" s="12">
        <v>0.61499999999999999</v>
      </c>
      <c r="M203" s="19">
        <v>590.26</v>
      </c>
      <c r="N203" s="12">
        <v>12.069000000000001</v>
      </c>
      <c r="O203" s="13">
        <v>6.6319999999999997</v>
      </c>
      <c r="P203" s="14">
        <v>89</v>
      </c>
      <c r="Q203" s="14">
        <v>29.225999999999999</v>
      </c>
      <c r="R203" s="14">
        <v>120.622</v>
      </c>
      <c r="S203" s="14">
        <v>469.63799999999998</v>
      </c>
      <c r="T203" s="10" t="b">
        <f t="shared" si="56"/>
        <v>1</v>
      </c>
      <c r="U203" s="10" t="b">
        <f t="shared" si="57"/>
        <v>1</v>
      </c>
      <c r="V203" s="11">
        <f>VLOOKUP(IF(J203&lt;10, 10, IF(J203&gt;50,50,J203)),'Over to underbark'!$A$3:$C$43,IF(A203="Scots pine",3,IF(A203="Sitka spruce",2, "error")),TRUE)/100</f>
        <v>0.85</v>
      </c>
      <c r="W203">
        <f t="shared" si="44"/>
        <v>92.275829999999999</v>
      </c>
      <c r="X203">
        <f t="shared" si="45"/>
        <v>359.27306999999996</v>
      </c>
      <c r="Y203">
        <f t="shared" si="46"/>
        <v>79.68510000000002</v>
      </c>
      <c r="Z203">
        <f t="shared" si="47"/>
        <v>204.08803141049998</v>
      </c>
      <c r="AA203">
        <f t="shared" si="48"/>
        <v>49.992891300000011</v>
      </c>
      <c r="AB203">
        <f t="shared" si="49"/>
        <v>78.834342649499987</v>
      </c>
      <c r="AC203">
        <f t="shared" si="50"/>
        <v>198.31873463999997</v>
      </c>
      <c r="AD203">
        <f>LOOKUP($A203,'Over to underbark'!$A$47:$A$48,'Over to underbark'!E$47:E$48)*Z203</f>
        <v>85.716973192409995</v>
      </c>
      <c r="AE203">
        <f>LOOKUP($A203,'Over to underbark'!$A$47:$A$48,'Over to underbark'!E$47:E$48)*AA203</f>
        <v>20.997014346000004</v>
      </c>
      <c r="AF203">
        <f>LOOKUP($A203,'Over to underbark'!$A$47:$A$48,'Over to underbark'!E$47:E$48)*AB203</f>
        <v>33.11042391278999</v>
      </c>
      <c r="AG203">
        <f>LOOKUP($A203,'Over to underbark'!$A$47:$A$48,'Over to underbark'!E$47:E$48)*AC203</f>
        <v>83.293868548799992</v>
      </c>
      <c r="AH203" t="b">
        <f t="shared" si="51"/>
        <v>1</v>
      </c>
      <c r="AI203" t="b">
        <f t="shared" si="52"/>
        <v>1</v>
      </c>
      <c r="AJ203">
        <f>LOOKUP(A203,'Over to underbark'!$A$47:$A$48,'Over to underbark'!E$47:E$48)*M203</f>
        <v>247.9092</v>
      </c>
      <c r="AK203" s="22">
        <f>LOOKUP(A203,'Over to underbark'!$A$47:$A$48,'Over to underbark'!$B$47:$B$48)*AJ203</f>
        <v>84.289128000000005</v>
      </c>
      <c r="AL203" s="22">
        <f>LOOKUP(A203,'Over to underbark'!$A$47:$A$48,'Over to underbark'!C$47:C$48)*AJ203</f>
        <v>86.768219999999999</v>
      </c>
      <c r="AM203" s="22">
        <f t="shared" si="53"/>
        <v>332.198328</v>
      </c>
      <c r="AN203" s="36">
        <v>790.95</v>
      </c>
      <c r="AO203" s="23">
        <f t="shared" si="54"/>
        <v>664.39665600000001</v>
      </c>
      <c r="AQ203">
        <f t="shared" si="55"/>
        <v>0.67164179104477606</v>
      </c>
    </row>
    <row r="204" spans="1:43" x14ac:dyDescent="0.35">
      <c r="A204" t="s">
        <v>41</v>
      </c>
      <c r="B204">
        <v>8</v>
      </c>
      <c r="C204">
        <v>2</v>
      </c>
      <c r="D204" t="s">
        <v>42</v>
      </c>
      <c r="E204">
        <v>2</v>
      </c>
      <c r="F204">
        <v>1</v>
      </c>
      <c r="G204" s="12">
        <v>90</v>
      </c>
      <c r="H204" s="12">
        <v>22.672000000000001</v>
      </c>
      <c r="I204" s="12">
        <v>951</v>
      </c>
      <c r="J204" s="12">
        <v>29.391999999999999</v>
      </c>
      <c r="K204" s="12">
        <v>64.546999999999997</v>
      </c>
      <c r="L204" s="12">
        <v>0.624</v>
      </c>
      <c r="M204" s="19">
        <v>593.88</v>
      </c>
      <c r="N204" s="12">
        <v>12.257</v>
      </c>
      <c r="O204" s="13">
        <v>6.5990000000000002</v>
      </c>
      <c r="P204" s="14">
        <v>90</v>
      </c>
      <c r="Q204" s="14">
        <v>29.391999999999999</v>
      </c>
      <c r="R204" s="14">
        <v>118.95</v>
      </c>
      <c r="S204" s="14">
        <v>474.93</v>
      </c>
      <c r="T204" s="10" t="b">
        <f t="shared" si="56"/>
        <v>1</v>
      </c>
      <c r="U204" s="10" t="b">
        <f t="shared" si="57"/>
        <v>1</v>
      </c>
      <c r="V204" s="11">
        <f>VLOOKUP(IF(J204&lt;10, 10, IF(J204&gt;50,50,J204)),'Over to underbark'!$A$3:$C$43,IF(A204="Scots pine",3,IF(A204="Sitka spruce",2, "error")),TRUE)/100</f>
        <v>0.85</v>
      </c>
      <c r="W204">
        <f t="shared" si="44"/>
        <v>90.996750000000006</v>
      </c>
      <c r="X204">
        <f t="shared" si="45"/>
        <v>363.32145000000003</v>
      </c>
      <c r="Y204">
        <f t="shared" si="46"/>
        <v>80.1738</v>
      </c>
      <c r="Z204">
        <f t="shared" si="47"/>
        <v>204.9718807125</v>
      </c>
      <c r="AA204">
        <f t="shared" si="48"/>
        <v>50.096542499999998</v>
      </c>
      <c r="AB204">
        <f t="shared" si="49"/>
        <v>78.870136387499997</v>
      </c>
      <c r="AC204">
        <f t="shared" si="50"/>
        <v>200.55344040000003</v>
      </c>
      <c r="AD204">
        <f>LOOKUP($A204,'Over to underbark'!$A$47:$A$48,'Over to underbark'!E$47:E$48)*Z204</f>
        <v>86.088189899249997</v>
      </c>
      <c r="AE204">
        <f>LOOKUP($A204,'Over to underbark'!$A$47:$A$48,'Over to underbark'!E$47:E$48)*AA204</f>
        <v>21.040547849999999</v>
      </c>
      <c r="AF204">
        <f>LOOKUP($A204,'Over to underbark'!$A$47:$A$48,'Over to underbark'!E$47:E$48)*AB204</f>
        <v>33.125457282749998</v>
      </c>
      <c r="AG204">
        <f>LOOKUP($A204,'Over to underbark'!$A$47:$A$48,'Over to underbark'!E$47:E$48)*AC204</f>
        <v>84.23244496800001</v>
      </c>
      <c r="AH204" t="b">
        <f t="shared" si="51"/>
        <v>1</v>
      </c>
      <c r="AI204" t="b">
        <f t="shared" si="52"/>
        <v>1</v>
      </c>
      <c r="AJ204">
        <f>LOOKUP(A204,'Over to underbark'!$A$47:$A$48,'Over to underbark'!E$47:E$48)*M204</f>
        <v>249.42959999999999</v>
      </c>
      <c r="AK204" s="22">
        <f>LOOKUP(A204,'Over to underbark'!$A$47:$A$48,'Over to underbark'!$B$47:$B$48)*AJ204</f>
        <v>84.806064000000006</v>
      </c>
      <c r="AL204" s="22">
        <f>LOOKUP(A204,'Over to underbark'!$A$47:$A$48,'Over to underbark'!C$47:C$48)*AJ204</f>
        <v>87.300359999999998</v>
      </c>
      <c r="AM204" s="22">
        <f t="shared" si="53"/>
        <v>334.23566399999999</v>
      </c>
      <c r="AN204" s="36">
        <v>795.8</v>
      </c>
      <c r="AO204" s="23">
        <f t="shared" si="54"/>
        <v>668.47132799999997</v>
      </c>
      <c r="AQ204">
        <f t="shared" si="55"/>
        <v>0.67164179104477617</v>
      </c>
    </row>
    <row r="205" spans="1:43" x14ac:dyDescent="0.35">
      <c r="A205" t="s">
        <v>41</v>
      </c>
      <c r="B205">
        <v>8</v>
      </c>
      <c r="C205">
        <v>2</v>
      </c>
      <c r="D205" t="s">
        <v>42</v>
      </c>
      <c r="E205">
        <v>2</v>
      </c>
      <c r="F205">
        <v>1</v>
      </c>
      <c r="G205" s="12">
        <v>91</v>
      </c>
      <c r="H205" s="12">
        <v>22.77</v>
      </c>
      <c r="I205" s="12">
        <v>943</v>
      </c>
      <c r="J205" s="12">
        <v>29.56</v>
      </c>
      <c r="K205" s="12">
        <v>64.73</v>
      </c>
      <c r="L205" s="12">
        <v>0.63300000000000001</v>
      </c>
      <c r="M205" s="19">
        <v>597.5</v>
      </c>
      <c r="N205" s="12">
        <v>12.441000000000001</v>
      </c>
      <c r="O205" s="13">
        <v>6.5659999999999998</v>
      </c>
      <c r="P205" s="14">
        <v>91</v>
      </c>
      <c r="Q205" s="14">
        <v>29.56</v>
      </c>
      <c r="R205" s="14">
        <v>117.265</v>
      </c>
      <c r="S205" s="14">
        <v>480.23500000000001</v>
      </c>
      <c r="T205" s="10" t="b">
        <f t="shared" si="56"/>
        <v>1</v>
      </c>
      <c r="U205" s="10" t="b">
        <f t="shared" si="57"/>
        <v>1</v>
      </c>
      <c r="V205" s="11">
        <f>VLOOKUP(IF(J205&lt;10, 10, IF(J205&gt;50,50,J205)),'Over to underbark'!$A$3:$C$43,IF(A205="Scots pine",3,IF(A205="Sitka spruce",2, "error")),TRUE)/100</f>
        <v>0.85</v>
      </c>
      <c r="W205">
        <f t="shared" si="44"/>
        <v>89.707724999999996</v>
      </c>
      <c r="X205">
        <f t="shared" si="45"/>
        <v>367.379775</v>
      </c>
      <c r="Y205">
        <f t="shared" si="46"/>
        <v>80.662500000000009</v>
      </c>
      <c r="Z205">
        <f t="shared" si="47"/>
        <v>205.85374747874999</v>
      </c>
      <c r="AA205">
        <f t="shared" si="48"/>
        <v>50.199099750000002</v>
      </c>
      <c r="AB205">
        <f t="shared" si="49"/>
        <v>78.903516971249985</v>
      </c>
      <c r="AC205">
        <f t="shared" si="50"/>
        <v>202.7936358</v>
      </c>
      <c r="AD205">
        <f>LOOKUP($A205,'Over to underbark'!$A$47:$A$48,'Over to underbark'!E$47:E$48)*Z205</f>
        <v>86.458573941074988</v>
      </c>
      <c r="AE205">
        <f>LOOKUP($A205,'Over to underbark'!$A$47:$A$48,'Over to underbark'!E$47:E$48)*AA205</f>
        <v>21.083621895</v>
      </c>
      <c r="AF205">
        <f>LOOKUP($A205,'Over to underbark'!$A$47:$A$48,'Over to underbark'!E$47:E$48)*AB205</f>
        <v>33.139477127924991</v>
      </c>
      <c r="AG205">
        <f>LOOKUP($A205,'Over to underbark'!$A$47:$A$48,'Over to underbark'!E$47:E$48)*AC205</f>
        <v>85.173327036000003</v>
      </c>
      <c r="AH205" t="b">
        <f t="shared" si="51"/>
        <v>1</v>
      </c>
      <c r="AI205" t="b">
        <f t="shared" si="52"/>
        <v>1</v>
      </c>
      <c r="AJ205">
        <f>LOOKUP(A205,'Over to underbark'!$A$47:$A$48,'Over to underbark'!E$47:E$48)*M205</f>
        <v>250.95</v>
      </c>
      <c r="AK205" s="22">
        <f>LOOKUP(A205,'Over to underbark'!$A$47:$A$48,'Over to underbark'!$B$47:$B$48)*AJ205</f>
        <v>85.323000000000008</v>
      </c>
      <c r="AL205" s="22">
        <f>LOOKUP(A205,'Over to underbark'!$A$47:$A$48,'Over to underbark'!C$47:C$48)*AJ205</f>
        <v>87.832499999999996</v>
      </c>
      <c r="AM205" s="22">
        <f t="shared" si="53"/>
        <v>336.27300000000002</v>
      </c>
      <c r="AN205" s="36">
        <v>800.65</v>
      </c>
      <c r="AO205" s="23">
        <f t="shared" si="54"/>
        <v>672.54600000000005</v>
      </c>
      <c r="AQ205">
        <f t="shared" si="55"/>
        <v>0.67164179104477595</v>
      </c>
    </row>
    <row r="206" spans="1:43" x14ac:dyDescent="0.35">
      <c r="A206" t="s">
        <v>41</v>
      </c>
      <c r="B206">
        <v>8</v>
      </c>
      <c r="C206">
        <v>2</v>
      </c>
      <c r="D206" t="s">
        <v>42</v>
      </c>
      <c r="E206">
        <v>2</v>
      </c>
      <c r="F206">
        <v>1</v>
      </c>
      <c r="G206" s="12">
        <v>92</v>
      </c>
      <c r="H206" s="12">
        <v>22.852</v>
      </c>
      <c r="I206" s="12">
        <v>936</v>
      </c>
      <c r="J206" s="12">
        <v>29.702999999999999</v>
      </c>
      <c r="K206" s="12">
        <v>64.894000000000005</v>
      </c>
      <c r="L206" s="12">
        <v>0.64100000000000001</v>
      </c>
      <c r="M206" s="19">
        <v>600.52</v>
      </c>
      <c r="N206" s="12">
        <v>12.616</v>
      </c>
      <c r="O206" s="13">
        <v>6.5270000000000001</v>
      </c>
      <c r="P206" s="14">
        <v>92</v>
      </c>
      <c r="Q206" s="14">
        <v>29.702999999999999</v>
      </c>
      <c r="R206" s="14">
        <v>115.83</v>
      </c>
      <c r="S206" s="14">
        <v>484.69</v>
      </c>
      <c r="T206" s="10" t="b">
        <f t="shared" si="56"/>
        <v>1</v>
      </c>
      <c r="U206" s="10" t="b">
        <f t="shared" si="57"/>
        <v>1</v>
      </c>
      <c r="V206" s="11">
        <f>VLOOKUP(IF(J206&lt;10, 10, IF(J206&gt;50,50,J206)),'Over to underbark'!$A$3:$C$43,IF(A206="Scots pine",3,IF(A206="Sitka spruce",2, "error")),TRUE)/100</f>
        <v>0.85</v>
      </c>
      <c r="W206">
        <f t="shared" si="44"/>
        <v>88.609949999999998</v>
      </c>
      <c r="X206">
        <f t="shared" si="45"/>
        <v>370.78784999999999</v>
      </c>
      <c r="Y206">
        <f t="shared" si="46"/>
        <v>81.0702</v>
      </c>
      <c r="Z206">
        <f t="shared" si="47"/>
        <v>206.58498293249997</v>
      </c>
      <c r="AA206">
        <f t="shared" si="48"/>
        <v>50.282194500000003</v>
      </c>
      <c r="AB206">
        <f t="shared" si="49"/>
        <v>78.925929367500004</v>
      </c>
      <c r="AC206">
        <f t="shared" si="50"/>
        <v>204.67489319999999</v>
      </c>
      <c r="AD206">
        <f>LOOKUP($A206,'Over to underbark'!$A$47:$A$48,'Over to underbark'!E$47:E$48)*Z206</f>
        <v>86.765692831649986</v>
      </c>
      <c r="AE206">
        <f>LOOKUP($A206,'Over to underbark'!$A$47:$A$48,'Over to underbark'!E$47:E$48)*AA206</f>
        <v>21.118521690000001</v>
      </c>
      <c r="AF206">
        <f>LOOKUP($A206,'Over to underbark'!$A$47:$A$48,'Over to underbark'!E$47:E$48)*AB206</f>
        <v>33.14889033435</v>
      </c>
      <c r="AG206">
        <f>LOOKUP($A206,'Over to underbark'!$A$47:$A$48,'Over to underbark'!E$47:E$48)*AC206</f>
        <v>85.963455143999994</v>
      </c>
      <c r="AH206" t="b">
        <f t="shared" si="51"/>
        <v>1</v>
      </c>
      <c r="AI206" t="b">
        <f t="shared" si="52"/>
        <v>1</v>
      </c>
      <c r="AJ206">
        <f>LOOKUP(A206,'Over to underbark'!$A$47:$A$48,'Over to underbark'!E$47:E$48)*M206</f>
        <v>252.21839999999997</v>
      </c>
      <c r="AK206" s="22">
        <f>LOOKUP(A206,'Over to underbark'!$A$47:$A$48,'Over to underbark'!$B$47:$B$48)*AJ206</f>
        <v>85.754255999999998</v>
      </c>
      <c r="AL206" s="22">
        <f>LOOKUP(A206,'Over to underbark'!$A$47:$A$48,'Over to underbark'!C$47:C$48)*AJ206</f>
        <v>88.27643999999998</v>
      </c>
      <c r="AM206" s="22">
        <f t="shared" si="53"/>
        <v>337.97265599999997</v>
      </c>
      <c r="AN206" s="36">
        <v>804.7</v>
      </c>
      <c r="AO206" s="23">
        <f t="shared" si="54"/>
        <v>675.94531199999994</v>
      </c>
      <c r="AQ206">
        <f t="shared" si="55"/>
        <v>0.67164179104477617</v>
      </c>
    </row>
    <row r="207" spans="1:43" x14ac:dyDescent="0.35">
      <c r="A207" t="s">
        <v>41</v>
      </c>
      <c r="B207">
        <v>8</v>
      </c>
      <c r="C207">
        <v>2</v>
      </c>
      <c r="D207" t="s">
        <v>42</v>
      </c>
      <c r="E207">
        <v>2</v>
      </c>
      <c r="F207">
        <v>1</v>
      </c>
      <c r="G207" s="12">
        <v>93</v>
      </c>
      <c r="H207" s="12">
        <v>22.934000000000001</v>
      </c>
      <c r="I207" s="12">
        <v>930</v>
      </c>
      <c r="J207" s="12">
        <v>29.847999999999999</v>
      </c>
      <c r="K207" s="12">
        <v>65.058999999999997</v>
      </c>
      <c r="L207" s="12">
        <v>0.64900000000000002</v>
      </c>
      <c r="M207" s="19">
        <v>603.54</v>
      </c>
      <c r="N207" s="12">
        <v>12.788</v>
      </c>
      <c r="O207" s="13">
        <v>6.49</v>
      </c>
      <c r="P207" s="14">
        <v>93</v>
      </c>
      <c r="Q207" s="14">
        <v>29.847999999999999</v>
      </c>
      <c r="R207" s="14">
        <v>114.379</v>
      </c>
      <c r="S207" s="14">
        <v>489.161</v>
      </c>
      <c r="T207" s="10" t="b">
        <f t="shared" si="56"/>
        <v>1</v>
      </c>
      <c r="U207" s="10" t="b">
        <f t="shared" si="57"/>
        <v>1</v>
      </c>
      <c r="V207" s="11">
        <f>VLOOKUP(IF(J207&lt;10, 10, IF(J207&gt;50,50,J207)),'Over to underbark'!$A$3:$C$43,IF(A207="Scots pine",3,IF(A207="Sitka spruce",2, "error")),TRUE)/100</f>
        <v>0.85</v>
      </c>
      <c r="W207">
        <f t="shared" si="44"/>
        <v>87.499935000000008</v>
      </c>
      <c r="X207">
        <f t="shared" si="45"/>
        <v>374.20816500000001</v>
      </c>
      <c r="Y207">
        <f t="shared" si="46"/>
        <v>81.47790000000002</v>
      </c>
      <c r="Z207">
        <f t="shared" si="47"/>
        <v>207.31377834225003</v>
      </c>
      <c r="AA207">
        <f t="shared" si="48"/>
        <v>50.363942850000015</v>
      </c>
      <c r="AB207">
        <f t="shared" si="49"/>
        <v>78.94537172775</v>
      </c>
      <c r="AC207">
        <f t="shared" si="50"/>
        <v>206.56290708</v>
      </c>
      <c r="AD207">
        <f>LOOKUP($A207,'Over to underbark'!$A$47:$A$48,'Over to underbark'!E$47:E$48)*Z207</f>
        <v>87.071786903745007</v>
      </c>
      <c r="AE207">
        <f>LOOKUP($A207,'Over to underbark'!$A$47:$A$48,'Over to underbark'!E$47:E$48)*AA207</f>
        <v>21.152855997000007</v>
      </c>
      <c r="AF207">
        <f>LOOKUP($A207,'Over to underbark'!$A$47:$A$48,'Over to underbark'!E$47:E$48)*AB207</f>
        <v>33.157056125654996</v>
      </c>
      <c r="AG207">
        <f>LOOKUP($A207,'Over to underbark'!$A$47:$A$48,'Over to underbark'!E$47:E$48)*AC207</f>
        <v>86.756420973600001</v>
      </c>
      <c r="AH207" t="b">
        <f t="shared" si="51"/>
        <v>1</v>
      </c>
      <c r="AI207" t="b">
        <f t="shared" si="52"/>
        <v>1</v>
      </c>
      <c r="AJ207">
        <f>LOOKUP(A207,'Over to underbark'!$A$47:$A$48,'Over to underbark'!E$47:E$48)*M207</f>
        <v>253.48679999999999</v>
      </c>
      <c r="AK207" s="22">
        <f>LOOKUP(A207,'Over to underbark'!$A$47:$A$48,'Over to underbark'!$B$47:$B$48)*AJ207</f>
        <v>86.185512000000003</v>
      </c>
      <c r="AL207" s="22">
        <f>LOOKUP(A207,'Over to underbark'!$A$47:$A$48,'Over to underbark'!C$47:C$48)*AJ207</f>
        <v>88.720379999999992</v>
      </c>
      <c r="AM207" s="22">
        <f t="shared" si="53"/>
        <v>339.67231199999998</v>
      </c>
      <c r="AN207" s="36">
        <v>808.74</v>
      </c>
      <c r="AO207" s="23">
        <f t="shared" si="54"/>
        <v>679.34462399999995</v>
      </c>
      <c r="AQ207">
        <f t="shared" si="55"/>
        <v>0.67164179104477617</v>
      </c>
    </row>
    <row r="208" spans="1:43" x14ac:dyDescent="0.35">
      <c r="A208" t="s">
        <v>41</v>
      </c>
      <c r="B208">
        <v>8</v>
      </c>
      <c r="C208">
        <v>2</v>
      </c>
      <c r="D208" t="s">
        <v>42</v>
      </c>
      <c r="E208">
        <v>2</v>
      </c>
      <c r="F208">
        <v>1</v>
      </c>
      <c r="G208" s="12">
        <v>94</v>
      </c>
      <c r="H208" s="12">
        <v>23.015999999999998</v>
      </c>
      <c r="I208" s="12">
        <v>923</v>
      </c>
      <c r="J208" s="12">
        <v>29.994</v>
      </c>
      <c r="K208" s="12">
        <v>65.222999999999999</v>
      </c>
      <c r="L208" s="12">
        <v>0.65700000000000003</v>
      </c>
      <c r="M208" s="19">
        <v>606.55999999999995</v>
      </c>
      <c r="N208" s="12">
        <v>12.958</v>
      </c>
      <c r="O208" s="13">
        <v>6.4530000000000003</v>
      </c>
      <c r="P208" s="14">
        <v>94</v>
      </c>
      <c r="Q208" s="14">
        <v>29.994</v>
      </c>
      <c r="R208" s="14">
        <v>112.92700000000001</v>
      </c>
      <c r="S208" s="14">
        <v>493.63299999999998</v>
      </c>
      <c r="T208" s="10" t="b">
        <f t="shared" si="56"/>
        <v>1</v>
      </c>
      <c r="U208" s="10" t="b">
        <f t="shared" si="57"/>
        <v>1</v>
      </c>
      <c r="V208" s="11">
        <f>VLOOKUP(IF(J208&lt;10, 10, IF(J208&gt;50,50,J208)),'Over to underbark'!$A$3:$C$43,IF(A208="Scots pine",3,IF(A208="Sitka spruce",2, "error")),TRUE)/100</f>
        <v>0.85</v>
      </c>
      <c r="W208">
        <f t="shared" si="44"/>
        <v>86.389155000000002</v>
      </c>
      <c r="X208">
        <f t="shared" si="45"/>
        <v>377.62924499999997</v>
      </c>
      <c r="Y208">
        <f t="shared" si="46"/>
        <v>81.885600000000011</v>
      </c>
      <c r="Z208">
        <f t="shared" si="47"/>
        <v>208.04242124925003</v>
      </c>
      <c r="AA208">
        <f t="shared" si="48"/>
        <v>50.445607050000007</v>
      </c>
      <c r="AB208">
        <f t="shared" si="49"/>
        <v>78.964628460749992</v>
      </c>
      <c r="AC208">
        <f t="shared" si="50"/>
        <v>208.45134324</v>
      </c>
      <c r="AD208">
        <f>LOOKUP($A208,'Over to underbark'!$A$47:$A$48,'Over to underbark'!E$47:E$48)*Z208</f>
        <v>87.377816924685007</v>
      </c>
      <c r="AE208">
        <f>LOOKUP($A208,'Over to underbark'!$A$47:$A$48,'Over to underbark'!E$47:E$48)*AA208</f>
        <v>21.187154961000001</v>
      </c>
      <c r="AF208">
        <f>LOOKUP($A208,'Over to underbark'!$A$47:$A$48,'Over to underbark'!E$47:E$48)*AB208</f>
        <v>33.165143953514999</v>
      </c>
      <c r="AG208">
        <f>LOOKUP($A208,'Over to underbark'!$A$47:$A$48,'Over to underbark'!E$47:E$48)*AC208</f>
        <v>87.549564160800003</v>
      </c>
      <c r="AH208" t="b">
        <f t="shared" si="51"/>
        <v>1</v>
      </c>
      <c r="AI208" t="b">
        <f t="shared" si="52"/>
        <v>1</v>
      </c>
      <c r="AJ208">
        <f>LOOKUP(A208,'Over to underbark'!$A$47:$A$48,'Over to underbark'!E$47:E$48)*M208</f>
        <v>254.75519999999997</v>
      </c>
      <c r="AK208" s="22">
        <f>LOOKUP(A208,'Over to underbark'!$A$47:$A$48,'Over to underbark'!$B$47:$B$48)*AJ208</f>
        <v>86.616767999999993</v>
      </c>
      <c r="AL208" s="22">
        <f>LOOKUP(A208,'Over to underbark'!$A$47:$A$48,'Over to underbark'!C$47:C$48)*AJ208</f>
        <v>89.164319999999989</v>
      </c>
      <c r="AM208" s="22">
        <f t="shared" si="53"/>
        <v>341.37196799999998</v>
      </c>
      <c r="AN208" s="36">
        <v>812.79</v>
      </c>
      <c r="AO208" s="23">
        <f t="shared" si="54"/>
        <v>682.74393599999996</v>
      </c>
      <c r="AQ208">
        <f t="shared" si="55"/>
        <v>0.67164179104477617</v>
      </c>
    </row>
    <row r="209" spans="1:43" x14ac:dyDescent="0.35">
      <c r="A209" t="s">
        <v>41</v>
      </c>
      <c r="B209">
        <v>8</v>
      </c>
      <c r="C209">
        <v>2</v>
      </c>
      <c r="D209" t="s">
        <v>42</v>
      </c>
      <c r="E209">
        <v>2</v>
      </c>
      <c r="F209">
        <v>1</v>
      </c>
      <c r="G209" s="12">
        <v>95</v>
      </c>
      <c r="H209" s="12">
        <v>23.097999999999999</v>
      </c>
      <c r="I209" s="12">
        <v>916</v>
      </c>
      <c r="J209" s="12">
        <v>30.140999999999998</v>
      </c>
      <c r="K209" s="12">
        <v>65.388000000000005</v>
      </c>
      <c r="L209" s="12">
        <v>0.66500000000000004</v>
      </c>
      <c r="M209" s="19">
        <v>609.58000000000004</v>
      </c>
      <c r="N209" s="12">
        <v>13.125999999999999</v>
      </c>
      <c r="O209" s="13">
        <v>6.4169999999999998</v>
      </c>
      <c r="P209" s="14">
        <v>95</v>
      </c>
      <c r="Q209" s="14">
        <v>30.140999999999998</v>
      </c>
      <c r="R209" s="14">
        <v>111.473</v>
      </c>
      <c r="S209" s="14">
        <v>498.10700000000003</v>
      </c>
      <c r="T209" s="10" t="b">
        <f t="shared" si="56"/>
        <v>1</v>
      </c>
      <c r="U209" s="10" t="b">
        <f t="shared" si="57"/>
        <v>1</v>
      </c>
      <c r="V209" s="11">
        <f>VLOOKUP(IF(J209&lt;10, 10, IF(J209&gt;50,50,J209)),'Over to underbark'!$A$3:$C$43,IF(A209="Scots pine",3,IF(A209="Sitka spruce",2, "error")),TRUE)/100</f>
        <v>0.85</v>
      </c>
      <c r="W209">
        <f t="shared" si="44"/>
        <v>85.276844999999994</v>
      </c>
      <c r="X209">
        <f t="shared" si="45"/>
        <v>381.05185499999999</v>
      </c>
      <c r="Y209">
        <f t="shared" si="46"/>
        <v>82.293300000000016</v>
      </c>
      <c r="Z209">
        <f t="shared" si="47"/>
        <v>208.77075915075002</v>
      </c>
      <c r="AA209">
        <f t="shared" si="48"/>
        <v>50.527102950000007</v>
      </c>
      <c r="AB209">
        <f t="shared" si="49"/>
        <v>78.983513939250003</v>
      </c>
      <c r="AC209">
        <f t="shared" si="50"/>
        <v>210.34062396000002</v>
      </c>
      <c r="AD209">
        <f>LOOKUP($A209,'Over to underbark'!$A$47:$A$48,'Over to underbark'!E$47:E$48)*Z209</f>
        <v>87.683718843315006</v>
      </c>
      <c r="AE209">
        <f>LOOKUP($A209,'Over to underbark'!$A$47:$A$48,'Over to underbark'!E$47:E$48)*AA209</f>
        <v>21.221383239000001</v>
      </c>
      <c r="AF209">
        <f>LOOKUP($A209,'Over to underbark'!$A$47:$A$48,'Over to underbark'!E$47:E$48)*AB209</f>
        <v>33.173075854484999</v>
      </c>
      <c r="AG209">
        <f>LOOKUP($A209,'Over to underbark'!$A$47:$A$48,'Over to underbark'!E$47:E$48)*AC209</f>
        <v>88.343062063200009</v>
      </c>
      <c r="AH209" t="b">
        <f t="shared" si="51"/>
        <v>1</v>
      </c>
      <c r="AI209" t="b">
        <f t="shared" si="52"/>
        <v>1</v>
      </c>
      <c r="AJ209">
        <f>LOOKUP(A209,'Over to underbark'!$A$47:$A$48,'Over to underbark'!E$47:E$48)*M209</f>
        <v>256.02359999999999</v>
      </c>
      <c r="AK209" s="22">
        <f>LOOKUP(A209,'Over to underbark'!$A$47:$A$48,'Over to underbark'!$B$47:$B$48)*AJ209</f>
        <v>87.048023999999998</v>
      </c>
      <c r="AL209" s="22">
        <f>LOOKUP(A209,'Over to underbark'!$A$47:$A$48,'Over to underbark'!C$47:C$48)*AJ209</f>
        <v>89.608259999999987</v>
      </c>
      <c r="AM209" s="22">
        <f t="shared" si="53"/>
        <v>343.07162399999999</v>
      </c>
      <c r="AN209" s="36">
        <v>816.84</v>
      </c>
      <c r="AO209" s="23">
        <f t="shared" si="54"/>
        <v>686.14324799999997</v>
      </c>
      <c r="AQ209">
        <f t="shared" si="55"/>
        <v>0.67164179104477617</v>
      </c>
    </row>
    <row r="210" spans="1:43" x14ac:dyDescent="0.35">
      <c r="A210" t="s">
        <v>41</v>
      </c>
      <c r="B210">
        <v>8</v>
      </c>
      <c r="C210">
        <v>2</v>
      </c>
      <c r="D210" t="s">
        <v>42</v>
      </c>
      <c r="E210">
        <v>2</v>
      </c>
      <c r="F210">
        <v>1</v>
      </c>
      <c r="G210" s="12">
        <v>96</v>
      </c>
      <c r="H210" s="12">
        <v>23.18</v>
      </c>
      <c r="I210" s="12">
        <v>910</v>
      </c>
      <c r="J210" s="12">
        <v>30.29</v>
      </c>
      <c r="K210" s="12">
        <v>65.552000000000007</v>
      </c>
      <c r="L210" s="12">
        <v>0.67300000000000004</v>
      </c>
      <c r="M210" s="19">
        <v>612.6</v>
      </c>
      <c r="N210" s="12">
        <v>13.291</v>
      </c>
      <c r="O210" s="13">
        <v>6.3810000000000002</v>
      </c>
      <c r="P210" s="14">
        <v>96</v>
      </c>
      <c r="Q210" s="14">
        <v>30.29</v>
      </c>
      <c r="R210" s="14">
        <v>110.005</v>
      </c>
      <c r="S210" s="14">
        <v>502.59500000000003</v>
      </c>
      <c r="T210" s="10" t="b">
        <f t="shared" si="56"/>
        <v>1</v>
      </c>
      <c r="U210" s="10" t="b">
        <f t="shared" si="57"/>
        <v>1</v>
      </c>
      <c r="V210" s="11">
        <f>VLOOKUP(IF(J210&lt;10, 10, IF(J210&gt;50,50,J210)),'Over to underbark'!$A$3:$C$43,IF(A210="Scots pine",3,IF(A210="Sitka spruce",2, "error")),TRUE)/100</f>
        <v>0.85</v>
      </c>
      <c r="W210">
        <f t="shared" si="44"/>
        <v>84.153824999999998</v>
      </c>
      <c r="X210">
        <f t="shared" si="45"/>
        <v>384.48517500000003</v>
      </c>
      <c r="Y210">
        <f t="shared" si="46"/>
        <v>82.701000000000022</v>
      </c>
      <c r="Z210">
        <f t="shared" si="47"/>
        <v>209.49696201374999</v>
      </c>
      <c r="AA210">
        <f t="shared" si="48"/>
        <v>50.60742075000001</v>
      </c>
      <c r="AB210">
        <f t="shared" si="49"/>
        <v>78.999800636250001</v>
      </c>
      <c r="AC210">
        <f t="shared" si="50"/>
        <v>212.23581659999999</v>
      </c>
      <c r="AD210">
        <f>LOOKUP($A210,'Over to underbark'!$A$47:$A$48,'Over to underbark'!E$47:E$48)*Z210</f>
        <v>87.988724045774987</v>
      </c>
      <c r="AE210">
        <f>LOOKUP($A210,'Over to underbark'!$A$47:$A$48,'Over to underbark'!E$47:E$48)*AA210</f>
        <v>21.255116715000003</v>
      </c>
      <c r="AF210">
        <f>LOOKUP($A210,'Over to underbark'!$A$47:$A$48,'Over to underbark'!E$47:E$48)*AB210</f>
        <v>33.179916267224996</v>
      </c>
      <c r="AG210">
        <f>LOOKUP($A210,'Over to underbark'!$A$47:$A$48,'Over to underbark'!E$47:E$48)*AC210</f>
        <v>89.139042971999999</v>
      </c>
      <c r="AH210" t="b">
        <f t="shared" si="51"/>
        <v>1</v>
      </c>
      <c r="AI210" t="b">
        <f t="shared" si="52"/>
        <v>1</v>
      </c>
      <c r="AJ210">
        <f>LOOKUP(A210,'Over to underbark'!$A$47:$A$48,'Over to underbark'!E$47:E$48)*M210</f>
        <v>257.29199999999997</v>
      </c>
      <c r="AK210" s="22">
        <f>LOOKUP(A210,'Over to underbark'!$A$47:$A$48,'Over to underbark'!$B$47:$B$48)*AJ210</f>
        <v>87.479280000000003</v>
      </c>
      <c r="AL210" s="22">
        <f>LOOKUP(A210,'Over to underbark'!$A$47:$A$48,'Over to underbark'!C$47:C$48)*AJ210</f>
        <v>90.052199999999985</v>
      </c>
      <c r="AM210" s="22">
        <f t="shared" si="53"/>
        <v>344.77127999999999</v>
      </c>
      <c r="AN210" s="36">
        <v>820.88</v>
      </c>
      <c r="AO210" s="23">
        <f t="shared" si="54"/>
        <v>689.54255999999998</v>
      </c>
      <c r="AQ210">
        <f t="shared" si="55"/>
        <v>0.67164179104477606</v>
      </c>
    </row>
    <row r="211" spans="1:43" x14ac:dyDescent="0.35">
      <c r="A211" t="s">
        <v>41</v>
      </c>
      <c r="B211">
        <v>8</v>
      </c>
      <c r="C211">
        <v>2</v>
      </c>
      <c r="D211" t="s">
        <v>42</v>
      </c>
      <c r="E211">
        <v>2</v>
      </c>
      <c r="F211">
        <v>1</v>
      </c>
      <c r="G211" s="12">
        <v>97</v>
      </c>
      <c r="H211" s="12">
        <v>23.244</v>
      </c>
      <c r="I211" s="12">
        <v>904</v>
      </c>
      <c r="J211" s="12">
        <v>30.411999999999999</v>
      </c>
      <c r="K211" s="12">
        <v>65.688999999999993</v>
      </c>
      <c r="L211" s="12">
        <v>0.68</v>
      </c>
      <c r="M211" s="19">
        <v>614.91999999999996</v>
      </c>
      <c r="N211" s="12">
        <v>13.455</v>
      </c>
      <c r="O211" s="13">
        <v>6.3390000000000004</v>
      </c>
      <c r="P211" s="14">
        <v>97</v>
      </c>
      <c r="Q211" s="14">
        <v>30.411999999999999</v>
      </c>
      <c r="R211" s="14">
        <v>108.78700000000001</v>
      </c>
      <c r="S211" s="14">
        <v>506.13299999999998</v>
      </c>
      <c r="T211" s="10" t="b">
        <f t="shared" si="56"/>
        <v>1</v>
      </c>
      <c r="U211" s="10" t="b">
        <f t="shared" si="57"/>
        <v>1</v>
      </c>
      <c r="V211" s="11">
        <f>VLOOKUP(IF(J211&lt;10, 10, IF(J211&gt;50,50,J211)),'Over to underbark'!$A$3:$C$43,IF(A211="Scots pine",3,IF(A211="Sitka spruce",2, "error")),TRUE)/100</f>
        <v>0.85</v>
      </c>
      <c r="W211">
        <f t="shared" si="44"/>
        <v>83.222055000000012</v>
      </c>
      <c r="X211">
        <f t="shared" si="45"/>
        <v>387.19174499999997</v>
      </c>
      <c r="Y211">
        <f t="shared" si="46"/>
        <v>83.014200000000017</v>
      </c>
      <c r="Z211">
        <f t="shared" si="47"/>
        <v>210.04107406425004</v>
      </c>
      <c r="AA211">
        <f t="shared" si="48"/>
        <v>50.661526050000006</v>
      </c>
      <c r="AB211">
        <f t="shared" si="49"/>
        <v>78.99555664575</v>
      </c>
      <c r="AC211">
        <f t="shared" si="50"/>
        <v>213.72984323999998</v>
      </c>
      <c r="AD211">
        <f>LOOKUP($A211,'Over to underbark'!$A$47:$A$48,'Over to underbark'!E$47:E$48)*Z211</f>
        <v>88.217251106985017</v>
      </c>
      <c r="AE211">
        <f>LOOKUP($A211,'Over to underbark'!$A$47:$A$48,'Over to underbark'!E$47:E$48)*AA211</f>
        <v>21.277840941000001</v>
      </c>
      <c r="AF211">
        <f>LOOKUP($A211,'Over to underbark'!$A$47:$A$48,'Over to underbark'!E$47:E$48)*AB211</f>
        <v>33.178133791214997</v>
      </c>
      <c r="AG211">
        <f>LOOKUP($A211,'Over to underbark'!$A$47:$A$48,'Over to underbark'!E$47:E$48)*AC211</f>
        <v>89.766534160799992</v>
      </c>
      <c r="AH211" t="b">
        <f t="shared" si="51"/>
        <v>1</v>
      </c>
      <c r="AI211" t="b">
        <f t="shared" si="52"/>
        <v>1</v>
      </c>
      <c r="AJ211">
        <f>LOOKUP(A211,'Over to underbark'!$A$47:$A$48,'Over to underbark'!E$47:E$48)*M211</f>
        <v>258.26639999999998</v>
      </c>
      <c r="AK211" s="22">
        <f>LOOKUP(A211,'Over to underbark'!$A$47:$A$48,'Over to underbark'!$B$47:$B$48)*AJ211</f>
        <v>87.810575999999998</v>
      </c>
      <c r="AL211" s="22">
        <f>LOOKUP(A211,'Over to underbark'!$A$47:$A$48,'Over to underbark'!C$47:C$48)*AJ211</f>
        <v>90.393239999999992</v>
      </c>
      <c r="AM211" s="22">
        <f t="shared" si="53"/>
        <v>346.07697599999995</v>
      </c>
      <c r="AN211" s="36">
        <v>823.99</v>
      </c>
      <c r="AO211" s="23">
        <f t="shared" si="54"/>
        <v>692.15395199999989</v>
      </c>
      <c r="AQ211">
        <f t="shared" si="55"/>
        <v>0.67164179104477628</v>
      </c>
    </row>
    <row r="212" spans="1:43" x14ac:dyDescent="0.35">
      <c r="A212" t="s">
        <v>41</v>
      </c>
      <c r="B212">
        <v>8</v>
      </c>
      <c r="C212">
        <v>2</v>
      </c>
      <c r="D212" t="s">
        <v>42</v>
      </c>
      <c r="E212">
        <v>2</v>
      </c>
      <c r="F212">
        <v>1</v>
      </c>
      <c r="G212" s="12">
        <v>98</v>
      </c>
      <c r="H212" s="12">
        <v>23.308</v>
      </c>
      <c r="I212" s="12">
        <v>899</v>
      </c>
      <c r="J212" s="12">
        <v>30.535</v>
      </c>
      <c r="K212" s="12">
        <v>65.825999999999993</v>
      </c>
      <c r="L212" s="12">
        <v>0.68700000000000006</v>
      </c>
      <c r="M212" s="19">
        <v>617.24</v>
      </c>
      <c r="N212" s="12">
        <v>13.617000000000001</v>
      </c>
      <c r="O212" s="13">
        <v>6.298</v>
      </c>
      <c r="P212" s="14">
        <v>98</v>
      </c>
      <c r="Q212" s="14">
        <v>30.535</v>
      </c>
      <c r="R212" s="14">
        <v>107.565</v>
      </c>
      <c r="S212" s="14">
        <v>509.67500000000001</v>
      </c>
      <c r="T212" s="10" t="b">
        <f t="shared" si="56"/>
        <v>1</v>
      </c>
      <c r="U212" s="10" t="b">
        <f t="shared" si="57"/>
        <v>1</v>
      </c>
      <c r="V212" s="11">
        <f>VLOOKUP(IF(J212&lt;10, 10, IF(J212&gt;50,50,J212)),'Over to underbark'!$A$3:$C$43,IF(A212="Scots pine",3,IF(A212="Sitka spruce",2, "error")),TRUE)/100</f>
        <v>0.85</v>
      </c>
      <c r="W212">
        <f t="shared" si="44"/>
        <v>82.287224999999992</v>
      </c>
      <c r="X212">
        <f t="shared" si="45"/>
        <v>389.90137500000003</v>
      </c>
      <c r="Y212">
        <f t="shared" si="46"/>
        <v>83.327400000000026</v>
      </c>
      <c r="Z212">
        <f t="shared" si="47"/>
        <v>210.58457610375004</v>
      </c>
      <c r="AA212">
        <f t="shared" si="48"/>
        <v>50.715294750000012</v>
      </c>
      <c r="AB212">
        <f t="shared" si="49"/>
        <v>78.990570146249993</v>
      </c>
      <c r="AC212">
        <f t="shared" si="50"/>
        <v>215.22555900000003</v>
      </c>
      <c r="AD212">
        <f>LOOKUP($A212,'Over to underbark'!$A$47:$A$48,'Over to underbark'!E$47:E$48)*Z212</f>
        <v>88.445521963575018</v>
      </c>
      <c r="AE212">
        <f>LOOKUP($A212,'Over to underbark'!$A$47:$A$48,'Over to underbark'!E$47:E$48)*AA212</f>
        <v>21.300423795000004</v>
      </c>
      <c r="AF212">
        <f>LOOKUP($A212,'Over to underbark'!$A$47:$A$48,'Over to underbark'!E$47:E$48)*AB212</f>
        <v>33.176039461424999</v>
      </c>
      <c r="AG212">
        <f>LOOKUP($A212,'Over to underbark'!$A$47:$A$48,'Over to underbark'!E$47:E$48)*AC212</f>
        <v>90.394734780000007</v>
      </c>
      <c r="AH212" t="b">
        <f t="shared" si="51"/>
        <v>1</v>
      </c>
      <c r="AI212" t="b">
        <f t="shared" si="52"/>
        <v>1</v>
      </c>
      <c r="AJ212">
        <f>LOOKUP(A212,'Over to underbark'!$A$47:$A$48,'Over to underbark'!E$47:E$48)*M212</f>
        <v>259.24079999999998</v>
      </c>
      <c r="AK212" s="22">
        <f>LOOKUP(A212,'Over to underbark'!$A$47:$A$48,'Over to underbark'!$B$47:$B$48)*AJ212</f>
        <v>88.141871999999992</v>
      </c>
      <c r="AL212" s="22">
        <f>LOOKUP(A212,'Over to underbark'!$A$47:$A$48,'Over to underbark'!C$47:C$48)*AJ212</f>
        <v>90.734279999999984</v>
      </c>
      <c r="AM212" s="22">
        <f t="shared" si="53"/>
        <v>347.38267199999996</v>
      </c>
      <c r="AN212" s="36">
        <v>827.1</v>
      </c>
      <c r="AO212" s="23">
        <f t="shared" si="54"/>
        <v>694.76534399999991</v>
      </c>
      <c r="AQ212">
        <f t="shared" si="55"/>
        <v>0.67164179104477628</v>
      </c>
    </row>
    <row r="213" spans="1:43" x14ac:dyDescent="0.35">
      <c r="A213" t="s">
        <v>41</v>
      </c>
      <c r="B213">
        <v>8</v>
      </c>
      <c r="C213">
        <v>2</v>
      </c>
      <c r="D213" t="s">
        <v>42</v>
      </c>
      <c r="E213">
        <v>2</v>
      </c>
      <c r="F213">
        <v>1</v>
      </c>
      <c r="G213" s="12">
        <v>99</v>
      </c>
      <c r="H213" s="12">
        <v>23.372</v>
      </c>
      <c r="I213" s="12">
        <v>894</v>
      </c>
      <c r="J213" s="12">
        <v>30.658999999999999</v>
      </c>
      <c r="K213" s="12">
        <v>65.962999999999994</v>
      </c>
      <c r="L213" s="12">
        <v>0.69299999999999995</v>
      </c>
      <c r="M213" s="19">
        <v>619.55999999999995</v>
      </c>
      <c r="N213" s="12">
        <v>13.778</v>
      </c>
      <c r="O213" s="13">
        <v>6.258</v>
      </c>
      <c r="P213" s="14">
        <v>99</v>
      </c>
      <c r="Q213" s="14">
        <v>30.658999999999999</v>
      </c>
      <c r="R213" s="14">
        <v>106.34</v>
      </c>
      <c r="S213" s="14">
        <v>513.22</v>
      </c>
      <c r="T213" s="10" t="b">
        <f t="shared" si="56"/>
        <v>1</v>
      </c>
      <c r="U213" s="10" t="b">
        <f t="shared" si="57"/>
        <v>1</v>
      </c>
      <c r="V213" s="11">
        <f>VLOOKUP(IF(J213&lt;10, 10, IF(J213&gt;50,50,J213)),'Over to underbark'!$A$3:$C$43,IF(A213="Scots pine",3,IF(A213="Sitka spruce",2, "error")),TRUE)/100</f>
        <v>0.85</v>
      </c>
      <c r="W213">
        <f t="shared" si="44"/>
        <v>81.350099999999998</v>
      </c>
      <c r="X213">
        <f t="shared" si="45"/>
        <v>392.61330000000004</v>
      </c>
      <c r="Y213">
        <f t="shared" si="46"/>
        <v>83.64060000000002</v>
      </c>
      <c r="Z213">
        <f t="shared" si="47"/>
        <v>211.12762063500003</v>
      </c>
      <c r="AA213">
        <f t="shared" si="48"/>
        <v>50.768811000000014</v>
      </c>
      <c r="AB213">
        <f t="shared" si="49"/>
        <v>78.985026765000001</v>
      </c>
      <c r="AC213">
        <f t="shared" si="50"/>
        <v>216.72254160000003</v>
      </c>
      <c r="AD213">
        <f>LOOKUP($A213,'Over to underbark'!$A$47:$A$48,'Over to underbark'!E$47:E$48)*Z213</f>
        <v>88.673600666700011</v>
      </c>
      <c r="AE213">
        <f>LOOKUP($A213,'Over to underbark'!$A$47:$A$48,'Over to underbark'!E$47:E$48)*AA213</f>
        <v>21.322900620000006</v>
      </c>
      <c r="AF213">
        <f>LOOKUP($A213,'Over to underbark'!$A$47:$A$48,'Over to underbark'!E$47:E$48)*AB213</f>
        <v>33.173711241299998</v>
      </c>
      <c r="AG213">
        <f>LOOKUP($A213,'Over to underbark'!$A$47:$A$48,'Over to underbark'!E$47:E$48)*AC213</f>
        <v>91.023467472000007</v>
      </c>
      <c r="AH213" t="b">
        <f t="shared" si="51"/>
        <v>1</v>
      </c>
      <c r="AI213" t="b">
        <f t="shared" si="52"/>
        <v>1</v>
      </c>
      <c r="AJ213">
        <f>LOOKUP(A213,'Over to underbark'!$A$47:$A$48,'Over to underbark'!E$47:E$48)*M213</f>
        <v>260.21519999999998</v>
      </c>
      <c r="AK213" s="22">
        <f>LOOKUP(A213,'Over to underbark'!$A$47:$A$48,'Over to underbark'!$B$47:$B$48)*AJ213</f>
        <v>88.473168000000001</v>
      </c>
      <c r="AL213" s="22">
        <f>LOOKUP(A213,'Over to underbark'!$A$47:$A$48,'Over to underbark'!C$47:C$48)*AJ213</f>
        <v>91.075319999999991</v>
      </c>
      <c r="AM213" s="22">
        <f t="shared" si="53"/>
        <v>348.68836799999997</v>
      </c>
      <c r="AN213" s="36">
        <v>830.21</v>
      </c>
      <c r="AO213" s="23">
        <f t="shared" si="54"/>
        <v>697.37673599999994</v>
      </c>
      <c r="AQ213">
        <f t="shared" si="55"/>
        <v>0.67164179104477628</v>
      </c>
    </row>
    <row r="214" spans="1:43" x14ac:dyDescent="0.35">
      <c r="A214" t="s">
        <v>41</v>
      </c>
      <c r="B214">
        <v>8</v>
      </c>
      <c r="C214">
        <v>2</v>
      </c>
      <c r="D214" t="s">
        <v>42</v>
      </c>
      <c r="E214">
        <v>2</v>
      </c>
      <c r="F214">
        <v>1</v>
      </c>
      <c r="G214" s="12">
        <v>100</v>
      </c>
      <c r="H214" s="12">
        <v>23.436</v>
      </c>
      <c r="I214" s="12">
        <v>888</v>
      </c>
      <c r="J214" s="12">
        <v>30.783999999999999</v>
      </c>
      <c r="K214" s="12">
        <v>66.099999999999994</v>
      </c>
      <c r="L214" s="12">
        <v>0.7</v>
      </c>
      <c r="M214" s="19">
        <v>621.88</v>
      </c>
      <c r="N214" s="12">
        <v>13.936</v>
      </c>
      <c r="O214" s="13">
        <v>6.2190000000000003</v>
      </c>
      <c r="P214" s="14">
        <v>100</v>
      </c>
      <c r="Q214" s="14">
        <v>30.783999999999999</v>
      </c>
      <c r="R214" s="14">
        <v>105.114</v>
      </c>
      <c r="S214" s="14">
        <v>516.76599999999996</v>
      </c>
      <c r="T214" s="10" t="b">
        <f t="shared" si="56"/>
        <v>1</v>
      </c>
      <c r="U214" s="10" t="b">
        <f t="shared" si="57"/>
        <v>1</v>
      </c>
      <c r="V214" s="11">
        <f>VLOOKUP(IF(J214&lt;10, 10, IF(J214&gt;50,50,J214)),'Over to underbark'!$A$3:$C$43,IF(A214="Scots pine",3,IF(A214="Sitka spruce",2, "error")),TRUE)/100</f>
        <v>0.85</v>
      </c>
      <c r="W214">
        <f t="shared" si="44"/>
        <v>80.412210000000002</v>
      </c>
      <c r="X214">
        <f t="shared" si="45"/>
        <v>395.32598999999993</v>
      </c>
      <c r="Y214">
        <f t="shared" si="46"/>
        <v>83.953800000000015</v>
      </c>
      <c r="Z214">
        <f t="shared" si="47"/>
        <v>211.67051266350001</v>
      </c>
      <c r="AA214">
        <f t="shared" si="48"/>
        <v>50.822243100000009</v>
      </c>
      <c r="AB214">
        <f t="shared" si="49"/>
        <v>78.979297756499989</v>
      </c>
      <c r="AC214">
        <f t="shared" si="50"/>
        <v>218.21994647999995</v>
      </c>
      <c r="AD214">
        <f>LOOKUP($A214,'Over to underbark'!$A$47:$A$48,'Over to underbark'!E$47:E$48)*Z214</f>
        <v>88.901615318669997</v>
      </c>
      <c r="AE214">
        <f>LOOKUP($A214,'Over to underbark'!$A$47:$A$48,'Over to underbark'!E$47:E$48)*AA214</f>
        <v>21.345342102000004</v>
      </c>
      <c r="AF214">
        <f>LOOKUP($A214,'Over to underbark'!$A$47:$A$48,'Over to underbark'!E$47:E$48)*AB214</f>
        <v>33.171305057729995</v>
      </c>
      <c r="AG214">
        <f>LOOKUP($A214,'Over to underbark'!$A$47:$A$48,'Over to underbark'!E$47:E$48)*AC214</f>
        <v>91.652377521599973</v>
      </c>
      <c r="AH214" t="b">
        <f t="shared" si="51"/>
        <v>1</v>
      </c>
      <c r="AI214" t="b">
        <f t="shared" si="52"/>
        <v>1</v>
      </c>
      <c r="AJ214">
        <f>LOOKUP(A214,'Over to underbark'!$A$47:$A$48,'Over to underbark'!E$47:E$48)*M214</f>
        <v>261.18959999999998</v>
      </c>
      <c r="AK214" s="22">
        <f>LOOKUP(A214,'Over to underbark'!$A$47:$A$48,'Over to underbark'!$B$47:$B$48)*AJ214</f>
        <v>88.804463999999996</v>
      </c>
      <c r="AL214" s="22">
        <f>LOOKUP(A214,'Over to underbark'!$A$47:$A$48,'Over to underbark'!C$47:C$48)*AJ214</f>
        <v>91.416359999999983</v>
      </c>
      <c r="AM214" s="22">
        <f t="shared" si="53"/>
        <v>349.99406399999998</v>
      </c>
      <c r="AN214" s="36">
        <v>833.32</v>
      </c>
      <c r="AO214" s="23">
        <f t="shared" si="54"/>
        <v>699.98812799999996</v>
      </c>
      <c r="AQ214">
        <f t="shared" si="55"/>
        <v>0.67164179104477606</v>
      </c>
    </row>
    <row r="215" spans="1:43" x14ac:dyDescent="0.35">
      <c r="A215" t="s">
        <v>41</v>
      </c>
      <c r="B215">
        <v>8</v>
      </c>
      <c r="C215">
        <v>2</v>
      </c>
      <c r="D215" t="s">
        <v>42</v>
      </c>
      <c r="E215">
        <v>2</v>
      </c>
      <c r="F215">
        <v>1</v>
      </c>
      <c r="G215" s="12">
        <v>101</v>
      </c>
      <c r="H215" s="12">
        <v>23.5</v>
      </c>
      <c r="I215" s="12">
        <v>883</v>
      </c>
      <c r="J215" s="12">
        <v>30.91</v>
      </c>
      <c r="K215" s="12">
        <v>66.236999999999995</v>
      </c>
      <c r="L215" s="12">
        <v>0.70699999999999996</v>
      </c>
      <c r="M215" s="19">
        <v>624.20000000000005</v>
      </c>
      <c r="N215" s="12">
        <v>14.093</v>
      </c>
      <c r="O215" s="13">
        <v>6.18</v>
      </c>
      <c r="P215" s="14">
        <v>101</v>
      </c>
      <c r="Q215" s="14">
        <v>30.91</v>
      </c>
      <c r="R215" s="14">
        <v>103.88500000000001</v>
      </c>
      <c r="S215" s="14">
        <v>520.31500000000005</v>
      </c>
      <c r="T215" s="10" t="b">
        <f t="shared" si="56"/>
        <v>1</v>
      </c>
      <c r="U215" s="10" t="b">
        <f t="shared" si="57"/>
        <v>1</v>
      </c>
      <c r="V215" s="11">
        <f>VLOOKUP(IF(J215&lt;10, 10, IF(J215&gt;50,50,J215)),'Over to underbark'!$A$3:$C$43,IF(A215="Scots pine",3,IF(A215="Sitka spruce",2, "error")),TRUE)/100</f>
        <v>0.85</v>
      </c>
      <c r="W215">
        <f t="shared" si="44"/>
        <v>79.472025000000002</v>
      </c>
      <c r="X215">
        <f t="shared" si="45"/>
        <v>398.04097500000006</v>
      </c>
      <c r="Y215">
        <f t="shared" si="46"/>
        <v>84.267000000000024</v>
      </c>
      <c r="Z215">
        <f t="shared" si="47"/>
        <v>212.21294718375003</v>
      </c>
      <c r="AA215">
        <f t="shared" si="48"/>
        <v>50.875422750000013</v>
      </c>
      <c r="AB215">
        <f t="shared" si="49"/>
        <v>78.973011866250005</v>
      </c>
      <c r="AC215">
        <f t="shared" si="50"/>
        <v>219.71861820000001</v>
      </c>
      <c r="AD215">
        <f>LOOKUP($A215,'Over to underbark'!$A$47:$A$48,'Over to underbark'!E$47:E$48)*Z215</f>
        <v>89.129437817175017</v>
      </c>
      <c r="AE215">
        <f>LOOKUP($A215,'Over to underbark'!$A$47:$A$48,'Over to underbark'!E$47:E$48)*AA215</f>
        <v>21.367677555000004</v>
      </c>
      <c r="AF215">
        <f>LOOKUP($A215,'Over to underbark'!$A$47:$A$48,'Over to underbark'!E$47:E$48)*AB215</f>
        <v>33.168664983825003</v>
      </c>
      <c r="AG215">
        <f>LOOKUP($A215,'Over to underbark'!$A$47:$A$48,'Over to underbark'!E$47:E$48)*AC215</f>
        <v>92.281819643999995</v>
      </c>
      <c r="AH215" t="b">
        <f t="shared" si="51"/>
        <v>1</v>
      </c>
      <c r="AI215" t="b">
        <f t="shared" si="52"/>
        <v>1</v>
      </c>
      <c r="AJ215">
        <f>LOOKUP(A215,'Over to underbark'!$A$47:$A$48,'Over to underbark'!E$47:E$48)*M215</f>
        <v>262.16399999999999</v>
      </c>
      <c r="AK215" s="22">
        <f>LOOKUP(A215,'Over to underbark'!$A$47:$A$48,'Over to underbark'!$B$47:$B$48)*AJ215</f>
        <v>89.135760000000005</v>
      </c>
      <c r="AL215" s="22">
        <f>LOOKUP(A215,'Over to underbark'!$A$47:$A$48,'Over to underbark'!C$47:C$48)*AJ215</f>
        <v>91.75739999999999</v>
      </c>
      <c r="AM215" s="22">
        <f t="shared" si="53"/>
        <v>351.29975999999999</v>
      </c>
      <c r="AN215" s="36">
        <v>836.43</v>
      </c>
      <c r="AO215" s="23">
        <f t="shared" si="54"/>
        <v>702.59951999999998</v>
      </c>
      <c r="AQ215">
        <f t="shared" si="55"/>
        <v>0.67164179104477617</v>
      </c>
    </row>
    <row r="216" spans="1:43" x14ac:dyDescent="0.35">
      <c r="A216" t="s">
        <v>41</v>
      </c>
      <c r="B216">
        <v>10</v>
      </c>
      <c r="C216">
        <v>2</v>
      </c>
      <c r="D216" t="s">
        <v>42</v>
      </c>
      <c r="E216">
        <v>2</v>
      </c>
      <c r="F216">
        <v>1</v>
      </c>
      <c r="G216" s="12">
        <v>22</v>
      </c>
      <c r="H216" s="12">
        <v>8.67</v>
      </c>
      <c r="I216" s="12">
        <v>2166</v>
      </c>
      <c r="J216" s="12">
        <v>11.27</v>
      </c>
      <c r="K216" s="12">
        <v>21.606999999999999</v>
      </c>
      <c r="L216" s="12">
        <v>3.2000000000000001E-2</v>
      </c>
      <c r="M216" s="19">
        <v>69.099999999999994</v>
      </c>
      <c r="N216" s="12">
        <v>0</v>
      </c>
      <c r="O216" s="13">
        <v>3.141</v>
      </c>
      <c r="P216" s="14">
        <v>22</v>
      </c>
      <c r="Q216" s="14">
        <v>11.27</v>
      </c>
      <c r="R216" s="14">
        <v>69.099999999999994</v>
      </c>
      <c r="S216" s="14">
        <v>0</v>
      </c>
      <c r="T216" s="10" t="b">
        <f t="shared" ref="T216:T279" si="58">G216=P216</f>
        <v>1</v>
      </c>
      <c r="U216" s="10" t="b">
        <f t="shared" ref="U216:U279" si="59">J216=Q216</f>
        <v>1</v>
      </c>
      <c r="V216" s="11">
        <f>VLOOKUP(IF(J216&lt;10, 10, IF(J216&gt;50,50,J216)),'Over to underbark'!$A$3:$C$43,IF(A216="Scots pine",3,IF(A216="Sitka spruce",2, "error")),TRUE)/100</f>
        <v>0.66</v>
      </c>
      <c r="W216">
        <f t="shared" si="44"/>
        <v>41.045400000000001</v>
      </c>
      <c r="X216">
        <f t="shared" si="45"/>
        <v>0</v>
      </c>
      <c r="Y216">
        <f t="shared" si="46"/>
        <v>21.144599999999997</v>
      </c>
      <c r="Z216">
        <f t="shared" si="47"/>
        <v>32.012364689999998</v>
      </c>
      <c r="AA216">
        <f t="shared" si="48"/>
        <v>15.087293999999998</v>
      </c>
      <c r="AB216">
        <f t="shared" si="49"/>
        <v>15.090341310000001</v>
      </c>
      <c r="AC216">
        <f t="shared" si="50"/>
        <v>0</v>
      </c>
      <c r="AD216">
        <f>LOOKUP($A216,'Over to underbark'!$A$47:$A$48,'Over to underbark'!E$47:E$48)*Z216</f>
        <v>13.4451931698</v>
      </c>
      <c r="AE216">
        <f>LOOKUP($A216,'Over to underbark'!$A$47:$A$48,'Over to underbark'!E$47:E$48)*AA216</f>
        <v>6.3366634799999986</v>
      </c>
      <c r="AF216">
        <f>LOOKUP($A216,'Over to underbark'!$A$47:$A$48,'Over to underbark'!E$47:E$48)*AB216</f>
        <v>6.3379433502000007</v>
      </c>
      <c r="AG216">
        <f>LOOKUP($A216,'Over to underbark'!$A$47:$A$48,'Over to underbark'!E$47:E$48)*AC216</f>
        <v>0</v>
      </c>
      <c r="AH216" t="b">
        <f t="shared" si="51"/>
        <v>1</v>
      </c>
      <c r="AI216" t="b">
        <f t="shared" si="52"/>
        <v>1</v>
      </c>
      <c r="AJ216">
        <f>LOOKUP(A216,'Over to underbark'!$A$47:$A$48,'Over to underbark'!E$47:E$48)*M216</f>
        <v>29.021999999999995</v>
      </c>
      <c r="AK216" s="22">
        <f>LOOKUP(A216,'Over to underbark'!$A$47:$A$48,'Over to underbark'!$B$47:$B$48)*AJ216</f>
        <v>9.8674799999999987</v>
      </c>
      <c r="AL216" s="22">
        <f>LOOKUP(A216,'Over to underbark'!$A$47:$A$48,'Over to underbark'!C$47:C$48)*AJ216</f>
        <v>10.157699999999998</v>
      </c>
      <c r="AM216" s="22">
        <f t="shared" si="53"/>
        <v>38.889479999999992</v>
      </c>
      <c r="AN216" s="36">
        <v>92.59</v>
      </c>
      <c r="AO216" s="23">
        <f t="shared" si="54"/>
        <v>77.778959999999984</v>
      </c>
      <c r="AQ216">
        <f t="shared" si="55"/>
        <v>0.67164179104477617</v>
      </c>
    </row>
    <row r="217" spans="1:43" x14ac:dyDescent="0.35">
      <c r="A217" t="s">
        <v>41</v>
      </c>
      <c r="B217">
        <v>10</v>
      </c>
      <c r="C217">
        <v>2</v>
      </c>
      <c r="D217" t="s">
        <v>42</v>
      </c>
      <c r="E217">
        <v>2</v>
      </c>
      <c r="F217">
        <v>1</v>
      </c>
      <c r="G217" s="12">
        <v>23</v>
      </c>
      <c r="H217" s="12">
        <v>9.0739999999999998</v>
      </c>
      <c r="I217" s="12">
        <v>2143</v>
      </c>
      <c r="J217" s="12">
        <v>11.689</v>
      </c>
      <c r="K217" s="12">
        <v>22.998999999999999</v>
      </c>
      <c r="L217" s="12">
        <v>3.6999999999999998E-2</v>
      </c>
      <c r="M217" s="19">
        <v>79.040000000000006</v>
      </c>
      <c r="N217" s="12">
        <v>0</v>
      </c>
      <c r="O217" s="13">
        <v>3.4369999999999998</v>
      </c>
      <c r="P217" s="14">
        <v>23</v>
      </c>
      <c r="Q217" s="14">
        <v>11.689</v>
      </c>
      <c r="R217" s="14">
        <v>79.040000000000006</v>
      </c>
      <c r="S217" s="14">
        <v>0</v>
      </c>
      <c r="T217" s="10" t="b">
        <f t="shared" si="58"/>
        <v>1</v>
      </c>
      <c r="U217" s="10" t="b">
        <f t="shared" si="59"/>
        <v>1</v>
      </c>
      <c r="V217" s="11">
        <f>VLOOKUP(IF(J217&lt;10, 10, IF(J217&gt;50,50,J217)),'Over to underbark'!$A$3:$C$43,IF(A217="Scots pine",3,IF(A217="Sitka spruce",2, "error")),TRUE)/100</f>
        <v>0.66</v>
      </c>
      <c r="W217">
        <f t="shared" si="44"/>
        <v>46.949760000000012</v>
      </c>
      <c r="X217">
        <f t="shared" si="45"/>
        <v>0</v>
      </c>
      <c r="Y217">
        <f t="shared" si="46"/>
        <v>24.186240000000002</v>
      </c>
      <c r="Z217">
        <f t="shared" si="47"/>
        <v>36.617327136000007</v>
      </c>
      <c r="AA217">
        <f t="shared" si="48"/>
        <v>17.257593600000003</v>
      </c>
      <c r="AB217">
        <f t="shared" si="49"/>
        <v>17.261079264000003</v>
      </c>
      <c r="AC217">
        <f t="shared" si="50"/>
        <v>0</v>
      </c>
      <c r="AD217">
        <f>LOOKUP($A217,'Over to underbark'!$A$47:$A$48,'Over to underbark'!E$47:E$48)*Z217</f>
        <v>15.379277397120003</v>
      </c>
      <c r="AE217">
        <f>LOOKUP($A217,'Over to underbark'!$A$47:$A$48,'Over to underbark'!E$47:E$48)*AA217</f>
        <v>7.2481893120000009</v>
      </c>
      <c r="AF217">
        <f>LOOKUP($A217,'Over to underbark'!$A$47:$A$48,'Over to underbark'!E$47:E$48)*AB217</f>
        <v>7.2496532908800013</v>
      </c>
      <c r="AG217">
        <f>LOOKUP($A217,'Over to underbark'!$A$47:$A$48,'Over to underbark'!E$47:E$48)*AC217</f>
        <v>0</v>
      </c>
      <c r="AH217" t="b">
        <f t="shared" si="51"/>
        <v>1</v>
      </c>
      <c r="AI217" t="b">
        <f t="shared" si="52"/>
        <v>1</v>
      </c>
      <c r="AJ217">
        <f>LOOKUP(A217,'Over to underbark'!$A$47:$A$48,'Over to underbark'!E$47:E$48)*M217</f>
        <v>33.196800000000003</v>
      </c>
      <c r="AK217" s="22">
        <f>LOOKUP(A217,'Over to underbark'!$A$47:$A$48,'Over to underbark'!$B$47:$B$48)*AJ217</f>
        <v>11.286912000000003</v>
      </c>
      <c r="AL217" s="22">
        <f>LOOKUP(A217,'Over to underbark'!$A$47:$A$48,'Over to underbark'!C$47:C$48)*AJ217</f>
        <v>11.618880000000001</v>
      </c>
      <c r="AM217" s="22">
        <f t="shared" si="53"/>
        <v>44.483712000000004</v>
      </c>
      <c r="AN217" s="36">
        <v>105.91</v>
      </c>
      <c r="AO217" s="23">
        <f t="shared" si="54"/>
        <v>88.967424000000008</v>
      </c>
      <c r="AQ217">
        <f t="shared" si="55"/>
        <v>0.67164179104477617</v>
      </c>
    </row>
    <row r="218" spans="1:43" x14ac:dyDescent="0.35">
      <c r="A218" t="s">
        <v>41</v>
      </c>
      <c r="B218">
        <v>10</v>
      </c>
      <c r="C218">
        <v>2</v>
      </c>
      <c r="D218" t="s">
        <v>42</v>
      </c>
      <c r="E218">
        <v>2</v>
      </c>
      <c r="F218">
        <v>1</v>
      </c>
      <c r="G218" s="12">
        <v>24</v>
      </c>
      <c r="H218" s="12">
        <v>9.4779999999999998</v>
      </c>
      <c r="I218" s="12">
        <v>2120</v>
      </c>
      <c r="J218" s="12">
        <v>12.103</v>
      </c>
      <c r="K218" s="12">
        <v>24.39</v>
      </c>
      <c r="L218" s="12">
        <v>4.2000000000000003E-2</v>
      </c>
      <c r="M218" s="19">
        <v>88.98</v>
      </c>
      <c r="N218" s="12">
        <v>0</v>
      </c>
      <c r="O218" s="13">
        <v>3.7069999999999999</v>
      </c>
      <c r="P218" s="14">
        <v>24</v>
      </c>
      <c r="Q218" s="14">
        <v>12.103</v>
      </c>
      <c r="R218" s="14">
        <v>88.98</v>
      </c>
      <c r="S218" s="14">
        <v>0</v>
      </c>
      <c r="T218" s="10" t="b">
        <f t="shared" si="58"/>
        <v>1</v>
      </c>
      <c r="U218" s="10" t="b">
        <f t="shared" si="59"/>
        <v>1</v>
      </c>
      <c r="V218" s="11">
        <f>VLOOKUP(IF(J218&lt;10, 10, IF(J218&gt;50,50,J218)),'Over to underbark'!$A$3:$C$43,IF(A218="Scots pine",3,IF(A218="Sitka spruce",2, "error")),TRUE)/100</f>
        <v>0.74</v>
      </c>
      <c r="W218">
        <f t="shared" si="44"/>
        <v>59.260680000000008</v>
      </c>
      <c r="X218">
        <f t="shared" si="45"/>
        <v>0</v>
      </c>
      <c r="Y218">
        <f t="shared" si="46"/>
        <v>20.821320000000004</v>
      </c>
      <c r="Z218">
        <f t="shared" si="47"/>
        <v>41.36547619800001</v>
      </c>
      <c r="AA218">
        <f t="shared" si="48"/>
        <v>16.929334800000003</v>
      </c>
      <c r="AB218">
        <f t="shared" si="49"/>
        <v>21.787189002000002</v>
      </c>
      <c r="AC218">
        <f t="shared" si="50"/>
        <v>0</v>
      </c>
      <c r="AD218">
        <f>LOOKUP($A218,'Over to underbark'!$A$47:$A$48,'Over to underbark'!E$47:E$48)*Z218</f>
        <v>17.373500003160004</v>
      </c>
      <c r="AE218">
        <f>LOOKUP($A218,'Over to underbark'!$A$47:$A$48,'Over to underbark'!E$47:E$48)*AA218</f>
        <v>7.110320616000001</v>
      </c>
      <c r="AF218">
        <f>LOOKUP($A218,'Over to underbark'!$A$47:$A$48,'Over to underbark'!E$47:E$48)*AB218</f>
        <v>9.1506193808400003</v>
      </c>
      <c r="AG218">
        <f>LOOKUP($A218,'Over to underbark'!$A$47:$A$48,'Over to underbark'!E$47:E$48)*AC218</f>
        <v>0</v>
      </c>
      <c r="AH218" t="b">
        <f t="shared" si="51"/>
        <v>1</v>
      </c>
      <c r="AI218" t="b">
        <f t="shared" si="52"/>
        <v>1</v>
      </c>
      <c r="AJ218">
        <f>LOOKUP(A218,'Over to underbark'!$A$47:$A$48,'Over to underbark'!E$47:E$48)*M218</f>
        <v>37.371600000000001</v>
      </c>
      <c r="AK218" s="22">
        <f>LOOKUP(A218,'Over to underbark'!$A$47:$A$48,'Over to underbark'!$B$47:$B$48)*AJ218</f>
        <v>12.706344000000001</v>
      </c>
      <c r="AL218" s="22">
        <f>LOOKUP(A218,'Over to underbark'!$A$47:$A$48,'Over to underbark'!C$47:C$48)*AJ218</f>
        <v>13.08006</v>
      </c>
      <c r="AM218" s="22">
        <f t="shared" si="53"/>
        <v>50.077944000000002</v>
      </c>
      <c r="AN218" s="36">
        <v>119.23</v>
      </c>
      <c r="AO218" s="23">
        <f t="shared" si="54"/>
        <v>100.155888</v>
      </c>
      <c r="AQ218">
        <f t="shared" si="55"/>
        <v>0.67164179104477617</v>
      </c>
    </row>
    <row r="219" spans="1:43" x14ac:dyDescent="0.35">
      <c r="A219" t="s">
        <v>41</v>
      </c>
      <c r="B219">
        <v>10</v>
      </c>
      <c r="C219">
        <v>2</v>
      </c>
      <c r="D219" t="s">
        <v>42</v>
      </c>
      <c r="E219">
        <v>2</v>
      </c>
      <c r="F219">
        <v>1</v>
      </c>
      <c r="G219" s="12">
        <v>25</v>
      </c>
      <c r="H219" s="12">
        <v>9.8819999999999997</v>
      </c>
      <c r="I219" s="12">
        <v>2098</v>
      </c>
      <c r="J219" s="12">
        <v>12.509</v>
      </c>
      <c r="K219" s="12">
        <v>25.782</v>
      </c>
      <c r="L219" s="12">
        <v>4.7E-2</v>
      </c>
      <c r="M219" s="19">
        <v>98.92</v>
      </c>
      <c r="N219" s="12">
        <v>0</v>
      </c>
      <c r="O219" s="13">
        <v>3.9569999999999999</v>
      </c>
      <c r="P219" s="14">
        <v>25</v>
      </c>
      <c r="Q219" s="14">
        <v>12.509</v>
      </c>
      <c r="R219" s="14">
        <v>98.92</v>
      </c>
      <c r="S219" s="14">
        <v>0</v>
      </c>
      <c r="T219" s="10" t="b">
        <f t="shared" si="58"/>
        <v>1</v>
      </c>
      <c r="U219" s="10" t="b">
        <f t="shared" si="59"/>
        <v>1</v>
      </c>
      <c r="V219" s="11">
        <f>VLOOKUP(IF(J219&lt;10, 10, IF(J219&gt;50,50,J219)),'Over to underbark'!$A$3:$C$43,IF(A219="Scots pine",3,IF(A219="Sitka spruce",2, "error")),TRUE)/100</f>
        <v>0.74</v>
      </c>
      <c r="W219">
        <f t="shared" si="44"/>
        <v>65.880719999999997</v>
      </c>
      <c r="X219">
        <f t="shared" si="45"/>
        <v>0</v>
      </c>
      <c r="Y219">
        <f t="shared" si="46"/>
        <v>23.147280000000002</v>
      </c>
      <c r="Z219">
        <f t="shared" si="47"/>
        <v>45.986434092000003</v>
      </c>
      <c r="AA219">
        <f t="shared" si="48"/>
        <v>18.8205192</v>
      </c>
      <c r="AB219">
        <f t="shared" si="49"/>
        <v>24.221046707999999</v>
      </c>
      <c r="AC219">
        <f t="shared" si="50"/>
        <v>0</v>
      </c>
      <c r="AD219">
        <f>LOOKUP($A219,'Over to underbark'!$A$47:$A$48,'Over to underbark'!E$47:E$48)*Z219</f>
        <v>19.314302318639999</v>
      </c>
      <c r="AE219">
        <f>LOOKUP($A219,'Over to underbark'!$A$47:$A$48,'Over to underbark'!E$47:E$48)*AA219</f>
        <v>7.9046180639999992</v>
      </c>
      <c r="AF219">
        <f>LOOKUP($A219,'Over to underbark'!$A$47:$A$48,'Over to underbark'!E$47:E$48)*AB219</f>
        <v>10.172839617359999</v>
      </c>
      <c r="AG219">
        <f>LOOKUP($A219,'Over to underbark'!$A$47:$A$48,'Over to underbark'!E$47:E$48)*AC219</f>
        <v>0</v>
      </c>
      <c r="AH219" t="b">
        <f t="shared" si="51"/>
        <v>1</v>
      </c>
      <c r="AI219" t="b">
        <f t="shared" si="52"/>
        <v>1</v>
      </c>
      <c r="AJ219">
        <f>LOOKUP(A219,'Over to underbark'!$A$47:$A$48,'Over to underbark'!E$47:E$48)*M219</f>
        <v>41.546399999999998</v>
      </c>
      <c r="AK219" s="22">
        <f>LOOKUP(A219,'Over to underbark'!$A$47:$A$48,'Over to underbark'!$B$47:$B$48)*AJ219</f>
        <v>14.125776</v>
      </c>
      <c r="AL219" s="22">
        <f>LOOKUP(A219,'Over to underbark'!$A$47:$A$48,'Over to underbark'!C$47:C$48)*AJ219</f>
        <v>14.541239999999998</v>
      </c>
      <c r="AM219" s="22">
        <f t="shared" si="53"/>
        <v>55.672176</v>
      </c>
      <c r="AN219" s="36">
        <v>132.55000000000001</v>
      </c>
      <c r="AO219" s="23">
        <f t="shared" si="54"/>
        <v>111.344352</v>
      </c>
      <c r="AQ219">
        <f t="shared" si="55"/>
        <v>0.67164179104477606</v>
      </c>
    </row>
    <row r="220" spans="1:43" x14ac:dyDescent="0.35">
      <c r="A220" t="s">
        <v>41</v>
      </c>
      <c r="B220">
        <v>10</v>
      </c>
      <c r="C220">
        <v>2</v>
      </c>
      <c r="D220" t="s">
        <v>42</v>
      </c>
      <c r="E220">
        <v>2</v>
      </c>
      <c r="F220">
        <v>1</v>
      </c>
      <c r="G220" s="12">
        <v>26</v>
      </c>
      <c r="H220" s="12">
        <v>10.286</v>
      </c>
      <c r="I220" s="12">
        <v>2075</v>
      </c>
      <c r="J220" s="12">
        <v>12.913</v>
      </c>
      <c r="K220" s="12">
        <v>27.172999999999998</v>
      </c>
      <c r="L220" s="12">
        <v>5.1999999999999998E-2</v>
      </c>
      <c r="M220" s="19">
        <v>108.86</v>
      </c>
      <c r="N220" s="12">
        <v>0</v>
      </c>
      <c r="O220" s="13">
        <v>4.1870000000000003</v>
      </c>
      <c r="P220" s="14">
        <v>26</v>
      </c>
      <c r="Q220" s="14">
        <v>12.913</v>
      </c>
      <c r="R220" s="14">
        <v>107.515</v>
      </c>
      <c r="S220" s="14">
        <v>1.345</v>
      </c>
      <c r="T220" s="10" t="b">
        <f t="shared" si="58"/>
        <v>1</v>
      </c>
      <c r="U220" s="10" t="b">
        <f t="shared" si="59"/>
        <v>1</v>
      </c>
      <c r="V220" s="11">
        <f>VLOOKUP(IF(J220&lt;10, 10, IF(J220&gt;50,50,J220)),'Over to underbark'!$A$3:$C$43,IF(A220="Scots pine",3,IF(A220="Sitka spruce",2, "error")),TRUE)/100</f>
        <v>0.74</v>
      </c>
      <c r="W220">
        <f t="shared" si="44"/>
        <v>71.604990000000001</v>
      </c>
      <c r="X220">
        <f t="shared" si="45"/>
        <v>0.89576999999999996</v>
      </c>
      <c r="Y220">
        <f t="shared" si="46"/>
        <v>25.473240000000001</v>
      </c>
      <c r="Z220">
        <f t="shared" si="47"/>
        <v>50.428820236500009</v>
      </c>
      <c r="AA220">
        <f t="shared" si="48"/>
        <v>20.613168900000002</v>
      </c>
      <c r="AB220">
        <f t="shared" si="49"/>
        <v>26.437545823499999</v>
      </c>
      <c r="AC220">
        <f t="shared" si="50"/>
        <v>0.49446504000000002</v>
      </c>
      <c r="AD220">
        <f>LOOKUP($A220,'Over to underbark'!$A$47:$A$48,'Over to underbark'!E$47:E$48)*Z220</f>
        <v>21.180104499330003</v>
      </c>
      <c r="AE220">
        <f>LOOKUP($A220,'Over to underbark'!$A$47:$A$48,'Over to underbark'!E$47:E$48)*AA220</f>
        <v>8.6575309380000007</v>
      </c>
      <c r="AF220">
        <f>LOOKUP($A220,'Over to underbark'!$A$47:$A$48,'Over to underbark'!E$47:E$48)*AB220</f>
        <v>11.10376924587</v>
      </c>
      <c r="AG220">
        <f>LOOKUP($A220,'Over to underbark'!$A$47:$A$48,'Over to underbark'!E$47:E$48)*AC220</f>
        <v>0.20767531680000001</v>
      </c>
      <c r="AH220" t="b">
        <f t="shared" si="51"/>
        <v>1</v>
      </c>
      <c r="AI220" t="b">
        <f t="shared" si="52"/>
        <v>1</v>
      </c>
      <c r="AJ220">
        <f>LOOKUP(A220,'Over to underbark'!$A$47:$A$48,'Over to underbark'!E$47:E$48)*M220</f>
        <v>45.721199999999996</v>
      </c>
      <c r="AK220" s="22">
        <f>LOOKUP(A220,'Over to underbark'!$A$47:$A$48,'Over to underbark'!$B$47:$B$48)*AJ220</f>
        <v>15.545208000000001</v>
      </c>
      <c r="AL220" s="22">
        <f>LOOKUP(A220,'Over to underbark'!$A$47:$A$48,'Over to underbark'!C$47:C$48)*AJ220</f>
        <v>16.002419999999997</v>
      </c>
      <c r="AM220" s="22">
        <f t="shared" si="53"/>
        <v>61.266407999999998</v>
      </c>
      <c r="AN220" s="36">
        <v>145.87</v>
      </c>
      <c r="AO220" s="23">
        <f t="shared" si="54"/>
        <v>122.532816</v>
      </c>
      <c r="AQ220">
        <f t="shared" si="55"/>
        <v>0.67164179104477617</v>
      </c>
    </row>
    <row r="221" spans="1:43" x14ac:dyDescent="0.35">
      <c r="A221" t="s">
        <v>41</v>
      </c>
      <c r="B221">
        <v>10</v>
      </c>
      <c r="C221">
        <v>2</v>
      </c>
      <c r="D221" t="s">
        <v>42</v>
      </c>
      <c r="E221">
        <v>2</v>
      </c>
      <c r="F221">
        <v>1</v>
      </c>
      <c r="G221" s="12">
        <v>27</v>
      </c>
      <c r="H221" s="12">
        <v>10.69</v>
      </c>
      <c r="I221" s="12">
        <v>2053</v>
      </c>
      <c r="J221" s="12">
        <v>13.31</v>
      </c>
      <c r="K221" s="12">
        <v>28.565000000000001</v>
      </c>
      <c r="L221" s="12">
        <v>5.8000000000000003E-2</v>
      </c>
      <c r="M221" s="19">
        <v>118.8</v>
      </c>
      <c r="N221" s="12">
        <v>0</v>
      </c>
      <c r="O221" s="13">
        <v>4.4000000000000004</v>
      </c>
      <c r="P221" s="14">
        <v>27</v>
      </c>
      <c r="Q221" s="14">
        <v>13.31</v>
      </c>
      <c r="R221" s="14">
        <v>114.682</v>
      </c>
      <c r="S221" s="14">
        <v>4.1180000000000003</v>
      </c>
      <c r="T221" s="10" t="b">
        <f t="shared" si="58"/>
        <v>1</v>
      </c>
      <c r="U221" s="10" t="b">
        <f t="shared" si="59"/>
        <v>1</v>
      </c>
      <c r="V221" s="11">
        <f>VLOOKUP(IF(J221&lt;10, 10, IF(J221&gt;50,50,J221)),'Over to underbark'!$A$3:$C$43,IF(A221="Scots pine",3,IF(A221="Sitka spruce",2, "error")),TRUE)/100</f>
        <v>0.79</v>
      </c>
      <c r="W221">
        <f t="shared" si="44"/>
        <v>81.538902000000007</v>
      </c>
      <c r="X221">
        <f t="shared" si="45"/>
        <v>2.9278980000000003</v>
      </c>
      <c r="Y221">
        <f t="shared" si="46"/>
        <v>22.453199999999995</v>
      </c>
      <c r="Z221">
        <f t="shared" si="47"/>
        <v>54.764156513700001</v>
      </c>
      <c r="AA221">
        <f t="shared" si="48"/>
        <v>20.195879219999998</v>
      </c>
      <c r="AB221">
        <f t="shared" si="49"/>
        <v>30.343764570300003</v>
      </c>
      <c r="AC221">
        <f t="shared" si="50"/>
        <v>1.6161996960000002</v>
      </c>
      <c r="AD221">
        <f>LOOKUP($A221,'Over to underbark'!$A$47:$A$48,'Over to underbark'!E$47:E$48)*Z221</f>
        <v>23.000945735754001</v>
      </c>
      <c r="AE221">
        <f>LOOKUP($A221,'Over to underbark'!$A$47:$A$48,'Over to underbark'!E$47:E$48)*AA221</f>
        <v>8.4822692723999982</v>
      </c>
      <c r="AF221">
        <f>LOOKUP($A221,'Over to underbark'!$A$47:$A$48,'Over to underbark'!E$47:E$48)*AB221</f>
        <v>12.744381119526</v>
      </c>
      <c r="AG221">
        <f>LOOKUP($A221,'Over to underbark'!$A$47:$A$48,'Over to underbark'!E$47:E$48)*AC221</f>
        <v>0.67880387232000006</v>
      </c>
      <c r="AH221" t="b">
        <f t="shared" si="51"/>
        <v>1</v>
      </c>
      <c r="AI221" t="b">
        <f t="shared" si="52"/>
        <v>1</v>
      </c>
      <c r="AJ221">
        <f>LOOKUP(A221,'Over to underbark'!$A$47:$A$48,'Over to underbark'!E$47:E$48)*M221</f>
        <v>49.895999999999994</v>
      </c>
      <c r="AK221" s="22">
        <f>LOOKUP(A221,'Over to underbark'!$A$47:$A$48,'Over to underbark'!$B$47:$B$48)*AJ221</f>
        <v>16.964639999999999</v>
      </c>
      <c r="AL221" s="22">
        <f>LOOKUP(A221,'Over to underbark'!$A$47:$A$48,'Over to underbark'!C$47:C$48)*AJ221</f>
        <v>17.463599999999996</v>
      </c>
      <c r="AM221" s="22">
        <f t="shared" si="53"/>
        <v>66.860639999999989</v>
      </c>
      <c r="AN221" s="36">
        <v>159.19</v>
      </c>
      <c r="AO221" s="23">
        <f t="shared" si="54"/>
        <v>133.72127999999998</v>
      </c>
      <c r="AQ221">
        <f t="shared" si="55"/>
        <v>0.67164179104477628</v>
      </c>
    </row>
    <row r="222" spans="1:43" x14ac:dyDescent="0.35">
      <c r="A222" t="s">
        <v>41</v>
      </c>
      <c r="B222">
        <v>10</v>
      </c>
      <c r="C222">
        <v>2</v>
      </c>
      <c r="D222" t="s">
        <v>42</v>
      </c>
      <c r="E222">
        <v>2</v>
      </c>
      <c r="F222">
        <v>1</v>
      </c>
      <c r="G222" s="12">
        <v>28</v>
      </c>
      <c r="H222" s="12">
        <v>11.064</v>
      </c>
      <c r="I222" s="12">
        <v>2020</v>
      </c>
      <c r="J222" s="12">
        <v>13.722</v>
      </c>
      <c r="K222" s="12">
        <v>29.870999999999999</v>
      </c>
      <c r="L222" s="12">
        <v>6.5000000000000002E-2</v>
      </c>
      <c r="M222" s="19">
        <v>130.62</v>
      </c>
      <c r="N222" s="12">
        <v>0.26</v>
      </c>
      <c r="O222" s="13">
        <v>4.665</v>
      </c>
      <c r="P222" s="14">
        <v>28</v>
      </c>
      <c r="Q222" s="14">
        <v>13.722</v>
      </c>
      <c r="R222" s="14">
        <v>122.996</v>
      </c>
      <c r="S222" s="14">
        <v>7.6239999999999997</v>
      </c>
      <c r="T222" s="10" t="b">
        <f t="shared" si="58"/>
        <v>1</v>
      </c>
      <c r="U222" s="10" t="b">
        <f t="shared" si="59"/>
        <v>1</v>
      </c>
      <c r="V222" s="11">
        <f>VLOOKUP(IF(J222&lt;10, 10, IF(J222&gt;50,50,J222)),'Over to underbark'!$A$3:$C$43,IF(A222="Scots pine",3,IF(A222="Sitka spruce",2, "error")),TRUE)/100</f>
        <v>0.79</v>
      </c>
      <c r="W222">
        <f t="shared" si="44"/>
        <v>87.450156000000007</v>
      </c>
      <c r="X222">
        <f t="shared" si="45"/>
        <v>5.4206640000000004</v>
      </c>
      <c r="Y222">
        <f t="shared" si="46"/>
        <v>24.687179999999998</v>
      </c>
      <c r="Z222">
        <f t="shared" si="47"/>
        <v>59.774053458600008</v>
      </c>
      <c r="AA222">
        <f t="shared" si="48"/>
        <v>21.96310716</v>
      </c>
      <c r="AB222">
        <f t="shared" si="49"/>
        <v>32.828632853400002</v>
      </c>
      <c r="AC222">
        <f t="shared" si="50"/>
        <v>2.9922065280000001</v>
      </c>
      <c r="AD222">
        <f>LOOKUP($A222,'Over to underbark'!$A$47:$A$48,'Over to underbark'!E$47:E$48)*Z222</f>
        <v>25.105102452612002</v>
      </c>
      <c r="AE222">
        <f>LOOKUP($A222,'Over to underbark'!$A$47:$A$48,'Over to underbark'!E$47:E$48)*AA222</f>
        <v>9.2245050071999994</v>
      </c>
      <c r="AF222">
        <f>LOOKUP($A222,'Over to underbark'!$A$47:$A$48,'Over to underbark'!E$47:E$48)*AB222</f>
        <v>13.788025798428</v>
      </c>
      <c r="AG222">
        <f>LOOKUP($A222,'Over to underbark'!$A$47:$A$48,'Over to underbark'!E$47:E$48)*AC222</f>
        <v>1.2567267417600001</v>
      </c>
      <c r="AH222" t="b">
        <f t="shared" si="51"/>
        <v>1</v>
      </c>
      <c r="AI222" t="b">
        <f t="shared" si="52"/>
        <v>1</v>
      </c>
      <c r="AJ222">
        <f>LOOKUP(A222,'Over to underbark'!$A$47:$A$48,'Over to underbark'!E$47:E$48)*M222</f>
        <v>54.860399999999998</v>
      </c>
      <c r="AK222" s="22">
        <f>LOOKUP(A222,'Over to underbark'!$A$47:$A$48,'Over to underbark'!$B$47:$B$48)*AJ222</f>
        <v>18.652536000000001</v>
      </c>
      <c r="AL222" s="22">
        <f>LOOKUP(A222,'Over to underbark'!$A$47:$A$48,'Over to underbark'!C$47:C$48)*AJ222</f>
        <v>19.201139999999999</v>
      </c>
      <c r="AM222" s="22">
        <f t="shared" si="53"/>
        <v>73.512935999999996</v>
      </c>
      <c r="AN222" s="36">
        <v>175.03</v>
      </c>
      <c r="AO222" s="23">
        <f t="shared" si="54"/>
        <v>147.02587199999999</v>
      </c>
      <c r="AQ222">
        <f t="shared" si="55"/>
        <v>0.67164179104477617</v>
      </c>
    </row>
    <row r="223" spans="1:43" x14ac:dyDescent="0.35">
      <c r="A223" t="s">
        <v>41</v>
      </c>
      <c r="B223">
        <v>10</v>
      </c>
      <c r="C223">
        <v>2</v>
      </c>
      <c r="D223" t="s">
        <v>42</v>
      </c>
      <c r="E223">
        <v>2</v>
      </c>
      <c r="F223">
        <v>1</v>
      </c>
      <c r="G223" s="12">
        <v>29</v>
      </c>
      <c r="H223" s="12">
        <v>11.438000000000001</v>
      </c>
      <c r="I223" s="12">
        <v>1987</v>
      </c>
      <c r="J223" s="12">
        <v>14.134</v>
      </c>
      <c r="K223" s="12">
        <v>31.177</v>
      </c>
      <c r="L223" s="12">
        <v>7.1999999999999995E-2</v>
      </c>
      <c r="M223" s="19">
        <v>142.44</v>
      </c>
      <c r="N223" s="12">
        <v>0.47499999999999998</v>
      </c>
      <c r="O223" s="13">
        <v>4.9119999999999999</v>
      </c>
      <c r="P223" s="14">
        <v>29</v>
      </c>
      <c r="Q223" s="14">
        <v>14.134</v>
      </c>
      <c r="R223" s="14">
        <v>130.68100000000001</v>
      </c>
      <c r="S223" s="14">
        <v>11.759</v>
      </c>
      <c r="T223" s="10" t="b">
        <f t="shared" si="58"/>
        <v>1</v>
      </c>
      <c r="U223" s="10" t="b">
        <f t="shared" si="59"/>
        <v>1</v>
      </c>
      <c r="V223" s="11">
        <f>VLOOKUP(IF(J223&lt;10, 10, IF(J223&gt;50,50,J223)),'Over to underbark'!$A$3:$C$43,IF(A223="Scots pine",3,IF(A223="Sitka spruce",2, "error")),TRUE)/100</f>
        <v>0.82</v>
      </c>
      <c r="W223">
        <f t="shared" si="44"/>
        <v>96.442577999999997</v>
      </c>
      <c r="X223">
        <f t="shared" si="45"/>
        <v>8.6781419999999994</v>
      </c>
      <c r="Y223">
        <f t="shared" si="46"/>
        <v>23.075280000000006</v>
      </c>
      <c r="Z223">
        <f t="shared" si="47"/>
        <v>64.717460484300005</v>
      </c>
      <c r="AA223">
        <f t="shared" si="48"/>
        <v>22.146323580000001</v>
      </c>
      <c r="AB223">
        <f t="shared" si="49"/>
        <v>36.541881551699994</v>
      </c>
      <c r="AC223">
        <f t="shared" si="50"/>
        <v>4.7903343839999994</v>
      </c>
      <c r="AD223">
        <f>LOOKUP($A223,'Over to underbark'!$A$47:$A$48,'Over to underbark'!E$47:E$48)*Z223</f>
        <v>27.181333403406001</v>
      </c>
      <c r="AE223">
        <f>LOOKUP($A223,'Over to underbark'!$A$47:$A$48,'Over to underbark'!E$47:E$48)*AA223</f>
        <v>9.3014559035999991</v>
      </c>
      <c r="AF223">
        <f>LOOKUP($A223,'Over to underbark'!$A$47:$A$48,'Over to underbark'!E$47:E$48)*AB223</f>
        <v>15.347590251713997</v>
      </c>
      <c r="AG223">
        <f>LOOKUP($A223,'Over to underbark'!$A$47:$A$48,'Over to underbark'!E$47:E$48)*AC223</f>
        <v>2.0119404412799997</v>
      </c>
      <c r="AH223" t="b">
        <f t="shared" si="51"/>
        <v>1</v>
      </c>
      <c r="AI223" t="b">
        <f t="shared" si="52"/>
        <v>1</v>
      </c>
      <c r="AJ223">
        <f>LOOKUP(A223,'Over to underbark'!$A$47:$A$48,'Over to underbark'!E$47:E$48)*M223</f>
        <v>59.824799999999996</v>
      </c>
      <c r="AK223" s="22">
        <f>LOOKUP(A223,'Over to underbark'!$A$47:$A$48,'Over to underbark'!$B$47:$B$48)*AJ223</f>
        <v>20.340432</v>
      </c>
      <c r="AL223" s="22">
        <f>LOOKUP(A223,'Over to underbark'!$A$47:$A$48,'Over to underbark'!C$47:C$48)*AJ223</f>
        <v>20.938679999999998</v>
      </c>
      <c r="AM223" s="22">
        <f t="shared" si="53"/>
        <v>80.165232000000003</v>
      </c>
      <c r="AN223" s="36">
        <v>190.87</v>
      </c>
      <c r="AO223" s="23">
        <f t="shared" si="54"/>
        <v>160.33046400000001</v>
      </c>
      <c r="AQ223">
        <f t="shared" si="55"/>
        <v>0.67164179104477606</v>
      </c>
    </row>
    <row r="224" spans="1:43" x14ac:dyDescent="0.35">
      <c r="A224" t="s">
        <v>41</v>
      </c>
      <c r="B224">
        <v>10</v>
      </c>
      <c r="C224">
        <v>2</v>
      </c>
      <c r="D224" t="s">
        <v>42</v>
      </c>
      <c r="E224">
        <v>2</v>
      </c>
      <c r="F224">
        <v>1</v>
      </c>
      <c r="G224" s="12">
        <v>30</v>
      </c>
      <c r="H224" s="12">
        <v>11.811999999999999</v>
      </c>
      <c r="I224" s="12">
        <v>1954</v>
      </c>
      <c r="J224" s="12">
        <v>14.548</v>
      </c>
      <c r="K224" s="12">
        <v>32.481999999999999</v>
      </c>
      <c r="L224" s="12">
        <v>7.9000000000000001E-2</v>
      </c>
      <c r="M224" s="19">
        <v>154.26</v>
      </c>
      <c r="N224" s="12">
        <v>0.65700000000000003</v>
      </c>
      <c r="O224" s="13">
        <v>5.1420000000000003</v>
      </c>
      <c r="P224" s="14">
        <v>30</v>
      </c>
      <c r="Q224" s="14">
        <v>14.548</v>
      </c>
      <c r="R224" s="14">
        <v>137.71600000000001</v>
      </c>
      <c r="S224" s="14">
        <v>16.544</v>
      </c>
      <c r="T224" s="10" t="b">
        <f t="shared" si="58"/>
        <v>1</v>
      </c>
      <c r="U224" s="10" t="b">
        <f t="shared" si="59"/>
        <v>1</v>
      </c>
      <c r="V224" s="11">
        <f>VLOOKUP(IF(J224&lt;10, 10, IF(J224&gt;50,50,J224)),'Over to underbark'!$A$3:$C$43,IF(A224="Scots pine",3,IF(A224="Sitka spruce",2, "error")),TRUE)/100</f>
        <v>0.82</v>
      </c>
      <c r="W224">
        <f t="shared" si="44"/>
        <v>101.63440800000001</v>
      </c>
      <c r="X224">
        <f t="shared" si="45"/>
        <v>12.209472</v>
      </c>
      <c r="Y224">
        <f t="shared" si="46"/>
        <v>24.990120000000012</v>
      </c>
      <c r="Z224">
        <f t="shared" si="47"/>
        <v>69.527452474800015</v>
      </c>
      <c r="AA224">
        <f t="shared" si="48"/>
        <v>23.674844880000009</v>
      </c>
      <c r="AB224">
        <f t="shared" si="49"/>
        <v>38.892074101200002</v>
      </c>
      <c r="AC224">
        <f t="shared" si="50"/>
        <v>6.7396285439999994</v>
      </c>
      <c r="AD224">
        <f>LOOKUP($A224,'Over to underbark'!$A$47:$A$48,'Over to underbark'!E$47:E$48)*Z224</f>
        <v>29.201530039416006</v>
      </c>
      <c r="AE224">
        <f>LOOKUP($A224,'Over to underbark'!$A$47:$A$48,'Over to underbark'!E$47:E$48)*AA224</f>
        <v>9.9434348496000027</v>
      </c>
      <c r="AF224">
        <f>LOOKUP($A224,'Over to underbark'!$A$47:$A$48,'Over to underbark'!E$47:E$48)*AB224</f>
        <v>16.334671122504002</v>
      </c>
      <c r="AG224">
        <f>LOOKUP($A224,'Over to underbark'!$A$47:$A$48,'Over to underbark'!E$47:E$48)*AC224</f>
        <v>2.8306439884799999</v>
      </c>
      <c r="AH224" t="b">
        <f t="shared" si="51"/>
        <v>1</v>
      </c>
      <c r="AI224" t="b">
        <f t="shared" si="52"/>
        <v>1</v>
      </c>
      <c r="AJ224">
        <f>LOOKUP(A224,'Over to underbark'!$A$47:$A$48,'Over to underbark'!E$47:E$48)*M224</f>
        <v>64.789199999999994</v>
      </c>
      <c r="AK224" s="22">
        <f>LOOKUP(A224,'Over to underbark'!$A$47:$A$48,'Over to underbark'!$B$47:$B$48)*AJ224</f>
        <v>22.028327999999998</v>
      </c>
      <c r="AL224" s="22">
        <f>LOOKUP(A224,'Over to underbark'!$A$47:$A$48,'Over to underbark'!C$47:C$48)*AJ224</f>
        <v>22.676219999999997</v>
      </c>
      <c r="AM224" s="22">
        <f t="shared" si="53"/>
        <v>86.817527999999996</v>
      </c>
      <c r="AN224" s="36">
        <v>206.71</v>
      </c>
      <c r="AO224" s="23">
        <f t="shared" si="54"/>
        <v>173.63505599999999</v>
      </c>
      <c r="AQ224">
        <f t="shared" si="55"/>
        <v>0.67164179104477628</v>
      </c>
    </row>
    <row r="225" spans="1:43" x14ac:dyDescent="0.35">
      <c r="A225" t="s">
        <v>41</v>
      </c>
      <c r="B225">
        <v>10</v>
      </c>
      <c r="C225">
        <v>2</v>
      </c>
      <c r="D225" t="s">
        <v>42</v>
      </c>
      <c r="E225">
        <v>2</v>
      </c>
      <c r="F225">
        <v>1</v>
      </c>
      <c r="G225" s="12">
        <v>31</v>
      </c>
      <c r="H225" s="12">
        <v>12.186</v>
      </c>
      <c r="I225" s="12">
        <v>1921</v>
      </c>
      <c r="J225" s="12">
        <v>14.965</v>
      </c>
      <c r="K225" s="12">
        <v>33.787999999999997</v>
      </c>
      <c r="L225" s="12">
        <v>8.5999999999999993E-2</v>
      </c>
      <c r="M225" s="19">
        <v>166.08</v>
      </c>
      <c r="N225" s="12">
        <v>0.81200000000000006</v>
      </c>
      <c r="O225" s="13">
        <v>5.3570000000000002</v>
      </c>
      <c r="P225" s="14">
        <v>31</v>
      </c>
      <c r="Q225" s="14">
        <v>14.965</v>
      </c>
      <c r="R225" s="14">
        <v>144.08600000000001</v>
      </c>
      <c r="S225" s="14">
        <v>21.994</v>
      </c>
      <c r="T225" s="10" t="b">
        <f t="shared" si="58"/>
        <v>1</v>
      </c>
      <c r="U225" s="10" t="b">
        <f t="shared" si="59"/>
        <v>1</v>
      </c>
      <c r="V225" s="11">
        <f>VLOOKUP(IF(J225&lt;10, 10, IF(J225&gt;50,50,J225)),'Over to underbark'!$A$3:$C$43,IF(A225="Scots pine",3,IF(A225="Sitka spruce",2, "error")),TRUE)/100</f>
        <v>0.82</v>
      </c>
      <c r="W225">
        <f t="shared" si="44"/>
        <v>106.33546799999999</v>
      </c>
      <c r="X225">
        <f t="shared" si="45"/>
        <v>16.231572</v>
      </c>
      <c r="Y225">
        <f t="shared" si="46"/>
        <v>26.90496000000001</v>
      </c>
      <c r="Z225">
        <f t="shared" si="47"/>
        <v>74.239609465800015</v>
      </c>
      <c r="AA225">
        <f t="shared" si="48"/>
        <v>25.149381480000002</v>
      </c>
      <c r="AB225">
        <f t="shared" si="49"/>
        <v>41.123181310199996</v>
      </c>
      <c r="AC225">
        <f t="shared" si="50"/>
        <v>8.959827744</v>
      </c>
      <c r="AD225">
        <f>LOOKUP($A225,'Over to underbark'!$A$47:$A$48,'Over to underbark'!E$47:E$48)*Z225</f>
        <v>31.180635975636005</v>
      </c>
      <c r="AE225">
        <f>LOOKUP($A225,'Over to underbark'!$A$47:$A$48,'Over to underbark'!E$47:E$48)*AA225</f>
        <v>10.5627402216</v>
      </c>
      <c r="AF225">
        <f>LOOKUP($A225,'Over to underbark'!$A$47:$A$48,'Over to underbark'!E$47:E$48)*AB225</f>
        <v>17.271736150283999</v>
      </c>
      <c r="AG225">
        <f>LOOKUP($A225,'Over to underbark'!$A$47:$A$48,'Over to underbark'!E$47:E$48)*AC225</f>
        <v>3.7631276524799997</v>
      </c>
      <c r="AH225" t="b">
        <f t="shared" si="51"/>
        <v>1</v>
      </c>
      <c r="AI225" t="b">
        <f t="shared" si="52"/>
        <v>1</v>
      </c>
      <c r="AJ225">
        <f>LOOKUP(A225,'Over to underbark'!$A$47:$A$48,'Over to underbark'!E$47:E$48)*M225</f>
        <v>69.753600000000006</v>
      </c>
      <c r="AK225" s="22">
        <f>LOOKUP(A225,'Over to underbark'!$A$47:$A$48,'Over to underbark'!$B$47:$B$48)*AJ225</f>
        <v>23.716224000000004</v>
      </c>
      <c r="AL225" s="22">
        <f>LOOKUP(A225,'Over to underbark'!$A$47:$A$48,'Over to underbark'!C$47:C$48)*AJ225</f>
        <v>24.41376</v>
      </c>
      <c r="AM225" s="22">
        <f t="shared" si="53"/>
        <v>93.469824000000017</v>
      </c>
      <c r="AN225" s="36">
        <v>222.55</v>
      </c>
      <c r="AO225" s="23">
        <f t="shared" si="54"/>
        <v>186.93964800000003</v>
      </c>
      <c r="AQ225">
        <f t="shared" si="55"/>
        <v>0.67164179104477606</v>
      </c>
    </row>
    <row r="226" spans="1:43" x14ac:dyDescent="0.35">
      <c r="A226" t="s">
        <v>41</v>
      </c>
      <c r="B226">
        <v>10</v>
      </c>
      <c r="C226">
        <v>2</v>
      </c>
      <c r="D226" t="s">
        <v>42</v>
      </c>
      <c r="E226">
        <v>2</v>
      </c>
      <c r="F226">
        <v>1</v>
      </c>
      <c r="G226" s="12">
        <v>32</v>
      </c>
      <c r="H226" s="12">
        <v>12.56</v>
      </c>
      <c r="I226" s="12">
        <v>1889</v>
      </c>
      <c r="J226" s="12">
        <v>15.38</v>
      </c>
      <c r="K226" s="12">
        <v>35.094000000000001</v>
      </c>
      <c r="L226" s="12">
        <v>9.4E-2</v>
      </c>
      <c r="M226" s="19">
        <v>177.9</v>
      </c>
      <c r="N226" s="12">
        <v>0.94699999999999995</v>
      </c>
      <c r="O226" s="13">
        <v>5.5590000000000002</v>
      </c>
      <c r="P226" s="14">
        <v>32</v>
      </c>
      <c r="Q226" s="14">
        <v>15.38</v>
      </c>
      <c r="R226" s="14">
        <v>149.84200000000001</v>
      </c>
      <c r="S226" s="14">
        <v>28.058</v>
      </c>
      <c r="T226" s="10" t="b">
        <f t="shared" si="58"/>
        <v>1</v>
      </c>
      <c r="U226" s="10" t="b">
        <f t="shared" si="59"/>
        <v>1</v>
      </c>
      <c r="V226" s="11">
        <f>VLOOKUP(IF(J226&lt;10, 10, IF(J226&gt;50,50,J226)),'Over to underbark'!$A$3:$C$43,IF(A226="Scots pine",3,IF(A226="Sitka spruce",2, "error")),TRUE)/100</f>
        <v>0.84</v>
      </c>
      <c r="W226">
        <f t="shared" si="44"/>
        <v>113.28055200000001</v>
      </c>
      <c r="X226">
        <f t="shared" si="45"/>
        <v>21.211848</v>
      </c>
      <c r="Y226">
        <f t="shared" si="46"/>
        <v>25.617600000000007</v>
      </c>
      <c r="Z226">
        <f t="shared" si="47"/>
        <v>78.832323241200015</v>
      </c>
      <c r="AA226">
        <f t="shared" si="48"/>
        <v>25.269660720000005</v>
      </c>
      <c r="AB226">
        <f t="shared" si="49"/>
        <v>44.299075942800002</v>
      </c>
      <c r="AC226">
        <f t="shared" si="50"/>
        <v>11.708940096000001</v>
      </c>
      <c r="AD226">
        <f>LOOKUP($A226,'Over to underbark'!$A$47:$A$48,'Over to underbark'!E$47:E$48)*Z226</f>
        <v>33.109575761304008</v>
      </c>
      <c r="AE226">
        <f>LOOKUP($A226,'Over to underbark'!$A$47:$A$48,'Over to underbark'!E$47:E$48)*AA226</f>
        <v>10.613257502400002</v>
      </c>
      <c r="AF226">
        <f>LOOKUP($A226,'Over to underbark'!$A$47:$A$48,'Over to underbark'!E$47:E$48)*AB226</f>
        <v>18.605611895976001</v>
      </c>
      <c r="AG226">
        <f>LOOKUP($A226,'Over to underbark'!$A$47:$A$48,'Over to underbark'!E$47:E$48)*AC226</f>
        <v>4.9177548403200007</v>
      </c>
      <c r="AH226" t="b">
        <f t="shared" si="51"/>
        <v>1</v>
      </c>
      <c r="AI226" t="b">
        <f t="shared" si="52"/>
        <v>1</v>
      </c>
      <c r="AJ226">
        <f>LOOKUP(A226,'Over to underbark'!$A$47:$A$48,'Over to underbark'!E$47:E$48)*M226</f>
        <v>74.718000000000004</v>
      </c>
      <c r="AK226" s="22">
        <f>LOOKUP(A226,'Over to underbark'!$A$47:$A$48,'Over to underbark'!$B$47:$B$48)*AJ226</f>
        <v>25.404120000000002</v>
      </c>
      <c r="AL226" s="22">
        <f>LOOKUP(A226,'Over to underbark'!$A$47:$A$48,'Over to underbark'!C$47:C$48)*AJ226</f>
        <v>26.151299999999999</v>
      </c>
      <c r="AM226" s="22">
        <f t="shared" si="53"/>
        <v>100.12212000000001</v>
      </c>
      <c r="AN226" s="36">
        <v>238.39</v>
      </c>
      <c r="AO226" s="23">
        <f t="shared" si="54"/>
        <v>200.24424000000002</v>
      </c>
      <c r="AQ226">
        <f t="shared" si="55"/>
        <v>0.67164179104477617</v>
      </c>
    </row>
    <row r="227" spans="1:43" x14ac:dyDescent="0.35">
      <c r="A227" t="s">
        <v>41</v>
      </c>
      <c r="B227">
        <v>10</v>
      </c>
      <c r="C227">
        <v>2</v>
      </c>
      <c r="D227" t="s">
        <v>42</v>
      </c>
      <c r="E227">
        <v>2</v>
      </c>
      <c r="F227">
        <v>1</v>
      </c>
      <c r="G227" s="12">
        <v>33</v>
      </c>
      <c r="H227" s="12">
        <v>12.904</v>
      </c>
      <c r="I227" s="12">
        <v>1857</v>
      </c>
      <c r="J227" s="12">
        <v>15.773999999999999</v>
      </c>
      <c r="K227" s="12">
        <v>36.289000000000001</v>
      </c>
      <c r="L227" s="12">
        <v>0.10299999999999999</v>
      </c>
      <c r="M227" s="19">
        <v>190.64</v>
      </c>
      <c r="N227" s="12">
        <v>1.1719999999999999</v>
      </c>
      <c r="O227" s="13">
        <v>5.7770000000000001</v>
      </c>
      <c r="P227" s="14">
        <v>33</v>
      </c>
      <c r="Q227" s="14">
        <v>15.773999999999999</v>
      </c>
      <c r="R227" s="14">
        <v>155.97200000000001</v>
      </c>
      <c r="S227" s="14">
        <v>34.667999999999999</v>
      </c>
      <c r="T227" s="10" t="b">
        <f t="shared" si="58"/>
        <v>1</v>
      </c>
      <c r="U227" s="10" t="b">
        <f t="shared" si="59"/>
        <v>1</v>
      </c>
      <c r="V227" s="11">
        <f>VLOOKUP(IF(J227&lt;10, 10, IF(J227&gt;50,50,J227)),'Over to underbark'!$A$3:$C$43,IF(A227="Scots pine",3,IF(A227="Sitka spruce",2, "error")),TRUE)/100</f>
        <v>0.84</v>
      </c>
      <c r="W227">
        <f t="shared" si="44"/>
        <v>117.91483200000002</v>
      </c>
      <c r="X227">
        <f t="shared" si="45"/>
        <v>26.209008000000001</v>
      </c>
      <c r="Y227">
        <f t="shared" si="46"/>
        <v>27.45216000000001</v>
      </c>
      <c r="Z227">
        <f t="shared" si="47"/>
        <v>83.784402079200021</v>
      </c>
      <c r="AA227">
        <f t="shared" si="48"/>
        <v>26.696711520000008</v>
      </c>
      <c r="AB227">
        <f t="shared" si="49"/>
        <v>46.627513984800004</v>
      </c>
      <c r="AC227">
        <f t="shared" si="50"/>
        <v>14.467372416</v>
      </c>
      <c r="AD227">
        <f>LOOKUP($A227,'Over to underbark'!$A$47:$A$48,'Over to underbark'!E$47:E$48)*Z227</f>
        <v>35.189448873264006</v>
      </c>
      <c r="AE227">
        <f>LOOKUP($A227,'Over to underbark'!$A$47:$A$48,'Over to underbark'!E$47:E$48)*AA227</f>
        <v>11.212618838400003</v>
      </c>
      <c r="AF227">
        <f>LOOKUP($A227,'Over to underbark'!$A$47:$A$48,'Over to underbark'!E$47:E$48)*AB227</f>
        <v>19.583555873616</v>
      </c>
      <c r="AG227">
        <f>LOOKUP($A227,'Over to underbark'!$A$47:$A$48,'Over to underbark'!E$47:E$48)*AC227</f>
        <v>6.0762964147199998</v>
      </c>
      <c r="AH227" t="b">
        <f t="shared" si="51"/>
        <v>1</v>
      </c>
      <c r="AI227" t="b">
        <f t="shared" si="52"/>
        <v>1</v>
      </c>
      <c r="AJ227">
        <f>LOOKUP(A227,'Over to underbark'!$A$47:$A$48,'Over to underbark'!E$47:E$48)*M227</f>
        <v>80.068799999999996</v>
      </c>
      <c r="AK227" s="22">
        <f>LOOKUP(A227,'Over to underbark'!$A$47:$A$48,'Over to underbark'!$B$47:$B$48)*AJ227</f>
        <v>27.223392</v>
      </c>
      <c r="AL227" s="22">
        <f>LOOKUP(A227,'Over to underbark'!$A$47:$A$48,'Over to underbark'!C$47:C$48)*AJ227</f>
        <v>28.024079999999998</v>
      </c>
      <c r="AM227" s="22">
        <f t="shared" si="53"/>
        <v>107.292192</v>
      </c>
      <c r="AN227" s="36">
        <v>255.46</v>
      </c>
      <c r="AO227" s="23">
        <f t="shared" si="54"/>
        <v>214.584384</v>
      </c>
      <c r="AQ227">
        <f t="shared" si="55"/>
        <v>0.67164179104477628</v>
      </c>
    </row>
    <row r="228" spans="1:43" x14ac:dyDescent="0.35">
      <c r="A228" t="s">
        <v>41</v>
      </c>
      <c r="B228">
        <v>10</v>
      </c>
      <c r="C228">
        <v>2</v>
      </c>
      <c r="D228" t="s">
        <v>42</v>
      </c>
      <c r="E228">
        <v>2</v>
      </c>
      <c r="F228">
        <v>1</v>
      </c>
      <c r="G228" s="12">
        <v>34</v>
      </c>
      <c r="H228" s="12">
        <v>13.247999999999999</v>
      </c>
      <c r="I228" s="12">
        <v>1826</v>
      </c>
      <c r="J228" s="12">
        <v>16.167000000000002</v>
      </c>
      <c r="K228" s="12">
        <v>37.482999999999997</v>
      </c>
      <c r="L228" s="12">
        <v>0.111</v>
      </c>
      <c r="M228" s="19">
        <v>203.38</v>
      </c>
      <c r="N228" s="12">
        <v>1.3680000000000001</v>
      </c>
      <c r="O228" s="13">
        <v>5.9820000000000002</v>
      </c>
      <c r="P228" s="14">
        <v>34</v>
      </c>
      <c r="Q228" s="14">
        <v>16.167000000000002</v>
      </c>
      <c r="R228" s="14">
        <v>161.488</v>
      </c>
      <c r="S228" s="14">
        <v>41.892000000000003</v>
      </c>
      <c r="T228" s="10" t="b">
        <f t="shared" si="58"/>
        <v>1</v>
      </c>
      <c r="U228" s="10" t="b">
        <f t="shared" si="59"/>
        <v>1</v>
      </c>
      <c r="V228" s="11">
        <f>VLOOKUP(IF(J228&lt;10, 10, IF(J228&gt;50,50,J228)),'Over to underbark'!$A$3:$C$43,IF(A228="Scots pine",3,IF(A228="Sitka spruce",2, "error")),TRUE)/100</f>
        <v>0.84</v>
      </c>
      <c r="W228">
        <f t="shared" si="44"/>
        <v>122.084928</v>
      </c>
      <c r="X228">
        <f t="shared" si="45"/>
        <v>31.670352000000001</v>
      </c>
      <c r="Y228">
        <f t="shared" si="46"/>
        <v>29.286720000000006</v>
      </c>
      <c r="Z228">
        <f t="shared" si="47"/>
        <v>88.6439458368</v>
      </c>
      <c r="AA228">
        <f t="shared" si="48"/>
        <v>28.072702080000006</v>
      </c>
      <c r="AB228">
        <f t="shared" si="49"/>
        <v>48.8433177792</v>
      </c>
      <c r="AC228">
        <f t="shared" si="50"/>
        <v>17.482034304000003</v>
      </c>
      <c r="AD228">
        <f>LOOKUP($A228,'Over to underbark'!$A$47:$A$48,'Over to underbark'!E$47:E$48)*Z228</f>
        <v>37.230457251456002</v>
      </c>
      <c r="AE228">
        <f>LOOKUP($A228,'Over to underbark'!$A$47:$A$48,'Over to underbark'!E$47:E$48)*AA228</f>
        <v>11.790534873600002</v>
      </c>
      <c r="AF228">
        <f>LOOKUP($A228,'Over to underbark'!$A$47:$A$48,'Over to underbark'!E$47:E$48)*AB228</f>
        <v>20.514193467264001</v>
      </c>
      <c r="AG228">
        <f>LOOKUP($A228,'Over to underbark'!$A$47:$A$48,'Over to underbark'!E$47:E$48)*AC228</f>
        <v>7.3424544076800009</v>
      </c>
      <c r="AH228" t="b">
        <f t="shared" si="51"/>
        <v>1</v>
      </c>
      <c r="AI228" t="b">
        <f t="shared" si="52"/>
        <v>1</v>
      </c>
      <c r="AJ228">
        <f>LOOKUP(A228,'Over to underbark'!$A$47:$A$48,'Over to underbark'!E$47:E$48)*M228</f>
        <v>85.419599999999988</v>
      </c>
      <c r="AK228" s="22">
        <f>LOOKUP(A228,'Over to underbark'!$A$47:$A$48,'Over to underbark'!$B$47:$B$48)*AJ228</f>
        <v>29.042663999999998</v>
      </c>
      <c r="AL228" s="22">
        <f>LOOKUP(A228,'Over to underbark'!$A$47:$A$48,'Over to underbark'!C$47:C$48)*AJ228</f>
        <v>29.896859999999993</v>
      </c>
      <c r="AM228" s="22">
        <f t="shared" si="53"/>
        <v>114.46226399999999</v>
      </c>
      <c r="AN228" s="36">
        <v>272.52999999999997</v>
      </c>
      <c r="AO228" s="23">
        <f t="shared" si="54"/>
        <v>228.92452799999998</v>
      </c>
      <c r="AQ228">
        <f t="shared" si="55"/>
        <v>0.67164179104477617</v>
      </c>
    </row>
    <row r="229" spans="1:43" x14ac:dyDescent="0.35">
      <c r="A229" t="s">
        <v>41</v>
      </c>
      <c r="B229">
        <v>10</v>
      </c>
      <c r="C229">
        <v>2</v>
      </c>
      <c r="D229" t="s">
        <v>42</v>
      </c>
      <c r="E229">
        <v>2</v>
      </c>
      <c r="F229">
        <v>1</v>
      </c>
      <c r="G229" s="12">
        <v>35</v>
      </c>
      <c r="H229" s="12">
        <v>13.592000000000001</v>
      </c>
      <c r="I229" s="12">
        <v>1795</v>
      </c>
      <c r="J229" s="12">
        <v>16.564</v>
      </c>
      <c r="K229" s="12">
        <v>38.677999999999997</v>
      </c>
      <c r="L229" s="12">
        <v>0.12</v>
      </c>
      <c r="M229" s="19">
        <v>216.12</v>
      </c>
      <c r="N229" s="12">
        <v>1.54</v>
      </c>
      <c r="O229" s="13">
        <v>6.1749999999999998</v>
      </c>
      <c r="P229" s="14">
        <v>35</v>
      </c>
      <c r="Q229" s="14">
        <v>16.564</v>
      </c>
      <c r="R229" s="14">
        <v>166.34</v>
      </c>
      <c r="S229" s="14">
        <v>49.78</v>
      </c>
      <c r="T229" s="10" t="b">
        <f t="shared" si="58"/>
        <v>1</v>
      </c>
      <c r="U229" s="10" t="b">
        <f t="shared" si="59"/>
        <v>1</v>
      </c>
      <c r="V229" s="11">
        <f>VLOOKUP(IF(J229&lt;10, 10, IF(J229&gt;50,50,J229)),'Over to underbark'!$A$3:$C$43,IF(A229="Scots pine",3,IF(A229="Sitka spruce",2, "error")),TRUE)/100</f>
        <v>0.84</v>
      </c>
      <c r="W229">
        <f t="shared" si="44"/>
        <v>125.75304000000001</v>
      </c>
      <c r="X229">
        <f t="shared" si="45"/>
        <v>37.633679999999998</v>
      </c>
      <c r="Y229">
        <f t="shared" si="46"/>
        <v>31.121280000000009</v>
      </c>
      <c r="Z229">
        <f t="shared" si="47"/>
        <v>93.403419084000006</v>
      </c>
      <c r="AA229">
        <f t="shared" si="48"/>
        <v>29.393474400000006</v>
      </c>
      <c r="AB229">
        <f t="shared" si="49"/>
        <v>50.937315155999997</v>
      </c>
      <c r="AC229">
        <f t="shared" si="50"/>
        <v>20.773791360000001</v>
      </c>
      <c r="AD229">
        <f>LOOKUP($A229,'Over to underbark'!$A$47:$A$48,'Over to underbark'!E$47:E$48)*Z229</f>
        <v>39.229436015280001</v>
      </c>
      <c r="AE229">
        <f>LOOKUP($A229,'Over to underbark'!$A$47:$A$48,'Over to underbark'!E$47:E$48)*AA229</f>
        <v>12.345259248000001</v>
      </c>
      <c r="AF229">
        <f>LOOKUP($A229,'Over to underbark'!$A$47:$A$48,'Over to underbark'!E$47:E$48)*AB229</f>
        <v>21.393672365519997</v>
      </c>
      <c r="AG229">
        <f>LOOKUP($A229,'Over to underbark'!$A$47:$A$48,'Over to underbark'!E$47:E$48)*AC229</f>
        <v>8.724992371199999</v>
      </c>
      <c r="AH229" t="b">
        <f t="shared" si="51"/>
        <v>1</v>
      </c>
      <c r="AI229" t="b">
        <f t="shared" si="52"/>
        <v>1</v>
      </c>
      <c r="AJ229">
        <f>LOOKUP(A229,'Over to underbark'!$A$47:$A$48,'Over to underbark'!E$47:E$48)*M229</f>
        <v>90.770399999999995</v>
      </c>
      <c r="AK229" s="22">
        <f>LOOKUP(A229,'Over to underbark'!$A$47:$A$48,'Over to underbark'!$B$47:$B$48)*AJ229</f>
        <v>30.861936</v>
      </c>
      <c r="AL229" s="22">
        <f>LOOKUP(A229,'Over to underbark'!$A$47:$A$48,'Over to underbark'!C$47:C$48)*AJ229</f>
        <v>31.769639999999995</v>
      </c>
      <c r="AM229" s="22">
        <f t="shared" si="53"/>
        <v>121.632336</v>
      </c>
      <c r="AN229" s="36">
        <v>289.60000000000002</v>
      </c>
      <c r="AO229" s="23">
        <f t="shared" si="54"/>
        <v>243.26467199999999</v>
      </c>
      <c r="AQ229">
        <f t="shared" si="55"/>
        <v>0.67164179104477617</v>
      </c>
    </row>
    <row r="230" spans="1:43" x14ac:dyDescent="0.35">
      <c r="A230" t="s">
        <v>41</v>
      </c>
      <c r="B230">
        <v>10</v>
      </c>
      <c r="C230">
        <v>2</v>
      </c>
      <c r="D230" t="s">
        <v>42</v>
      </c>
      <c r="E230">
        <v>2</v>
      </c>
      <c r="F230">
        <v>1</v>
      </c>
      <c r="G230" s="12">
        <v>36</v>
      </c>
      <c r="H230" s="12">
        <v>13.936</v>
      </c>
      <c r="I230" s="12">
        <v>1764</v>
      </c>
      <c r="J230" s="12">
        <v>16.963999999999999</v>
      </c>
      <c r="K230" s="12">
        <v>39.872</v>
      </c>
      <c r="L230" s="12">
        <v>0.13</v>
      </c>
      <c r="M230" s="19">
        <v>228.86</v>
      </c>
      <c r="N230" s="12">
        <v>1.6919999999999999</v>
      </c>
      <c r="O230" s="13">
        <v>6.3570000000000002</v>
      </c>
      <c r="P230" s="14">
        <v>36</v>
      </c>
      <c r="Q230" s="14">
        <v>16.963999999999999</v>
      </c>
      <c r="R230" s="14">
        <v>170.547</v>
      </c>
      <c r="S230" s="14">
        <v>58.313000000000002</v>
      </c>
      <c r="T230" s="10" t="b">
        <f t="shared" si="58"/>
        <v>1</v>
      </c>
      <c r="U230" s="10" t="b">
        <f t="shared" si="59"/>
        <v>1</v>
      </c>
      <c r="V230" s="11">
        <f>VLOOKUP(IF(J230&lt;10, 10, IF(J230&gt;50,50,J230)),'Over to underbark'!$A$3:$C$43,IF(A230="Scots pine",3,IF(A230="Sitka spruce",2, "error")),TRUE)/100</f>
        <v>0.84</v>
      </c>
      <c r="W230">
        <f t="shared" si="44"/>
        <v>128.93353199999999</v>
      </c>
      <c r="X230">
        <f t="shared" si="45"/>
        <v>44.084628000000002</v>
      </c>
      <c r="Y230">
        <f t="shared" si="46"/>
        <v>32.955840000000009</v>
      </c>
      <c r="Z230">
        <f t="shared" si="47"/>
        <v>98.065685284199972</v>
      </c>
      <c r="AA230">
        <f t="shared" si="48"/>
        <v>30.660608520000004</v>
      </c>
      <c r="AB230">
        <f t="shared" si="49"/>
        <v>52.912991539799989</v>
      </c>
      <c r="AC230">
        <f t="shared" si="50"/>
        <v>24.334714655999999</v>
      </c>
      <c r="AD230">
        <f>LOOKUP($A230,'Over to underbark'!$A$47:$A$48,'Over to underbark'!E$47:E$48)*Z230</f>
        <v>41.187587819363983</v>
      </c>
      <c r="AE230">
        <f>LOOKUP($A230,'Over to underbark'!$A$47:$A$48,'Over to underbark'!E$47:E$48)*AA230</f>
        <v>12.877455578400001</v>
      </c>
      <c r="AF230">
        <f>LOOKUP($A230,'Over to underbark'!$A$47:$A$48,'Over to underbark'!E$47:E$48)*AB230</f>
        <v>22.223456446715996</v>
      </c>
      <c r="AG230">
        <f>LOOKUP($A230,'Over to underbark'!$A$47:$A$48,'Over to underbark'!E$47:E$48)*AC230</f>
        <v>10.220580155519999</v>
      </c>
      <c r="AH230" t="b">
        <f t="shared" si="51"/>
        <v>1</v>
      </c>
      <c r="AI230" t="b">
        <f t="shared" si="52"/>
        <v>1</v>
      </c>
      <c r="AJ230">
        <f>LOOKUP(A230,'Over to underbark'!$A$47:$A$48,'Over to underbark'!E$47:E$48)*M230</f>
        <v>96.121200000000002</v>
      </c>
      <c r="AK230" s="22">
        <f>LOOKUP(A230,'Over to underbark'!$A$47:$A$48,'Over to underbark'!$B$47:$B$48)*AJ230</f>
        <v>32.681208000000005</v>
      </c>
      <c r="AL230" s="22">
        <f>LOOKUP(A230,'Over to underbark'!$A$47:$A$48,'Over to underbark'!C$47:C$48)*AJ230</f>
        <v>33.642420000000001</v>
      </c>
      <c r="AM230" s="22">
        <f t="shared" si="53"/>
        <v>128.80240800000001</v>
      </c>
      <c r="AN230" s="36">
        <v>306.67</v>
      </c>
      <c r="AO230" s="23">
        <f t="shared" si="54"/>
        <v>257.60481600000003</v>
      </c>
      <c r="AQ230">
        <f t="shared" si="55"/>
        <v>0.67164179104477595</v>
      </c>
    </row>
    <row r="231" spans="1:43" x14ac:dyDescent="0.35">
      <c r="A231" t="s">
        <v>41</v>
      </c>
      <c r="B231">
        <v>10</v>
      </c>
      <c r="C231">
        <v>2</v>
      </c>
      <c r="D231" t="s">
        <v>42</v>
      </c>
      <c r="E231">
        <v>2</v>
      </c>
      <c r="F231">
        <v>1</v>
      </c>
      <c r="G231" s="12">
        <v>37</v>
      </c>
      <c r="H231" s="12">
        <v>14.28</v>
      </c>
      <c r="I231" s="12">
        <v>1733</v>
      </c>
      <c r="J231" s="12">
        <v>17.37</v>
      </c>
      <c r="K231" s="12">
        <v>41.067</v>
      </c>
      <c r="L231" s="12">
        <v>0.13900000000000001</v>
      </c>
      <c r="M231" s="19">
        <v>241.6</v>
      </c>
      <c r="N231" s="12">
        <v>1.829</v>
      </c>
      <c r="O231" s="13">
        <v>6.53</v>
      </c>
      <c r="P231" s="14">
        <v>37</v>
      </c>
      <c r="Q231" s="14">
        <v>17.37</v>
      </c>
      <c r="R231" s="14">
        <v>174.07599999999999</v>
      </c>
      <c r="S231" s="14">
        <v>67.524000000000001</v>
      </c>
      <c r="T231" s="10" t="b">
        <f t="shared" si="58"/>
        <v>1</v>
      </c>
      <c r="U231" s="10" t="b">
        <f t="shared" si="59"/>
        <v>1</v>
      </c>
      <c r="V231" s="11">
        <f>VLOOKUP(IF(J231&lt;10, 10, IF(J231&gt;50,50,J231)),'Over to underbark'!$A$3:$C$43,IF(A231="Scots pine",3,IF(A231="Sitka spruce",2, "error")),TRUE)/100</f>
        <v>0.84</v>
      </c>
      <c r="W231">
        <f t="shared" si="44"/>
        <v>131.60145599999998</v>
      </c>
      <c r="X231">
        <f t="shared" si="45"/>
        <v>51.048144000000001</v>
      </c>
      <c r="Y231">
        <f t="shared" si="46"/>
        <v>34.790400000000005</v>
      </c>
      <c r="Z231">
        <f t="shared" si="47"/>
        <v>102.62577105359999</v>
      </c>
      <c r="AA231">
        <f t="shared" si="48"/>
        <v>31.871360160000002</v>
      </c>
      <c r="AB231">
        <f t="shared" si="49"/>
        <v>54.764293298399984</v>
      </c>
      <c r="AC231">
        <f t="shared" si="50"/>
        <v>28.178575488</v>
      </c>
      <c r="AD231">
        <f>LOOKUP($A231,'Over to underbark'!$A$47:$A$48,'Over to underbark'!E$47:E$48)*Z231</f>
        <v>43.102823842511995</v>
      </c>
      <c r="AE231">
        <f>LOOKUP($A231,'Over to underbark'!$A$47:$A$48,'Over to underbark'!E$47:E$48)*AA231</f>
        <v>13.3859712672</v>
      </c>
      <c r="AF231">
        <f>LOOKUP($A231,'Over to underbark'!$A$47:$A$48,'Over to underbark'!E$47:E$48)*AB231</f>
        <v>23.001003185327992</v>
      </c>
      <c r="AG231">
        <f>LOOKUP($A231,'Over to underbark'!$A$47:$A$48,'Over to underbark'!E$47:E$48)*AC231</f>
        <v>11.83500170496</v>
      </c>
      <c r="AH231" t="b">
        <f t="shared" si="51"/>
        <v>1</v>
      </c>
      <c r="AI231" t="b">
        <f t="shared" si="52"/>
        <v>1</v>
      </c>
      <c r="AJ231">
        <f>LOOKUP(A231,'Over to underbark'!$A$47:$A$48,'Over to underbark'!E$47:E$48)*M231</f>
        <v>101.47199999999999</v>
      </c>
      <c r="AK231" s="22">
        <f>LOOKUP(A231,'Over to underbark'!$A$47:$A$48,'Over to underbark'!$B$47:$B$48)*AJ231</f>
        <v>34.500480000000003</v>
      </c>
      <c r="AL231" s="22">
        <f>LOOKUP(A231,'Over to underbark'!$A$47:$A$48,'Over to underbark'!C$47:C$48)*AJ231</f>
        <v>35.515199999999993</v>
      </c>
      <c r="AM231" s="22">
        <f t="shared" si="53"/>
        <v>135.97247999999999</v>
      </c>
      <c r="AN231" s="36">
        <v>323.74</v>
      </c>
      <c r="AO231" s="23">
        <f t="shared" si="54"/>
        <v>271.94495999999998</v>
      </c>
      <c r="AQ231">
        <f t="shared" si="55"/>
        <v>0.67164179104477606</v>
      </c>
    </row>
    <row r="232" spans="1:43" x14ac:dyDescent="0.35">
      <c r="A232" t="s">
        <v>41</v>
      </c>
      <c r="B232">
        <v>10</v>
      </c>
      <c r="C232">
        <v>2</v>
      </c>
      <c r="D232" t="s">
        <v>42</v>
      </c>
      <c r="E232">
        <v>2</v>
      </c>
      <c r="F232">
        <v>1</v>
      </c>
      <c r="G232" s="12">
        <v>38</v>
      </c>
      <c r="H232" s="12">
        <v>14.598000000000001</v>
      </c>
      <c r="I232" s="12">
        <v>1702</v>
      </c>
      <c r="J232" s="12">
        <v>17.753</v>
      </c>
      <c r="K232" s="12">
        <v>42.128999999999998</v>
      </c>
      <c r="L232" s="12">
        <v>0.15</v>
      </c>
      <c r="M232" s="19">
        <v>254.56</v>
      </c>
      <c r="N232" s="12">
        <v>2.0920000000000001</v>
      </c>
      <c r="O232" s="13">
        <v>6.6989999999999998</v>
      </c>
      <c r="P232" s="14">
        <v>38</v>
      </c>
      <c r="Q232" s="14">
        <v>17.753</v>
      </c>
      <c r="R232" s="14">
        <v>177.53399999999999</v>
      </c>
      <c r="S232" s="14">
        <v>77.025999999999996</v>
      </c>
      <c r="T232" s="10" t="b">
        <f t="shared" si="58"/>
        <v>1</v>
      </c>
      <c r="U232" s="10" t="b">
        <f t="shared" si="59"/>
        <v>1</v>
      </c>
      <c r="V232" s="11">
        <f>VLOOKUP(IF(J232&lt;10, 10, IF(J232&gt;50,50,J232)),'Over to underbark'!$A$3:$C$43,IF(A232="Scots pine",3,IF(A232="Sitka spruce",2, "error")),TRUE)/100</f>
        <v>0.84</v>
      </c>
      <c r="W232">
        <f t="shared" si="44"/>
        <v>134.21570399999999</v>
      </c>
      <c r="X232">
        <f t="shared" si="45"/>
        <v>58.231655999999994</v>
      </c>
      <c r="Y232">
        <f t="shared" si="46"/>
        <v>36.65664000000001</v>
      </c>
      <c r="Z232">
        <f t="shared" si="47"/>
        <v>107.2447178724</v>
      </c>
      <c r="AA232">
        <f t="shared" si="48"/>
        <v>33.092047440000002</v>
      </c>
      <c r="AB232">
        <f t="shared" si="49"/>
        <v>56.623360575599996</v>
      </c>
      <c r="AC232">
        <f t="shared" si="50"/>
        <v>32.143874111999999</v>
      </c>
      <c r="AD232">
        <f>LOOKUP($A232,'Over to underbark'!$A$47:$A$48,'Over to underbark'!E$47:E$48)*Z232</f>
        <v>45.042781506407998</v>
      </c>
      <c r="AE232">
        <f>LOOKUP($A232,'Over to underbark'!$A$47:$A$48,'Over to underbark'!E$47:E$48)*AA232</f>
        <v>13.8986599248</v>
      </c>
      <c r="AF232">
        <f>LOOKUP($A232,'Over to underbark'!$A$47:$A$48,'Over to underbark'!E$47:E$48)*AB232</f>
        <v>23.781811441751998</v>
      </c>
      <c r="AG232">
        <f>LOOKUP($A232,'Over to underbark'!$A$47:$A$48,'Over to underbark'!E$47:E$48)*AC232</f>
        <v>13.500427127039998</v>
      </c>
      <c r="AH232" t="b">
        <f t="shared" si="51"/>
        <v>1</v>
      </c>
      <c r="AI232" t="b">
        <f t="shared" si="52"/>
        <v>1</v>
      </c>
      <c r="AJ232">
        <f>LOOKUP(A232,'Over to underbark'!$A$47:$A$48,'Over to underbark'!E$47:E$48)*M232</f>
        <v>106.9152</v>
      </c>
      <c r="AK232" s="22">
        <f>LOOKUP(A232,'Over to underbark'!$A$47:$A$48,'Over to underbark'!$B$47:$B$48)*AJ232</f>
        <v>36.351168000000001</v>
      </c>
      <c r="AL232" s="22">
        <f>LOOKUP(A232,'Over to underbark'!$A$47:$A$48,'Over to underbark'!C$47:C$48)*AJ232</f>
        <v>37.420319999999997</v>
      </c>
      <c r="AM232" s="22">
        <f t="shared" si="53"/>
        <v>143.266368</v>
      </c>
      <c r="AN232" s="36">
        <v>341.11</v>
      </c>
      <c r="AO232" s="23">
        <f t="shared" si="54"/>
        <v>286.532736</v>
      </c>
      <c r="AQ232">
        <f t="shared" si="55"/>
        <v>0.67164179104477606</v>
      </c>
    </row>
    <row r="233" spans="1:43" x14ac:dyDescent="0.35">
      <c r="A233" t="s">
        <v>41</v>
      </c>
      <c r="B233">
        <v>10</v>
      </c>
      <c r="C233">
        <v>2</v>
      </c>
      <c r="D233" t="s">
        <v>42</v>
      </c>
      <c r="E233">
        <v>2</v>
      </c>
      <c r="F233">
        <v>1</v>
      </c>
      <c r="G233" s="12">
        <v>39</v>
      </c>
      <c r="H233" s="12">
        <v>14.916</v>
      </c>
      <c r="I233" s="12">
        <v>1672</v>
      </c>
      <c r="J233" s="12">
        <v>18.135999999999999</v>
      </c>
      <c r="K233" s="12">
        <v>43.191000000000003</v>
      </c>
      <c r="L233" s="12">
        <v>0.16</v>
      </c>
      <c r="M233" s="19">
        <v>267.52</v>
      </c>
      <c r="N233" s="12">
        <v>2.3290000000000002</v>
      </c>
      <c r="O233" s="13">
        <v>6.859</v>
      </c>
      <c r="P233" s="14">
        <v>39</v>
      </c>
      <c r="Q233" s="14">
        <v>18.135999999999999</v>
      </c>
      <c r="R233" s="14">
        <v>180.453</v>
      </c>
      <c r="S233" s="14">
        <v>87.066999999999993</v>
      </c>
      <c r="T233" s="10" t="b">
        <f t="shared" si="58"/>
        <v>1</v>
      </c>
      <c r="U233" s="10" t="b">
        <f t="shared" si="59"/>
        <v>1</v>
      </c>
      <c r="V233" s="11">
        <f>VLOOKUP(IF(J233&lt;10, 10, IF(J233&gt;50,50,J233)),'Over to underbark'!$A$3:$C$43,IF(A233="Scots pine",3,IF(A233="Sitka spruce",2, "error")),TRUE)/100</f>
        <v>0.84</v>
      </c>
      <c r="W233">
        <f t="shared" si="44"/>
        <v>136.42246800000001</v>
      </c>
      <c r="X233">
        <f t="shared" si="45"/>
        <v>65.822651999999991</v>
      </c>
      <c r="Y233">
        <f t="shared" si="46"/>
        <v>38.522880000000008</v>
      </c>
      <c r="Z233">
        <f t="shared" si="47"/>
        <v>111.7824327558</v>
      </c>
      <c r="AA233">
        <f t="shared" si="48"/>
        <v>34.267911480000009</v>
      </c>
      <c r="AB233">
        <f t="shared" si="49"/>
        <v>58.383551860200001</v>
      </c>
      <c r="AC233">
        <f t="shared" si="50"/>
        <v>36.334103903999996</v>
      </c>
      <c r="AD233">
        <f>LOOKUP($A233,'Over to underbark'!$A$47:$A$48,'Over to underbark'!E$47:E$48)*Z233</f>
        <v>46.948621757436001</v>
      </c>
      <c r="AE233">
        <f>LOOKUP($A233,'Over to underbark'!$A$47:$A$48,'Over to underbark'!E$47:E$48)*AA233</f>
        <v>14.392522821600004</v>
      </c>
      <c r="AF233">
        <f>LOOKUP($A233,'Over to underbark'!$A$47:$A$48,'Over to underbark'!E$47:E$48)*AB233</f>
        <v>24.521091781283999</v>
      </c>
      <c r="AG233">
        <f>LOOKUP($A233,'Over to underbark'!$A$47:$A$48,'Over to underbark'!E$47:E$48)*AC233</f>
        <v>15.260323639679997</v>
      </c>
      <c r="AH233" t="b">
        <f t="shared" si="51"/>
        <v>1</v>
      </c>
      <c r="AI233" t="b">
        <f t="shared" si="52"/>
        <v>1</v>
      </c>
      <c r="AJ233">
        <f>LOOKUP(A233,'Over to underbark'!$A$47:$A$48,'Over to underbark'!E$47:E$48)*M233</f>
        <v>112.35839999999999</v>
      </c>
      <c r="AK233" s="22">
        <f>LOOKUP(A233,'Over to underbark'!$A$47:$A$48,'Over to underbark'!$B$47:$B$48)*AJ233</f>
        <v>38.201855999999999</v>
      </c>
      <c r="AL233" s="22">
        <f>LOOKUP(A233,'Over to underbark'!$A$47:$A$48,'Over to underbark'!C$47:C$48)*AJ233</f>
        <v>39.325439999999993</v>
      </c>
      <c r="AM233" s="22">
        <f t="shared" si="53"/>
        <v>150.56025599999998</v>
      </c>
      <c r="AN233" s="36">
        <v>358.48</v>
      </c>
      <c r="AO233" s="23">
        <f t="shared" si="54"/>
        <v>301.12051199999996</v>
      </c>
      <c r="AQ233">
        <f t="shared" si="55"/>
        <v>0.67164179104477617</v>
      </c>
    </row>
    <row r="234" spans="1:43" x14ac:dyDescent="0.35">
      <c r="A234" t="s">
        <v>41</v>
      </c>
      <c r="B234">
        <v>10</v>
      </c>
      <c r="C234">
        <v>2</v>
      </c>
      <c r="D234" t="s">
        <v>42</v>
      </c>
      <c r="E234">
        <v>2</v>
      </c>
      <c r="F234">
        <v>1</v>
      </c>
      <c r="G234" s="12">
        <v>40</v>
      </c>
      <c r="H234" s="12">
        <v>15.234</v>
      </c>
      <c r="I234" s="12">
        <v>1642</v>
      </c>
      <c r="J234" s="12">
        <v>18.524000000000001</v>
      </c>
      <c r="K234" s="12">
        <v>44.253</v>
      </c>
      <c r="L234" s="12">
        <v>0.17100000000000001</v>
      </c>
      <c r="M234" s="19">
        <v>280.48</v>
      </c>
      <c r="N234" s="12">
        <v>2.5430000000000001</v>
      </c>
      <c r="O234" s="13">
        <v>7.0119999999999996</v>
      </c>
      <c r="P234" s="14">
        <v>40</v>
      </c>
      <c r="Q234" s="14">
        <v>18.524000000000001</v>
      </c>
      <c r="R234" s="14">
        <v>182.77500000000001</v>
      </c>
      <c r="S234" s="14">
        <v>97.704999999999998</v>
      </c>
      <c r="T234" s="10" t="b">
        <f t="shared" si="58"/>
        <v>1</v>
      </c>
      <c r="U234" s="10" t="b">
        <f t="shared" si="59"/>
        <v>1</v>
      </c>
      <c r="V234" s="11">
        <f>VLOOKUP(IF(J234&lt;10, 10, IF(J234&gt;50,50,J234)),'Over to underbark'!$A$3:$C$43,IF(A234="Scots pine",3,IF(A234="Sitka spruce",2, "error")),TRUE)/100</f>
        <v>0.84</v>
      </c>
      <c r="W234">
        <f t="shared" si="44"/>
        <v>138.17789999999999</v>
      </c>
      <c r="X234">
        <f t="shared" si="45"/>
        <v>73.864980000000003</v>
      </c>
      <c r="Y234">
        <f t="shared" si="46"/>
        <v>40.389120000000013</v>
      </c>
      <c r="Z234">
        <f t="shared" si="47"/>
        <v>116.23017460499999</v>
      </c>
      <c r="AA234">
        <f t="shared" si="48"/>
        <v>35.394129000000007</v>
      </c>
      <c r="AB234">
        <f t="shared" si="49"/>
        <v>60.034227434999998</v>
      </c>
      <c r="AC234">
        <f t="shared" si="50"/>
        <v>40.773468960000002</v>
      </c>
      <c r="AD234">
        <f>LOOKUP($A234,'Over to underbark'!$A$47:$A$48,'Over to underbark'!E$47:E$48)*Z234</f>
        <v>48.816673334099995</v>
      </c>
      <c r="AE234">
        <f>LOOKUP($A234,'Over to underbark'!$A$47:$A$48,'Over to underbark'!E$47:E$48)*AA234</f>
        <v>14.865534180000003</v>
      </c>
      <c r="AF234">
        <f>LOOKUP($A234,'Over to underbark'!$A$47:$A$48,'Over to underbark'!E$47:E$48)*AB234</f>
        <v>25.214375522699999</v>
      </c>
      <c r="AG234">
        <f>LOOKUP($A234,'Over to underbark'!$A$47:$A$48,'Over to underbark'!E$47:E$48)*AC234</f>
        <v>17.124856963199999</v>
      </c>
      <c r="AH234" t="b">
        <f t="shared" si="51"/>
        <v>1</v>
      </c>
      <c r="AI234" t="b">
        <f t="shared" si="52"/>
        <v>1</v>
      </c>
      <c r="AJ234">
        <f>LOOKUP(A234,'Over to underbark'!$A$47:$A$48,'Over to underbark'!E$47:E$48)*M234</f>
        <v>117.80160000000001</v>
      </c>
      <c r="AK234" s="22">
        <f>LOOKUP(A234,'Over to underbark'!$A$47:$A$48,'Over to underbark'!$B$47:$B$48)*AJ234</f>
        <v>40.052544000000005</v>
      </c>
      <c r="AL234" s="22">
        <f>LOOKUP(A234,'Over to underbark'!$A$47:$A$48,'Over to underbark'!C$47:C$48)*AJ234</f>
        <v>41.230559999999997</v>
      </c>
      <c r="AM234" s="22">
        <f t="shared" si="53"/>
        <v>157.85414400000002</v>
      </c>
      <c r="AN234" s="36">
        <v>375.84</v>
      </c>
      <c r="AO234" s="23">
        <f t="shared" si="54"/>
        <v>315.70828800000004</v>
      </c>
      <c r="AQ234">
        <f t="shared" si="55"/>
        <v>0.67164179104477606</v>
      </c>
    </row>
    <row r="235" spans="1:43" x14ac:dyDescent="0.35">
      <c r="A235" t="s">
        <v>41</v>
      </c>
      <c r="B235">
        <v>10</v>
      </c>
      <c r="C235">
        <v>2</v>
      </c>
      <c r="D235" t="s">
        <v>42</v>
      </c>
      <c r="E235">
        <v>2</v>
      </c>
      <c r="F235">
        <v>1</v>
      </c>
      <c r="G235" s="12">
        <v>41</v>
      </c>
      <c r="H235" s="12">
        <v>15.552</v>
      </c>
      <c r="I235" s="12">
        <v>1612</v>
      </c>
      <c r="J235" s="12">
        <v>18.919</v>
      </c>
      <c r="K235" s="12">
        <v>45.316000000000003</v>
      </c>
      <c r="L235" s="12">
        <v>0.182</v>
      </c>
      <c r="M235" s="19">
        <v>293.44</v>
      </c>
      <c r="N235" s="12">
        <v>2.738</v>
      </c>
      <c r="O235" s="13">
        <v>7.157</v>
      </c>
      <c r="P235" s="14">
        <v>41</v>
      </c>
      <c r="Q235" s="14">
        <v>18.919</v>
      </c>
      <c r="R235" s="14">
        <v>184.47800000000001</v>
      </c>
      <c r="S235" s="14">
        <v>108.962</v>
      </c>
      <c r="T235" s="10" t="b">
        <f t="shared" si="58"/>
        <v>1</v>
      </c>
      <c r="U235" s="10" t="b">
        <f t="shared" si="59"/>
        <v>1</v>
      </c>
      <c r="V235" s="11">
        <f>VLOOKUP(IF(J235&lt;10, 10, IF(J235&gt;50,50,J235)),'Over to underbark'!$A$3:$C$43,IF(A235="Scots pine",3,IF(A235="Sitka spruce",2, "error")),TRUE)/100</f>
        <v>0.84</v>
      </c>
      <c r="W235">
        <f t="shared" si="44"/>
        <v>139.46536800000001</v>
      </c>
      <c r="X235">
        <f t="shared" si="45"/>
        <v>82.37527200000001</v>
      </c>
      <c r="Y235">
        <f t="shared" si="46"/>
        <v>42.25536000000001</v>
      </c>
      <c r="Z235">
        <f t="shared" si="47"/>
        <v>120.5846278308</v>
      </c>
      <c r="AA235">
        <f t="shared" si="48"/>
        <v>36.468870480000007</v>
      </c>
      <c r="AB235">
        <f t="shared" si="49"/>
        <v>61.571351545199995</v>
      </c>
      <c r="AC235">
        <f t="shared" si="50"/>
        <v>45.471150144000006</v>
      </c>
      <c r="AD235">
        <f>LOOKUP($A235,'Over to underbark'!$A$47:$A$48,'Over to underbark'!E$47:E$48)*Z235</f>
        <v>50.645543688936002</v>
      </c>
      <c r="AE235">
        <f>LOOKUP($A235,'Over to underbark'!$A$47:$A$48,'Over to underbark'!E$47:E$48)*AA235</f>
        <v>15.316925601600003</v>
      </c>
      <c r="AF235">
        <f>LOOKUP($A235,'Over to underbark'!$A$47:$A$48,'Over to underbark'!E$47:E$48)*AB235</f>
        <v>25.859967648983996</v>
      </c>
      <c r="AG235">
        <f>LOOKUP($A235,'Over to underbark'!$A$47:$A$48,'Over to underbark'!E$47:E$48)*AC235</f>
        <v>19.097883060480001</v>
      </c>
      <c r="AH235" t="b">
        <f t="shared" si="51"/>
        <v>1</v>
      </c>
      <c r="AI235" t="b">
        <f t="shared" si="52"/>
        <v>1</v>
      </c>
      <c r="AJ235">
        <f>LOOKUP(A235,'Over to underbark'!$A$47:$A$48,'Over to underbark'!E$47:E$48)*M235</f>
        <v>123.2448</v>
      </c>
      <c r="AK235" s="22">
        <f>LOOKUP(A235,'Over to underbark'!$A$47:$A$48,'Over to underbark'!$B$47:$B$48)*AJ235</f>
        <v>41.903232000000003</v>
      </c>
      <c r="AL235" s="22">
        <f>LOOKUP(A235,'Over to underbark'!$A$47:$A$48,'Over to underbark'!C$47:C$48)*AJ235</f>
        <v>43.135679999999994</v>
      </c>
      <c r="AM235" s="22">
        <f t="shared" si="53"/>
        <v>165.148032</v>
      </c>
      <c r="AN235" s="36">
        <v>393.21</v>
      </c>
      <c r="AO235" s="23">
        <f t="shared" si="54"/>
        <v>330.296064</v>
      </c>
      <c r="AQ235">
        <f t="shared" si="55"/>
        <v>0.67164179104477617</v>
      </c>
    </row>
    <row r="236" spans="1:43" x14ac:dyDescent="0.35">
      <c r="A236" t="s">
        <v>41</v>
      </c>
      <c r="B236">
        <v>10</v>
      </c>
      <c r="C236">
        <v>2</v>
      </c>
      <c r="D236" t="s">
        <v>42</v>
      </c>
      <c r="E236">
        <v>2</v>
      </c>
      <c r="F236">
        <v>1</v>
      </c>
      <c r="G236" s="12">
        <v>42</v>
      </c>
      <c r="H236" s="12">
        <v>15.87</v>
      </c>
      <c r="I236" s="12">
        <v>1582</v>
      </c>
      <c r="J236" s="12">
        <v>19.32</v>
      </c>
      <c r="K236" s="12">
        <v>46.378</v>
      </c>
      <c r="L236" s="12">
        <v>0.19400000000000001</v>
      </c>
      <c r="M236" s="19">
        <v>306.39999999999998</v>
      </c>
      <c r="N236" s="12">
        <v>2.915</v>
      </c>
      <c r="O236" s="13">
        <v>7.2949999999999999</v>
      </c>
      <c r="P236" s="14">
        <v>42</v>
      </c>
      <c r="Q236" s="14">
        <v>19.32</v>
      </c>
      <c r="R236" s="14">
        <v>185.595</v>
      </c>
      <c r="S236" s="14">
        <v>120.80500000000001</v>
      </c>
      <c r="T236" s="10" t="b">
        <f t="shared" si="58"/>
        <v>1</v>
      </c>
      <c r="U236" s="10" t="b">
        <f t="shared" si="59"/>
        <v>1</v>
      </c>
      <c r="V236" s="11">
        <f>VLOOKUP(IF(J236&lt;10, 10, IF(J236&gt;50,50,J236)),'Over to underbark'!$A$3:$C$43,IF(A236="Scots pine",3,IF(A236="Sitka spruce",2, "error")),TRUE)/100</f>
        <v>0.84</v>
      </c>
      <c r="W236">
        <f t="shared" si="44"/>
        <v>140.30982</v>
      </c>
      <c r="X236">
        <f t="shared" si="45"/>
        <v>91.328580000000002</v>
      </c>
      <c r="Y236">
        <f t="shared" si="46"/>
        <v>44.121600000000008</v>
      </c>
      <c r="Z236">
        <f t="shared" si="47"/>
        <v>124.85076581700001</v>
      </c>
      <c r="AA236">
        <f t="shared" si="48"/>
        <v>37.494880200000004</v>
      </c>
      <c r="AB236">
        <f t="shared" si="49"/>
        <v>63.000977822999999</v>
      </c>
      <c r="AC236">
        <f t="shared" si="50"/>
        <v>50.413376160000006</v>
      </c>
      <c r="AD236">
        <f>LOOKUP($A236,'Over to underbark'!$A$47:$A$48,'Over to underbark'!E$47:E$48)*Z236</f>
        <v>52.437321643140002</v>
      </c>
      <c r="AE236">
        <f>LOOKUP($A236,'Over to underbark'!$A$47:$A$48,'Over to underbark'!E$47:E$48)*AA236</f>
        <v>15.747849684000002</v>
      </c>
      <c r="AF236">
        <f>LOOKUP($A236,'Over to underbark'!$A$47:$A$48,'Over to underbark'!E$47:E$48)*AB236</f>
        <v>26.460410685659998</v>
      </c>
      <c r="AG236">
        <f>LOOKUP($A236,'Over to underbark'!$A$47:$A$48,'Over to underbark'!E$47:E$48)*AC236</f>
        <v>21.1736179872</v>
      </c>
      <c r="AH236" t="b">
        <f t="shared" si="51"/>
        <v>1</v>
      </c>
      <c r="AI236" t="b">
        <f t="shared" si="52"/>
        <v>1</v>
      </c>
      <c r="AJ236">
        <f>LOOKUP(A236,'Over to underbark'!$A$47:$A$48,'Over to underbark'!E$47:E$48)*M236</f>
        <v>128.68799999999999</v>
      </c>
      <c r="AK236" s="22">
        <f>LOOKUP(A236,'Over to underbark'!$A$47:$A$48,'Over to underbark'!$B$47:$B$48)*AJ236</f>
        <v>43.753920000000001</v>
      </c>
      <c r="AL236" s="22">
        <f>LOOKUP(A236,'Over to underbark'!$A$47:$A$48,'Over to underbark'!C$47:C$48)*AJ236</f>
        <v>45.04079999999999</v>
      </c>
      <c r="AM236" s="22">
        <f t="shared" si="53"/>
        <v>172.44191999999998</v>
      </c>
      <c r="AN236" s="36">
        <v>410.58</v>
      </c>
      <c r="AO236" s="23">
        <f t="shared" si="54"/>
        <v>344.88383999999996</v>
      </c>
      <c r="AQ236">
        <f t="shared" si="55"/>
        <v>0.67164179104477628</v>
      </c>
    </row>
    <row r="237" spans="1:43" x14ac:dyDescent="0.35">
      <c r="A237" t="s">
        <v>41</v>
      </c>
      <c r="B237">
        <v>10</v>
      </c>
      <c r="C237">
        <v>2</v>
      </c>
      <c r="D237" t="s">
        <v>42</v>
      </c>
      <c r="E237">
        <v>2</v>
      </c>
      <c r="F237">
        <v>1</v>
      </c>
      <c r="G237" s="12">
        <v>43</v>
      </c>
      <c r="H237" s="12">
        <v>16.166</v>
      </c>
      <c r="I237" s="12">
        <v>1553</v>
      </c>
      <c r="J237" s="12">
        <v>19.687999999999999</v>
      </c>
      <c r="K237" s="12">
        <v>47.28</v>
      </c>
      <c r="L237" s="12">
        <v>0.20499999999999999</v>
      </c>
      <c r="M237" s="19">
        <v>319</v>
      </c>
      <c r="N237" s="12">
        <v>3.2280000000000002</v>
      </c>
      <c r="O237" s="13">
        <v>7.4189999999999996</v>
      </c>
      <c r="P237" s="14">
        <v>43</v>
      </c>
      <c r="Q237" s="14">
        <v>19.687999999999999</v>
      </c>
      <c r="R237" s="14">
        <v>186.626</v>
      </c>
      <c r="S237" s="14">
        <v>132.374</v>
      </c>
      <c r="T237" s="10" t="b">
        <f t="shared" si="58"/>
        <v>1</v>
      </c>
      <c r="U237" s="10" t="b">
        <f t="shared" si="59"/>
        <v>1</v>
      </c>
      <c r="V237" s="11">
        <f>VLOOKUP(IF(J237&lt;10, 10, IF(J237&gt;50,50,J237)),'Over to underbark'!$A$3:$C$43,IF(A237="Scots pine",3,IF(A237="Sitka spruce",2, "error")),TRUE)/100</f>
        <v>0.84</v>
      </c>
      <c r="W237">
        <f t="shared" si="44"/>
        <v>141.08925600000001</v>
      </c>
      <c r="X237">
        <f t="shared" si="45"/>
        <v>100.074744</v>
      </c>
      <c r="Y237">
        <f t="shared" si="46"/>
        <v>45.936000000000014</v>
      </c>
      <c r="Z237">
        <f t="shared" si="47"/>
        <v>128.99011518360001</v>
      </c>
      <c r="AA237">
        <f t="shared" si="48"/>
        <v>38.48781816000001</v>
      </c>
      <c r="AB237">
        <f t="shared" si="49"/>
        <v>64.380807968399992</v>
      </c>
      <c r="AC237">
        <f t="shared" si="50"/>
        <v>55.241258688000002</v>
      </c>
      <c r="AD237">
        <f>LOOKUP($A237,'Over to underbark'!$A$47:$A$48,'Over to underbark'!E$47:E$48)*Z237</f>
        <v>54.175848377112004</v>
      </c>
      <c r="AE237">
        <f>LOOKUP($A237,'Over to underbark'!$A$47:$A$48,'Over to underbark'!E$47:E$48)*AA237</f>
        <v>16.164883627200005</v>
      </c>
      <c r="AF237">
        <f>LOOKUP($A237,'Over to underbark'!$A$47:$A$48,'Over to underbark'!E$47:E$48)*AB237</f>
        <v>27.039939346727994</v>
      </c>
      <c r="AG237">
        <f>LOOKUP($A237,'Over to underbark'!$A$47:$A$48,'Over to underbark'!E$47:E$48)*AC237</f>
        <v>23.201328648960001</v>
      </c>
      <c r="AH237" t="b">
        <f t="shared" si="51"/>
        <v>1</v>
      </c>
      <c r="AI237" t="b">
        <f t="shared" si="52"/>
        <v>1</v>
      </c>
      <c r="AJ237">
        <f>LOOKUP(A237,'Over to underbark'!$A$47:$A$48,'Over to underbark'!E$47:E$48)*M237</f>
        <v>133.97999999999999</v>
      </c>
      <c r="AK237" s="22">
        <f>LOOKUP(A237,'Over to underbark'!$A$47:$A$48,'Over to underbark'!$B$47:$B$48)*AJ237</f>
        <v>45.553199999999997</v>
      </c>
      <c r="AL237" s="22">
        <f>LOOKUP(A237,'Over to underbark'!$A$47:$A$48,'Over to underbark'!C$47:C$48)*AJ237</f>
        <v>46.892999999999994</v>
      </c>
      <c r="AM237" s="22">
        <f t="shared" si="53"/>
        <v>179.53319999999999</v>
      </c>
      <c r="AN237" s="36">
        <v>427.46</v>
      </c>
      <c r="AO237" s="23">
        <f t="shared" si="54"/>
        <v>359.06639999999999</v>
      </c>
      <c r="AQ237">
        <f t="shared" si="55"/>
        <v>0.67164179104477606</v>
      </c>
    </row>
    <row r="238" spans="1:43" x14ac:dyDescent="0.35">
      <c r="A238" t="s">
        <v>41</v>
      </c>
      <c r="B238">
        <v>10</v>
      </c>
      <c r="C238">
        <v>2</v>
      </c>
      <c r="D238" t="s">
        <v>42</v>
      </c>
      <c r="E238">
        <v>2</v>
      </c>
      <c r="F238">
        <v>1</v>
      </c>
      <c r="G238" s="12">
        <v>44</v>
      </c>
      <c r="H238" s="12">
        <v>16.462</v>
      </c>
      <c r="I238" s="12">
        <v>1524</v>
      </c>
      <c r="J238" s="12">
        <v>20.064</v>
      </c>
      <c r="K238" s="12">
        <v>48.183</v>
      </c>
      <c r="L238" s="12">
        <v>0.218</v>
      </c>
      <c r="M238" s="19">
        <v>331.6</v>
      </c>
      <c r="N238" s="12">
        <v>3.5150000000000001</v>
      </c>
      <c r="O238" s="13">
        <v>7.5359999999999996</v>
      </c>
      <c r="P238" s="14">
        <v>44</v>
      </c>
      <c r="Q238" s="14">
        <v>20.064</v>
      </c>
      <c r="R238" s="14">
        <v>187.11699999999999</v>
      </c>
      <c r="S238" s="14">
        <v>144.483</v>
      </c>
      <c r="T238" s="10" t="b">
        <f t="shared" si="58"/>
        <v>1</v>
      </c>
      <c r="U238" s="10" t="b">
        <f t="shared" si="59"/>
        <v>1</v>
      </c>
      <c r="V238" s="11">
        <f>VLOOKUP(IF(J238&lt;10, 10, IF(J238&gt;50,50,J238)),'Over to underbark'!$A$3:$C$43,IF(A238="Scots pine",3,IF(A238="Sitka spruce",2, "error")),TRUE)/100</f>
        <v>0.84</v>
      </c>
      <c r="W238">
        <f t="shared" si="44"/>
        <v>141.46045199999998</v>
      </c>
      <c r="X238">
        <f t="shared" si="45"/>
        <v>109.22914800000001</v>
      </c>
      <c r="Y238">
        <f t="shared" si="46"/>
        <v>47.75040000000002</v>
      </c>
      <c r="Z238">
        <f t="shared" si="47"/>
        <v>133.0480819062</v>
      </c>
      <c r="AA238">
        <f t="shared" si="48"/>
        <v>39.435849720000007</v>
      </c>
      <c r="AB238">
        <f t="shared" si="49"/>
        <v>65.661578677799994</v>
      </c>
      <c r="AC238">
        <f t="shared" si="50"/>
        <v>60.294489696000007</v>
      </c>
      <c r="AD238">
        <f>LOOKUP($A238,'Over to underbark'!$A$47:$A$48,'Over to underbark'!E$47:E$48)*Z238</f>
        <v>55.880194400603997</v>
      </c>
      <c r="AE238">
        <f>LOOKUP($A238,'Over to underbark'!$A$47:$A$48,'Over to underbark'!E$47:E$48)*AA238</f>
        <v>16.563056882400002</v>
      </c>
      <c r="AF238">
        <f>LOOKUP($A238,'Over to underbark'!$A$47:$A$48,'Over to underbark'!E$47:E$48)*AB238</f>
        <v>27.577863044675997</v>
      </c>
      <c r="AG238">
        <f>LOOKUP($A238,'Over to underbark'!$A$47:$A$48,'Over to underbark'!E$47:E$48)*AC238</f>
        <v>25.323685672320003</v>
      </c>
      <c r="AH238" t="b">
        <f t="shared" si="51"/>
        <v>1</v>
      </c>
      <c r="AI238" t="b">
        <f t="shared" si="52"/>
        <v>1</v>
      </c>
      <c r="AJ238">
        <f>LOOKUP(A238,'Over to underbark'!$A$47:$A$48,'Over to underbark'!E$47:E$48)*M238</f>
        <v>139.27199999999999</v>
      </c>
      <c r="AK238" s="22">
        <f>LOOKUP(A238,'Over to underbark'!$A$47:$A$48,'Over to underbark'!$B$47:$B$48)*AJ238</f>
        <v>47.35248</v>
      </c>
      <c r="AL238" s="22">
        <f>LOOKUP(A238,'Over to underbark'!$A$47:$A$48,'Over to underbark'!C$47:C$48)*AJ238</f>
        <v>48.745199999999997</v>
      </c>
      <c r="AM238" s="22">
        <f t="shared" si="53"/>
        <v>186.62448000000001</v>
      </c>
      <c r="AN238" s="36">
        <v>444.34</v>
      </c>
      <c r="AO238" s="23">
        <f t="shared" si="54"/>
        <v>373.24896000000001</v>
      </c>
      <c r="AQ238">
        <f t="shared" si="55"/>
        <v>0.67164179104477606</v>
      </c>
    </row>
    <row r="239" spans="1:43" x14ac:dyDescent="0.35">
      <c r="A239" t="s">
        <v>41</v>
      </c>
      <c r="B239">
        <v>10</v>
      </c>
      <c r="C239">
        <v>2</v>
      </c>
      <c r="D239" t="s">
        <v>42</v>
      </c>
      <c r="E239">
        <v>2</v>
      </c>
      <c r="F239">
        <v>1</v>
      </c>
      <c r="G239" s="12">
        <v>45</v>
      </c>
      <c r="H239" s="12">
        <v>16.757999999999999</v>
      </c>
      <c r="I239" s="12">
        <v>1496</v>
      </c>
      <c r="J239" s="12">
        <v>20.439</v>
      </c>
      <c r="K239" s="12">
        <v>49.085999999999999</v>
      </c>
      <c r="L239" s="12">
        <v>0.23</v>
      </c>
      <c r="M239" s="19">
        <v>344.2</v>
      </c>
      <c r="N239" s="12">
        <v>3.7789999999999999</v>
      </c>
      <c r="O239" s="13">
        <v>7.649</v>
      </c>
      <c r="P239" s="14">
        <v>45</v>
      </c>
      <c r="Q239" s="14">
        <v>20.439</v>
      </c>
      <c r="R239" s="14">
        <v>187.24600000000001</v>
      </c>
      <c r="S239" s="14">
        <v>156.95400000000001</v>
      </c>
      <c r="T239" s="10" t="b">
        <f t="shared" si="58"/>
        <v>1</v>
      </c>
      <c r="U239" s="10" t="b">
        <f t="shared" si="59"/>
        <v>1</v>
      </c>
      <c r="V239" s="11">
        <f>VLOOKUP(IF(J239&lt;10, 10, IF(J239&gt;50,50,J239)),'Over to underbark'!$A$3:$C$43,IF(A239="Scots pine",3,IF(A239="Sitka spruce",2, "error")),TRUE)/100</f>
        <v>0.84</v>
      </c>
      <c r="W239">
        <f t="shared" si="44"/>
        <v>141.557976</v>
      </c>
      <c r="X239">
        <f t="shared" si="45"/>
        <v>118.657224</v>
      </c>
      <c r="Y239">
        <f t="shared" si="46"/>
        <v>49.564800000000012</v>
      </c>
      <c r="Z239">
        <f t="shared" si="47"/>
        <v>137.05149211560001</v>
      </c>
      <c r="AA239">
        <f t="shared" si="48"/>
        <v>40.353777360000009</v>
      </c>
      <c r="AB239">
        <f t="shared" si="49"/>
        <v>66.875942876400003</v>
      </c>
      <c r="AC239">
        <f t="shared" si="50"/>
        <v>65.498787648000004</v>
      </c>
      <c r="AD239">
        <f>LOOKUP($A239,'Over to underbark'!$A$47:$A$48,'Over to underbark'!E$47:E$48)*Z239</f>
        <v>57.561626688552003</v>
      </c>
      <c r="AE239">
        <f>LOOKUP($A239,'Over to underbark'!$A$47:$A$48,'Over to underbark'!E$47:E$48)*AA239</f>
        <v>16.948586491200004</v>
      </c>
      <c r="AF239">
        <f>LOOKUP($A239,'Over to underbark'!$A$47:$A$48,'Over to underbark'!E$47:E$48)*AB239</f>
        <v>28.087896008088002</v>
      </c>
      <c r="AG239">
        <f>LOOKUP($A239,'Over to underbark'!$A$47:$A$48,'Over to underbark'!E$47:E$48)*AC239</f>
        <v>27.509490812159999</v>
      </c>
      <c r="AH239" t="b">
        <f t="shared" si="51"/>
        <v>1</v>
      </c>
      <c r="AI239" t="b">
        <f t="shared" si="52"/>
        <v>1</v>
      </c>
      <c r="AJ239">
        <f>LOOKUP(A239,'Over to underbark'!$A$47:$A$48,'Over to underbark'!E$47:E$48)*M239</f>
        <v>144.56399999999999</v>
      </c>
      <c r="AK239" s="22">
        <f>LOOKUP(A239,'Over to underbark'!$A$47:$A$48,'Over to underbark'!$B$47:$B$48)*AJ239</f>
        <v>49.151760000000003</v>
      </c>
      <c r="AL239" s="22">
        <f>LOOKUP(A239,'Over to underbark'!$A$47:$A$48,'Over to underbark'!C$47:C$48)*AJ239</f>
        <v>50.597399999999993</v>
      </c>
      <c r="AM239" s="22">
        <f t="shared" si="53"/>
        <v>193.71575999999999</v>
      </c>
      <c r="AN239" s="36">
        <v>461.23</v>
      </c>
      <c r="AO239" s="23">
        <f t="shared" si="54"/>
        <v>387.43151999999998</v>
      </c>
      <c r="AQ239">
        <f t="shared" si="55"/>
        <v>0.67164179104477628</v>
      </c>
    </row>
    <row r="240" spans="1:43" x14ac:dyDescent="0.35">
      <c r="A240" t="s">
        <v>41</v>
      </c>
      <c r="B240">
        <v>10</v>
      </c>
      <c r="C240">
        <v>2</v>
      </c>
      <c r="D240" t="s">
        <v>42</v>
      </c>
      <c r="E240">
        <v>2</v>
      </c>
      <c r="F240">
        <v>1</v>
      </c>
      <c r="G240" s="12">
        <v>46</v>
      </c>
      <c r="H240" s="12">
        <v>17.053999999999998</v>
      </c>
      <c r="I240" s="12">
        <v>1467</v>
      </c>
      <c r="J240" s="12">
        <v>20.829000000000001</v>
      </c>
      <c r="K240" s="12">
        <v>49.988</v>
      </c>
      <c r="L240" s="12">
        <v>0.24299999999999999</v>
      </c>
      <c r="M240" s="19">
        <v>356.8</v>
      </c>
      <c r="N240" s="12">
        <v>4.024</v>
      </c>
      <c r="O240" s="13">
        <v>7.7569999999999997</v>
      </c>
      <c r="P240" s="14">
        <v>46</v>
      </c>
      <c r="Q240" s="14">
        <v>20.829000000000001</v>
      </c>
      <c r="R240" s="14">
        <v>186.739</v>
      </c>
      <c r="S240" s="14">
        <v>170.06100000000001</v>
      </c>
      <c r="T240" s="10" t="b">
        <f t="shared" si="58"/>
        <v>1</v>
      </c>
      <c r="U240" s="10" t="b">
        <f t="shared" si="59"/>
        <v>1</v>
      </c>
      <c r="V240" s="11">
        <f>VLOOKUP(IF(J240&lt;10, 10, IF(J240&gt;50,50,J240)),'Over to underbark'!$A$3:$C$43,IF(A240="Scots pine",3,IF(A240="Sitka spruce",2, "error")),TRUE)/100</f>
        <v>0.84</v>
      </c>
      <c r="W240">
        <f t="shared" si="44"/>
        <v>141.17468399999998</v>
      </c>
      <c r="X240">
        <f t="shared" si="45"/>
        <v>128.56611599999999</v>
      </c>
      <c r="Y240">
        <f t="shared" si="46"/>
        <v>51.379200000000012</v>
      </c>
      <c r="Z240">
        <f t="shared" si="47"/>
        <v>140.9590516554</v>
      </c>
      <c r="AA240">
        <f t="shared" si="48"/>
        <v>41.218815240000005</v>
      </c>
      <c r="AB240">
        <f t="shared" si="49"/>
        <v>67.973637072599999</v>
      </c>
      <c r="AC240">
        <f t="shared" si="50"/>
        <v>70.96849603199999</v>
      </c>
      <c r="AD240">
        <f>LOOKUP($A240,'Over to underbark'!$A$47:$A$48,'Over to underbark'!E$47:E$48)*Z240</f>
        <v>59.202801695268001</v>
      </c>
      <c r="AE240">
        <f>LOOKUP($A240,'Over to underbark'!$A$47:$A$48,'Over to underbark'!E$47:E$48)*AA240</f>
        <v>17.311902400800001</v>
      </c>
      <c r="AF240">
        <f>LOOKUP($A240,'Over to underbark'!$A$47:$A$48,'Over to underbark'!E$47:E$48)*AB240</f>
        <v>28.548927570491998</v>
      </c>
      <c r="AG240">
        <f>LOOKUP($A240,'Over to underbark'!$A$47:$A$48,'Over to underbark'!E$47:E$48)*AC240</f>
        <v>29.806768333439994</v>
      </c>
      <c r="AH240" t="b">
        <f t="shared" si="51"/>
        <v>1</v>
      </c>
      <c r="AI240" t="b">
        <f t="shared" si="52"/>
        <v>1</v>
      </c>
      <c r="AJ240">
        <f>LOOKUP(A240,'Over to underbark'!$A$47:$A$48,'Over to underbark'!E$47:E$48)*M240</f>
        <v>149.85599999999999</v>
      </c>
      <c r="AK240" s="22">
        <f>LOOKUP(A240,'Over to underbark'!$A$47:$A$48,'Over to underbark'!$B$47:$B$48)*AJ240</f>
        <v>50.951039999999999</v>
      </c>
      <c r="AL240" s="22">
        <f>LOOKUP(A240,'Over to underbark'!$A$47:$A$48,'Over to underbark'!C$47:C$48)*AJ240</f>
        <v>52.449599999999997</v>
      </c>
      <c r="AM240" s="22">
        <f t="shared" si="53"/>
        <v>200.80704</v>
      </c>
      <c r="AN240" s="36">
        <v>478.11</v>
      </c>
      <c r="AO240" s="23">
        <f t="shared" si="54"/>
        <v>401.61408</v>
      </c>
      <c r="AQ240">
        <f t="shared" si="55"/>
        <v>0.67164179104477606</v>
      </c>
    </row>
    <row r="241" spans="1:43" x14ac:dyDescent="0.35">
      <c r="A241" t="s">
        <v>41</v>
      </c>
      <c r="B241">
        <v>10</v>
      </c>
      <c r="C241">
        <v>2</v>
      </c>
      <c r="D241" t="s">
        <v>42</v>
      </c>
      <c r="E241">
        <v>2</v>
      </c>
      <c r="F241">
        <v>1</v>
      </c>
      <c r="G241" s="12">
        <v>47</v>
      </c>
      <c r="H241" s="12">
        <v>17.350000000000001</v>
      </c>
      <c r="I241" s="12">
        <v>1439</v>
      </c>
      <c r="J241" s="12">
        <v>21.22</v>
      </c>
      <c r="K241" s="12">
        <v>50.890999999999998</v>
      </c>
      <c r="L241" s="12">
        <v>0.25700000000000001</v>
      </c>
      <c r="M241" s="19">
        <v>369.4</v>
      </c>
      <c r="N241" s="12">
        <v>4.2510000000000003</v>
      </c>
      <c r="O241" s="13">
        <v>7.86</v>
      </c>
      <c r="P241" s="14">
        <v>47</v>
      </c>
      <c r="Q241" s="14">
        <v>21.22</v>
      </c>
      <c r="R241" s="14">
        <v>185.874</v>
      </c>
      <c r="S241" s="14">
        <v>183.52600000000001</v>
      </c>
      <c r="T241" s="10" t="b">
        <f t="shared" si="58"/>
        <v>1</v>
      </c>
      <c r="U241" s="10" t="b">
        <f t="shared" si="59"/>
        <v>1</v>
      </c>
      <c r="V241" s="11">
        <f>VLOOKUP(IF(J241&lt;10, 10, IF(J241&gt;50,50,J241)),'Over to underbark'!$A$3:$C$43,IF(A241="Scots pine",3,IF(A241="Sitka spruce",2, "error")),TRUE)/100</f>
        <v>0.84</v>
      </c>
      <c r="W241">
        <f t="shared" si="44"/>
        <v>140.52074399999998</v>
      </c>
      <c r="X241">
        <f t="shared" si="45"/>
        <v>138.745656</v>
      </c>
      <c r="Y241">
        <f t="shared" si="46"/>
        <v>53.193600000000004</v>
      </c>
      <c r="Z241">
        <f t="shared" si="47"/>
        <v>144.81265751640001</v>
      </c>
      <c r="AA241">
        <f t="shared" si="48"/>
        <v>42.054081840000002</v>
      </c>
      <c r="AB241">
        <f t="shared" si="49"/>
        <v>69.005658531599991</v>
      </c>
      <c r="AC241">
        <f t="shared" si="50"/>
        <v>76.587602111999999</v>
      </c>
      <c r="AD241">
        <f>LOOKUP($A241,'Over to underbark'!$A$47:$A$48,'Over to underbark'!E$47:E$48)*Z241</f>
        <v>60.821316156888003</v>
      </c>
      <c r="AE241">
        <f>LOOKUP($A241,'Over to underbark'!$A$47:$A$48,'Over to underbark'!E$47:E$48)*AA241</f>
        <v>17.6627143728</v>
      </c>
      <c r="AF241">
        <f>LOOKUP($A241,'Over to underbark'!$A$47:$A$48,'Over to underbark'!E$47:E$48)*AB241</f>
        <v>28.982376583271996</v>
      </c>
      <c r="AG241">
        <f>LOOKUP($A241,'Over to underbark'!$A$47:$A$48,'Over to underbark'!E$47:E$48)*AC241</f>
        <v>32.166792887039996</v>
      </c>
      <c r="AH241" t="b">
        <f t="shared" si="51"/>
        <v>1</v>
      </c>
      <c r="AI241" t="b">
        <f t="shared" si="52"/>
        <v>1</v>
      </c>
      <c r="AJ241">
        <f>LOOKUP(A241,'Over to underbark'!$A$47:$A$48,'Over to underbark'!E$47:E$48)*M241</f>
        <v>155.148</v>
      </c>
      <c r="AK241" s="22">
        <f>LOOKUP(A241,'Over to underbark'!$A$47:$A$48,'Over to underbark'!$B$47:$B$48)*AJ241</f>
        <v>52.750320000000002</v>
      </c>
      <c r="AL241" s="22">
        <f>LOOKUP(A241,'Over to underbark'!$A$47:$A$48,'Over to underbark'!C$47:C$48)*AJ241</f>
        <v>54.301799999999993</v>
      </c>
      <c r="AM241" s="22">
        <f t="shared" si="53"/>
        <v>207.89832000000001</v>
      </c>
      <c r="AN241" s="36">
        <v>495</v>
      </c>
      <c r="AO241" s="23">
        <f t="shared" si="54"/>
        <v>415.79664000000002</v>
      </c>
      <c r="AQ241">
        <f t="shared" si="55"/>
        <v>0.67164179104477606</v>
      </c>
    </row>
    <row r="242" spans="1:43" x14ac:dyDescent="0.35">
      <c r="A242" t="s">
        <v>41</v>
      </c>
      <c r="B242">
        <v>10</v>
      </c>
      <c r="C242">
        <v>2</v>
      </c>
      <c r="D242" t="s">
        <v>42</v>
      </c>
      <c r="E242">
        <v>2</v>
      </c>
      <c r="F242">
        <v>1</v>
      </c>
      <c r="G242" s="12">
        <v>48</v>
      </c>
      <c r="H242" s="12">
        <v>17.623999999999999</v>
      </c>
      <c r="I242" s="12">
        <v>1413</v>
      </c>
      <c r="J242" s="12">
        <v>21.579000000000001</v>
      </c>
      <c r="K242" s="12">
        <v>51.674999999999997</v>
      </c>
      <c r="L242" s="12">
        <v>0.27</v>
      </c>
      <c r="M242" s="19">
        <v>381.24</v>
      </c>
      <c r="N242" s="12">
        <v>4.6040000000000001</v>
      </c>
      <c r="O242" s="13">
        <v>7.9420000000000002</v>
      </c>
      <c r="P242" s="14">
        <v>48</v>
      </c>
      <c r="Q242" s="14">
        <v>21.579000000000001</v>
      </c>
      <c r="R242" s="14">
        <v>184.93299999999999</v>
      </c>
      <c r="S242" s="14">
        <v>196.30699999999999</v>
      </c>
      <c r="T242" s="10" t="b">
        <f t="shared" si="58"/>
        <v>1</v>
      </c>
      <c r="U242" s="10" t="b">
        <f t="shared" si="59"/>
        <v>1</v>
      </c>
      <c r="V242" s="11">
        <f>VLOOKUP(IF(J242&lt;10, 10, IF(J242&gt;50,50,J242)),'Over to underbark'!$A$3:$C$43,IF(A242="Scots pine",3,IF(A242="Sitka spruce",2, "error")),TRUE)/100</f>
        <v>0.84</v>
      </c>
      <c r="W242">
        <f t="shared" si="44"/>
        <v>139.80934799999997</v>
      </c>
      <c r="X242">
        <f t="shared" si="45"/>
        <v>148.40809199999998</v>
      </c>
      <c r="Y242">
        <f t="shared" si="46"/>
        <v>54.898560000000018</v>
      </c>
      <c r="Z242">
        <f t="shared" si="47"/>
        <v>148.41450664379997</v>
      </c>
      <c r="AA242">
        <f t="shared" si="48"/>
        <v>42.828308280000002</v>
      </c>
      <c r="AB242">
        <f t="shared" si="49"/>
        <v>69.951918292199977</v>
      </c>
      <c r="AC242">
        <f t="shared" si="50"/>
        <v>81.921266783999997</v>
      </c>
      <c r="AD242">
        <f>LOOKUP($A242,'Over to underbark'!$A$47:$A$48,'Over to underbark'!E$47:E$48)*Z242</f>
        <v>62.334092790395985</v>
      </c>
      <c r="AE242">
        <f>LOOKUP($A242,'Over to underbark'!$A$47:$A$48,'Over to underbark'!E$47:E$48)*AA242</f>
        <v>17.9878894776</v>
      </c>
      <c r="AF242">
        <f>LOOKUP($A242,'Over to underbark'!$A$47:$A$48,'Over to underbark'!E$47:E$48)*AB242</f>
        <v>29.37980568272399</v>
      </c>
      <c r="AG242">
        <f>LOOKUP($A242,'Over to underbark'!$A$47:$A$48,'Over to underbark'!E$47:E$48)*AC242</f>
        <v>34.406932049279995</v>
      </c>
      <c r="AH242" t="b">
        <f t="shared" si="51"/>
        <v>1</v>
      </c>
      <c r="AI242" t="b">
        <f t="shared" si="52"/>
        <v>1</v>
      </c>
      <c r="AJ242">
        <f>LOOKUP(A242,'Over to underbark'!$A$47:$A$48,'Over to underbark'!E$47:E$48)*M242</f>
        <v>160.1208</v>
      </c>
      <c r="AK242" s="22">
        <f>LOOKUP(A242,'Over to underbark'!$A$47:$A$48,'Over to underbark'!$B$47:$B$48)*AJ242</f>
        <v>54.441072000000005</v>
      </c>
      <c r="AL242" s="22">
        <f>LOOKUP(A242,'Over to underbark'!$A$47:$A$48,'Over to underbark'!C$47:C$48)*AJ242</f>
        <v>56.042279999999998</v>
      </c>
      <c r="AM242" s="22">
        <f t="shared" si="53"/>
        <v>214.56187199999999</v>
      </c>
      <c r="AN242" s="36">
        <v>510.86</v>
      </c>
      <c r="AO242" s="23">
        <f t="shared" si="54"/>
        <v>429.12374399999999</v>
      </c>
      <c r="AQ242">
        <f t="shared" si="55"/>
        <v>0.67164179104477606</v>
      </c>
    </row>
    <row r="243" spans="1:43" x14ac:dyDescent="0.35">
      <c r="A243" t="s">
        <v>41</v>
      </c>
      <c r="B243">
        <v>10</v>
      </c>
      <c r="C243">
        <v>2</v>
      </c>
      <c r="D243" t="s">
        <v>42</v>
      </c>
      <c r="E243">
        <v>2</v>
      </c>
      <c r="F243">
        <v>1</v>
      </c>
      <c r="G243" s="12">
        <v>49</v>
      </c>
      <c r="H243" s="12">
        <v>17.898</v>
      </c>
      <c r="I243" s="12">
        <v>1387</v>
      </c>
      <c r="J243" s="12">
        <v>21.945</v>
      </c>
      <c r="K243" s="12">
        <v>52.46</v>
      </c>
      <c r="L243" s="12">
        <v>0.28299999999999997</v>
      </c>
      <c r="M243" s="19">
        <v>393.08</v>
      </c>
      <c r="N243" s="12">
        <v>4.9340000000000002</v>
      </c>
      <c r="O243" s="13">
        <v>8.0220000000000002</v>
      </c>
      <c r="P243" s="14">
        <v>49</v>
      </c>
      <c r="Q243" s="14">
        <v>21.945</v>
      </c>
      <c r="R243" s="14">
        <v>183.601</v>
      </c>
      <c r="S243" s="14">
        <v>209.47900000000001</v>
      </c>
      <c r="T243" s="10" t="b">
        <f t="shared" si="58"/>
        <v>1</v>
      </c>
      <c r="U243" s="10" t="b">
        <f t="shared" si="59"/>
        <v>1</v>
      </c>
      <c r="V243" s="11">
        <f>VLOOKUP(IF(J243&lt;10, 10, IF(J243&gt;50,50,J243)),'Over to underbark'!$A$3:$C$43,IF(A243="Scots pine",3,IF(A243="Sitka spruce",2, "error")),TRUE)/100</f>
        <v>0.84</v>
      </c>
      <c r="W243">
        <f t="shared" si="44"/>
        <v>138.802356</v>
      </c>
      <c r="X243">
        <f t="shared" si="45"/>
        <v>158.36612400000001</v>
      </c>
      <c r="Y243">
        <f t="shared" si="46"/>
        <v>56.603520000000017</v>
      </c>
      <c r="Z243">
        <f t="shared" si="47"/>
        <v>151.95742870860002</v>
      </c>
      <c r="AA243">
        <f t="shared" si="48"/>
        <v>43.570019160000008</v>
      </c>
      <c r="AB243">
        <f t="shared" si="49"/>
        <v>70.826451683399995</v>
      </c>
      <c r="AC243">
        <f t="shared" si="50"/>
        <v>87.418100448000004</v>
      </c>
      <c r="AD243">
        <f>LOOKUP($A243,'Over to underbark'!$A$47:$A$48,'Over to underbark'!E$47:E$48)*Z243</f>
        <v>63.822120057612004</v>
      </c>
      <c r="AE243">
        <f>LOOKUP($A243,'Over to underbark'!$A$47:$A$48,'Over to underbark'!E$47:E$48)*AA243</f>
        <v>18.299408047200004</v>
      </c>
      <c r="AF243">
        <f>LOOKUP($A243,'Over to underbark'!$A$47:$A$48,'Over to underbark'!E$47:E$48)*AB243</f>
        <v>29.747109707027995</v>
      </c>
      <c r="AG243">
        <f>LOOKUP($A243,'Over to underbark'!$A$47:$A$48,'Over to underbark'!E$47:E$48)*AC243</f>
        <v>36.715602188159998</v>
      </c>
      <c r="AH243" t="b">
        <f t="shared" si="51"/>
        <v>1</v>
      </c>
      <c r="AI243" t="b">
        <f t="shared" si="52"/>
        <v>1</v>
      </c>
      <c r="AJ243">
        <f>LOOKUP(A243,'Over to underbark'!$A$47:$A$48,'Over to underbark'!E$47:E$48)*M243</f>
        <v>165.09359999999998</v>
      </c>
      <c r="AK243" s="22">
        <f>LOOKUP(A243,'Over to underbark'!$A$47:$A$48,'Over to underbark'!$B$47:$B$48)*AJ243</f>
        <v>56.131823999999995</v>
      </c>
      <c r="AL243" s="22">
        <f>LOOKUP(A243,'Over to underbark'!$A$47:$A$48,'Over to underbark'!C$47:C$48)*AJ243</f>
        <v>57.782759999999989</v>
      </c>
      <c r="AM243" s="22">
        <f t="shared" si="53"/>
        <v>221.22542399999998</v>
      </c>
      <c r="AN243" s="36">
        <v>526.73</v>
      </c>
      <c r="AO243" s="23">
        <f t="shared" si="54"/>
        <v>442.45084799999995</v>
      </c>
      <c r="AQ243">
        <f t="shared" si="55"/>
        <v>0.67164179104477617</v>
      </c>
    </row>
    <row r="244" spans="1:43" x14ac:dyDescent="0.35">
      <c r="A244" t="s">
        <v>41</v>
      </c>
      <c r="B244">
        <v>10</v>
      </c>
      <c r="C244">
        <v>2</v>
      </c>
      <c r="D244" t="s">
        <v>42</v>
      </c>
      <c r="E244">
        <v>2</v>
      </c>
      <c r="F244">
        <v>1</v>
      </c>
      <c r="G244" s="12">
        <v>50</v>
      </c>
      <c r="H244" s="12">
        <v>18.172000000000001</v>
      </c>
      <c r="I244" s="12">
        <v>1361</v>
      </c>
      <c r="J244" s="12">
        <v>22.318000000000001</v>
      </c>
      <c r="K244" s="12">
        <v>53.244</v>
      </c>
      <c r="L244" s="12">
        <v>0.29799999999999999</v>
      </c>
      <c r="M244" s="19">
        <v>404.92</v>
      </c>
      <c r="N244" s="12">
        <v>5.242</v>
      </c>
      <c r="O244" s="13">
        <v>8.0980000000000008</v>
      </c>
      <c r="P244" s="14">
        <v>50</v>
      </c>
      <c r="Q244" s="14">
        <v>22.318000000000001</v>
      </c>
      <c r="R244" s="14">
        <v>181.89699999999999</v>
      </c>
      <c r="S244" s="14">
        <v>223.023</v>
      </c>
      <c r="T244" s="10" t="b">
        <f t="shared" si="58"/>
        <v>1</v>
      </c>
      <c r="U244" s="10" t="b">
        <f t="shared" si="59"/>
        <v>1</v>
      </c>
      <c r="V244" s="11">
        <f>VLOOKUP(IF(J244&lt;10, 10, IF(J244&gt;50,50,J244)),'Over to underbark'!$A$3:$C$43,IF(A244="Scots pine",3,IF(A244="Sitka spruce",2, "error")),TRUE)/100</f>
        <v>0.84</v>
      </c>
      <c r="W244">
        <f t="shared" si="44"/>
        <v>137.51413199999999</v>
      </c>
      <c r="X244">
        <f t="shared" si="45"/>
        <v>168.60538799999998</v>
      </c>
      <c r="Y244">
        <f t="shared" si="46"/>
        <v>58.30848000000001</v>
      </c>
      <c r="Z244">
        <f t="shared" si="47"/>
        <v>155.44428717420001</v>
      </c>
      <c r="AA244">
        <f t="shared" si="48"/>
        <v>44.280794520000001</v>
      </c>
      <c r="AB244">
        <f t="shared" si="49"/>
        <v>71.632744129799988</v>
      </c>
      <c r="AC244">
        <f t="shared" si="50"/>
        <v>93.070174175999995</v>
      </c>
      <c r="AD244">
        <f>LOOKUP($A244,'Over to underbark'!$A$47:$A$48,'Over to underbark'!E$47:E$48)*Z244</f>
        <v>65.286600613163998</v>
      </c>
      <c r="AE244">
        <f>LOOKUP($A244,'Over to underbark'!$A$47:$A$48,'Over to underbark'!E$47:E$48)*AA244</f>
        <v>18.597933698399999</v>
      </c>
      <c r="AF244">
        <f>LOOKUP($A244,'Over to underbark'!$A$47:$A$48,'Over to underbark'!E$47:E$48)*AB244</f>
        <v>30.085752534515994</v>
      </c>
      <c r="AG244">
        <f>LOOKUP($A244,'Over to underbark'!$A$47:$A$48,'Over to underbark'!E$47:E$48)*AC244</f>
        <v>39.089473153919997</v>
      </c>
      <c r="AH244" t="b">
        <f t="shared" si="51"/>
        <v>1</v>
      </c>
      <c r="AI244" t="b">
        <f t="shared" si="52"/>
        <v>1</v>
      </c>
      <c r="AJ244">
        <f>LOOKUP(A244,'Over to underbark'!$A$47:$A$48,'Over to underbark'!E$47:E$48)*M244</f>
        <v>170.06639999999999</v>
      </c>
      <c r="AK244" s="22">
        <f>LOOKUP(A244,'Over to underbark'!$A$47:$A$48,'Over to underbark'!$B$47:$B$48)*AJ244</f>
        <v>57.822575999999998</v>
      </c>
      <c r="AL244" s="22">
        <f>LOOKUP(A244,'Over to underbark'!$A$47:$A$48,'Over to underbark'!C$47:C$48)*AJ244</f>
        <v>59.523239999999994</v>
      </c>
      <c r="AM244" s="22">
        <f t="shared" si="53"/>
        <v>227.88897599999999</v>
      </c>
      <c r="AN244" s="36">
        <v>542.59</v>
      </c>
      <c r="AO244" s="23">
        <f t="shared" si="54"/>
        <v>455.77795199999997</v>
      </c>
      <c r="AQ244">
        <f t="shared" si="55"/>
        <v>0.67164179104477606</v>
      </c>
    </row>
    <row r="245" spans="1:43" x14ac:dyDescent="0.35">
      <c r="A245" t="s">
        <v>41</v>
      </c>
      <c r="B245">
        <v>10</v>
      </c>
      <c r="C245">
        <v>2</v>
      </c>
      <c r="D245" t="s">
        <v>42</v>
      </c>
      <c r="E245">
        <v>2</v>
      </c>
      <c r="F245">
        <v>1</v>
      </c>
      <c r="G245" s="12">
        <v>51</v>
      </c>
      <c r="H245" s="12">
        <v>18.446000000000002</v>
      </c>
      <c r="I245" s="12">
        <v>1335</v>
      </c>
      <c r="J245" s="12">
        <v>22.7</v>
      </c>
      <c r="K245" s="12">
        <v>54.027999999999999</v>
      </c>
      <c r="L245" s="12">
        <v>0.312</v>
      </c>
      <c r="M245" s="19">
        <v>416.76</v>
      </c>
      <c r="N245" s="12">
        <v>5.5309999999999997</v>
      </c>
      <c r="O245" s="13">
        <v>8.1720000000000006</v>
      </c>
      <c r="P245" s="14">
        <v>51</v>
      </c>
      <c r="Q245" s="14">
        <v>22.7</v>
      </c>
      <c r="R245" s="14">
        <v>179.8</v>
      </c>
      <c r="S245" s="14">
        <v>236.96</v>
      </c>
      <c r="T245" s="10" t="b">
        <f t="shared" si="58"/>
        <v>1</v>
      </c>
      <c r="U245" s="10" t="b">
        <f t="shared" si="59"/>
        <v>1</v>
      </c>
      <c r="V245" s="11">
        <f>VLOOKUP(IF(J245&lt;10, 10, IF(J245&gt;50,50,J245)),'Over to underbark'!$A$3:$C$43,IF(A245="Scots pine",3,IF(A245="Sitka spruce",2, "error")),TRUE)/100</f>
        <v>0.84</v>
      </c>
      <c r="W245">
        <f t="shared" si="44"/>
        <v>135.92880000000002</v>
      </c>
      <c r="X245">
        <f t="shared" si="45"/>
        <v>179.14176</v>
      </c>
      <c r="Y245">
        <f t="shared" si="46"/>
        <v>60.01344000000001</v>
      </c>
      <c r="Z245">
        <f t="shared" si="47"/>
        <v>158.87191716000004</v>
      </c>
      <c r="AA245">
        <f t="shared" si="48"/>
        <v>44.958888000000009</v>
      </c>
      <c r="AB245">
        <f t="shared" si="49"/>
        <v>72.366943320000004</v>
      </c>
      <c r="AC245">
        <f t="shared" si="50"/>
        <v>98.886251520000002</v>
      </c>
      <c r="AD245">
        <f>LOOKUP($A245,'Over to underbark'!$A$47:$A$48,'Over to underbark'!E$47:E$48)*Z245</f>
        <v>66.72620520720001</v>
      </c>
      <c r="AE245">
        <f>LOOKUP($A245,'Over to underbark'!$A$47:$A$48,'Over to underbark'!E$47:E$48)*AA245</f>
        <v>18.882732960000002</v>
      </c>
      <c r="AF245">
        <f>LOOKUP($A245,'Over to underbark'!$A$47:$A$48,'Over to underbark'!E$47:E$48)*AB245</f>
        <v>30.394116194400002</v>
      </c>
      <c r="AG245">
        <f>LOOKUP($A245,'Over to underbark'!$A$47:$A$48,'Over to underbark'!E$47:E$48)*AC245</f>
        <v>41.5322256384</v>
      </c>
      <c r="AH245" t="b">
        <f t="shared" si="51"/>
        <v>1</v>
      </c>
      <c r="AI245" t="b">
        <f t="shared" si="52"/>
        <v>1</v>
      </c>
      <c r="AJ245">
        <f>LOOKUP(A245,'Over to underbark'!$A$47:$A$48,'Over to underbark'!E$47:E$48)*M245</f>
        <v>175.03919999999999</v>
      </c>
      <c r="AK245" s="22">
        <f>LOOKUP(A245,'Over to underbark'!$A$47:$A$48,'Over to underbark'!$B$47:$B$48)*AJ245</f>
        <v>59.513328000000001</v>
      </c>
      <c r="AL245" s="22">
        <f>LOOKUP(A245,'Over to underbark'!$A$47:$A$48,'Over to underbark'!C$47:C$48)*AJ245</f>
        <v>61.263719999999992</v>
      </c>
      <c r="AM245" s="22">
        <f t="shared" si="53"/>
        <v>234.552528</v>
      </c>
      <c r="AN245" s="36">
        <v>558.46</v>
      </c>
      <c r="AO245" s="23">
        <f t="shared" si="54"/>
        <v>469.10505599999999</v>
      </c>
      <c r="AQ245">
        <f t="shared" si="55"/>
        <v>0.67164179104477617</v>
      </c>
    </row>
    <row r="246" spans="1:43" x14ac:dyDescent="0.35">
      <c r="A246" t="s">
        <v>41</v>
      </c>
      <c r="B246">
        <v>10</v>
      </c>
      <c r="C246">
        <v>2</v>
      </c>
      <c r="D246" t="s">
        <v>42</v>
      </c>
      <c r="E246">
        <v>2</v>
      </c>
      <c r="F246">
        <v>1</v>
      </c>
      <c r="G246" s="12">
        <v>52</v>
      </c>
      <c r="H246" s="12">
        <v>18.72</v>
      </c>
      <c r="I246" s="12">
        <v>1309</v>
      </c>
      <c r="J246" s="12">
        <v>23.09</v>
      </c>
      <c r="K246" s="12">
        <v>54.811999999999998</v>
      </c>
      <c r="L246" s="12">
        <v>0.32700000000000001</v>
      </c>
      <c r="M246" s="19">
        <v>428.6</v>
      </c>
      <c r="N246" s="12">
        <v>5.8019999999999996</v>
      </c>
      <c r="O246" s="13">
        <v>8.2420000000000009</v>
      </c>
      <c r="P246" s="14">
        <v>52</v>
      </c>
      <c r="Q246" s="14">
        <v>23.09</v>
      </c>
      <c r="R246" s="14">
        <v>177.35</v>
      </c>
      <c r="S246" s="14">
        <v>251.25</v>
      </c>
      <c r="T246" s="10" t="b">
        <f t="shared" si="58"/>
        <v>1</v>
      </c>
      <c r="U246" s="10" t="b">
        <f t="shared" si="59"/>
        <v>1</v>
      </c>
      <c r="V246" s="11">
        <f>VLOOKUP(IF(J246&lt;10, 10, IF(J246&gt;50,50,J246)),'Over to underbark'!$A$3:$C$43,IF(A246="Scots pine",3,IF(A246="Sitka spruce",2, "error")),TRUE)/100</f>
        <v>0.84</v>
      </c>
      <c r="W246">
        <f t="shared" si="44"/>
        <v>134.07660000000001</v>
      </c>
      <c r="X246">
        <f t="shared" si="45"/>
        <v>189.94499999999999</v>
      </c>
      <c r="Y246">
        <f t="shared" si="46"/>
        <v>61.718400000000017</v>
      </c>
      <c r="Z246">
        <f t="shared" si="47"/>
        <v>162.24634700999999</v>
      </c>
      <c r="AA246">
        <f t="shared" si="48"/>
        <v>45.60762600000001</v>
      </c>
      <c r="AB246">
        <f t="shared" si="49"/>
        <v>73.036386990000011</v>
      </c>
      <c r="AC246">
        <f t="shared" si="50"/>
        <v>104.84964000000001</v>
      </c>
      <c r="AD246">
        <f>LOOKUP($A246,'Over to underbark'!$A$47:$A$48,'Over to underbark'!E$47:E$48)*Z246</f>
        <v>68.1434657442</v>
      </c>
      <c r="AE246">
        <f>LOOKUP($A246,'Over to underbark'!$A$47:$A$48,'Over to underbark'!E$47:E$48)*AA246</f>
        <v>19.155202920000004</v>
      </c>
      <c r="AF246">
        <f>LOOKUP($A246,'Over to underbark'!$A$47:$A$48,'Over to underbark'!E$47:E$48)*AB246</f>
        <v>30.675282535800005</v>
      </c>
      <c r="AG246">
        <f>LOOKUP($A246,'Over to underbark'!$A$47:$A$48,'Over to underbark'!E$47:E$48)*AC246</f>
        <v>44.036848800000001</v>
      </c>
      <c r="AH246" t="b">
        <f t="shared" si="51"/>
        <v>1</v>
      </c>
      <c r="AI246" t="b">
        <f t="shared" si="52"/>
        <v>1</v>
      </c>
      <c r="AJ246">
        <f>LOOKUP(A246,'Over to underbark'!$A$47:$A$48,'Over to underbark'!E$47:E$48)*M246</f>
        <v>180.012</v>
      </c>
      <c r="AK246" s="22">
        <f>LOOKUP(A246,'Over to underbark'!$A$47:$A$48,'Over to underbark'!$B$47:$B$48)*AJ246</f>
        <v>61.204080000000005</v>
      </c>
      <c r="AL246" s="22">
        <f>LOOKUP(A246,'Over to underbark'!$A$47:$A$48,'Over to underbark'!C$47:C$48)*AJ246</f>
        <v>63.004199999999997</v>
      </c>
      <c r="AM246" s="22">
        <f t="shared" si="53"/>
        <v>241.21608000000001</v>
      </c>
      <c r="AN246" s="36">
        <v>574.32000000000005</v>
      </c>
      <c r="AO246" s="23">
        <f t="shared" si="54"/>
        <v>482.43216000000001</v>
      </c>
      <c r="AQ246">
        <f t="shared" si="55"/>
        <v>0.67164179104477617</v>
      </c>
    </row>
    <row r="247" spans="1:43" x14ac:dyDescent="0.35">
      <c r="A247" t="s">
        <v>41</v>
      </c>
      <c r="B247">
        <v>10</v>
      </c>
      <c r="C247">
        <v>2</v>
      </c>
      <c r="D247" t="s">
        <v>42</v>
      </c>
      <c r="E247">
        <v>2</v>
      </c>
      <c r="F247">
        <v>1</v>
      </c>
      <c r="G247" s="12">
        <v>53</v>
      </c>
      <c r="H247" s="12">
        <v>18.968</v>
      </c>
      <c r="I247" s="12">
        <v>1286</v>
      </c>
      <c r="J247" s="12">
        <v>23.437000000000001</v>
      </c>
      <c r="K247" s="12">
        <v>55.478000000000002</v>
      </c>
      <c r="L247" s="12">
        <v>0.34200000000000003</v>
      </c>
      <c r="M247" s="19">
        <v>439.36</v>
      </c>
      <c r="N247" s="12">
        <v>6.1879999999999997</v>
      </c>
      <c r="O247" s="13">
        <v>8.2899999999999991</v>
      </c>
      <c r="P247" s="14">
        <v>53</v>
      </c>
      <c r="Q247" s="14">
        <v>23.437000000000001</v>
      </c>
      <c r="R247" s="14">
        <v>175.108</v>
      </c>
      <c r="S247" s="14">
        <v>264.25200000000001</v>
      </c>
      <c r="T247" s="10" t="b">
        <f t="shared" si="58"/>
        <v>1</v>
      </c>
      <c r="U247" s="10" t="b">
        <f t="shared" si="59"/>
        <v>1</v>
      </c>
      <c r="V247" s="11">
        <f>VLOOKUP(IF(J247&lt;10, 10, IF(J247&gt;50,50,J247)),'Over to underbark'!$A$3:$C$43,IF(A247="Scots pine",3,IF(A247="Sitka spruce",2, "error")),TRUE)/100</f>
        <v>0.84</v>
      </c>
      <c r="W247">
        <f t="shared" si="44"/>
        <v>132.38164800000001</v>
      </c>
      <c r="X247">
        <f t="shared" si="45"/>
        <v>199.77451200000002</v>
      </c>
      <c r="Y247">
        <f t="shared" si="46"/>
        <v>63.267840000000021</v>
      </c>
      <c r="Z247">
        <f t="shared" si="47"/>
        <v>165.31064120880004</v>
      </c>
      <c r="AA247">
        <f t="shared" si="48"/>
        <v>46.195901280000015</v>
      </c>
      <c r="AB247">
        <f t="shared" si="49"/>
        <v>73.6419268872</v>
      </c>
      <c r="AC247">
        <f t="shared" si="50"/>
        <v>110.275530624</v>
      </c>
      <c r="AD247">
        <f>LOOKUP($A247,'Over to underbark'!$A$47:$A$48,'Over to underbark'!E$47:E$48)*Z247</f>
        <v>69.430469307696015</v>
      </c>
      <c r="AE247">
        <f>LOOKUP($A247,'Over to underbark'!$A$47:$A$48,'Over to underbark'!E$47:E$48)*AA247</f>
        <v>19.402278537600004</v>
      </c>
      <c r="AF247">
        <f>LOOKUP($A247,'Over to underbark'!$A$47:$A$48,'Over to underbark'!E$47:E$48)*AB247</f>
        <v>30.929609292624001</v>
      </c>
      <c r="AG247">
        <f>LOOKUP($A247,'Over to underbark'!$A$47:$A$48,'Over to underbark'!E$47:E$48)*AC247</f>
        <v>46.315722862079994</v>
      </c>
      <c r="AH247" t="b">
        <f t="shared" si="51"/>
        <v>1</v>
      </c>
      <c r="AI247" t="b">
        <f t="shared" si="52"/>
        <v>1</v>
      </c>
      <c r="AJ247">
        <f>LOOKUP(A247,'Over to underbark'!$A$47:$A$48,'Over to underbark'!E$47:E$48)*M247</f>
        <v>184.53120000000001</v>
      </c>
      <c r="AK247" s="22">
        <f>LOOKUP(A247,'Over to underbark'!$A$47:$A$48,'Over to underbark'!$B$47:$B$48)*AJ247</f>
        <v>62.740608000000009</v>
      </c>
      <c r="AL247" s="22">
        <f>LOOKUP(A247,'Over to underbark'!$A$47:$A$48,'Over to underbark'!C$47:C$48)*AJ247</f>
        <v>64.585920000000002</v>
      </c>
      <c r="AM247" s="22">
        <f t="shared" si="53"/>
        <v>247.27180800000002</v>
      </c>
      <c r="AN247" s="36">
        <v>588.74</v>
      </c>
      <c r="AO247" s="23">
        <f t="shared" si="54"/>
        <v>494.54361600000004</v>
      </c>
      <c r="AQ247">
        <f t="shared" si="55"/>
        <v>0.67164179104477606</v>
      </c>
    </row>
    <row r="248" spans="1:43" x14ac:dyDescent="0.35">
      <c r="A248" t="s">
        <v>41</v>
      </c>
      <c r="B248">
        <v>10</v>
      </c>
      <c r="C248">
        <v>2</v>
      </c>
      <c r="D248" t="s">
        <v>42</v>
      </c>
      <c r="E248">
        <v>2</v>
      </c>
      <c r="F248">
        <v>1</v>
      </c>
      <c r="G248" s="12">
        <v>54</v>
      </c>
      <c r="H248" s="12">
        <v>19.216000000000001</v>
      </c>
      <c r="I248" s="12">
        <v>1263</v>
      </c>
      <c r="J248" s="12">
        <v>23.791</v>
      </c>
      <c r="K248" s="12">
        <v>56.143999999999998</v>
      </c>
      <c r="L248" s="12">
        <v>0.35599999999999998</v>
      </c>
      <c r="M248" s="19">
        <v>450.12</v>
      </c>
      <c r="N248" s="12">
        <v>6.5519999999999996</v>
      </c>
      <c r="O248" s="13">
        <v>8.3360000000000003</v>
      </c>
      <c r="P248" s="14">
        <v>54</v>
      </c>
      <c r="Q248" s="14">
        <v>23.791</v>
      </c>
      <c r="R248" s="14">
        <v>172.59800000000001</v>
      </c>
      <c r="S248" s="14">
        <v>277.52199999999999</v>
      </c>
      <c r="T248" s="10" t="b">
        <f t="shared" si="58"/>
        <v>1</v>
      </c>
      <c r="U248" s="10" t="b">
        <f t="shared" si="59"/>
        <v>1</v>
      </c>
      <c r="V248" s="11">
        <f>VLOOKUP(IF(J248&lt;10, 10, IF(J248&gt;50,50,J248)),'Over to underbark'!$A$3:$C$43,IF(A248="Scots pine",3,IF(A248="Sitka spruce",2, "error")),TRUE)/100</f>
        <v>0.84</v>
      </c>
      <c r="W248">
        <f t="shared" si="44"/>
        <v>130.48408800000001</v>
      </c>
      <c r="X248">
        <f t="shared" si="45"/>
        <v>209.80663200000001</v>
      </c>
      <c r="Y248">
        <f t="shared" si="46"/>
        <v>64.817280000000011</v>
      </c>
      <c r="Z248">
        <f t="shared" si="47"/>
        <v>168.33454550280001</v>
      </c>
      <c r="AA248">
        <f t="shared" si="48"/>
        <v>46.76188968000001</v>
      </c>
      <c r="AB248">
        <f t="shared" si="49"/>
        <v>74.198303953200011</v>
      </c>
      <c r="AC248">
        <f t="shared" si="50"/>
        <v>115.813260864</v>
      </c>
      <c r="AD248">
        <f>LOOKUP($A248,'Over to underbark'!$A$47:$A$48,'Over to underbark'!E$47:E$48)*Z248</f>
        <v>70.700509111176004</v>
      </c>
      <c r="AE248">
        <f>LOOKUP($A248,'Over to underbark'!$A$47:$A$48,'Over to underbark'!E$47:E$48)*AA248</f>
        <v>19.639993665600002</v>
      </c>
      <c r="AF248">
        <f>LOOKUP($A248,'Over to underbark'!$A$47:$A$48,'Over to underbark'!E$47:E$48)*AB248</f>
        <v>31.163287660344004</v>
      </c>
      <c r="AG248">
        <f>LOOKUP($A248,'Over to underbark'!$A$47:$A$48,'Over to underbark'!E$47:E$48)*AC248</f>
        <v>48.641569562880001</v>
      </c>
      <c r="AH248" t="b">
        <f t="shared" si="51"/>
        <v>1</v>
      </c>
      <c r="AI248" t="b">
        <f t="shared" si="52"/>
        <v>1</v>
      </c>
      <c r="AJ248">
        <f>LOOKUP(A248,'Over to underbark'!$A$47:$A$48,'Over to underbark'!E$47:E$48)*M248</f>
        <v>189.0504</v>
      </c>
      <c r="AK248" s="22">
        <f>LOOKUP(A248,'Over to underbark'!$A$47:$A$48,'Over to underbark'!$B$47:$B$48)*AJ248</f>
        <v>64.277135999999999</v>
      </c>
      <c r="AL248" s="22">
        <f>LOOKUP(A248,'Over to underbark'!$A$47:$A$48,'Over to underbark'!C$47:C$48)*AJ248</f>
        <v>66.167639999999992</v>
      </c>
      <c r="AM248" s="22">
        <f t="shared" si="53"/>
        <v>253.32753600000001</v>
      </c>
      <c r="AN248" s="36">
        <v>603.16</v>
      </c>
      <c r="AO248" s="23">
        <f t="shared" si="54"/>
        <v>506.65507200000002</v>
      </c>
      <c r="AQ248">
        <f t="shared" si="55"/>
        <v>0.67164179104477617</v>
      </c>
    </row>
    <row r="249" spans="1:43" x14ac:dyDescent="0.35">
      <c r="A249" t="s">
        <v>41</v>
      </c>
      <c r="B249">
        <v>10</v>
      </c>
      <c r="C249">
        <v>2</v>
      </c>
      <c r="D249" t="s">
        <v>42</v>
      </c>
      <c r="E249">
        <v>2</v>
      </c>
      <c r="F249">
        <v>1</v>
      </c>
      <c r="G249" s="12">
        <v>55</v>
      </c>
      <c r="H249" s="12">
        <v>19.463999999999999</v>
      </c>
      <c r="I249" s="12">
        <v>1240</v>
      </c>
      <c r="J249" s="12">
        <v>24.152000000000001</v>
      </c>
      <c r="K249" s="12">
        <v>56.81</v>
      </c>
      <c r="L249" s="12">
        <v>0.372</v>
      </c>
      <c r="M249" s="19">
        <v>460.88</v>
      </c>
      <c r="N249" s="12">
        <v>6.8970000000000002</v>
      </c>
      <c r="O249" s="13">
        <v>8.3800000000000008</v>
      </c>
      <c r="P249" s="14">
        <v>55</v>
      </c>
      <c r="Q249" s="14">
        <v>24.152000000000001</v>
      </c>
      <c r="R249" s="14">
        <v>169.83600000000001</v>
      </c>
      <c r="S249" s="14">
        <v>291.04399999999998</v>
      </c>
      <c r="T249" s="10" t="b">
        <f t="shared" si="58"/>
        <v>1</v>
      </c>
      <c r="U249" s="10" t="b">
        <f t="shared" si="59"/>
        <v>1</v>
      </c>
      <c r="V249" s="11">
        <f>VLOOKUP(IF(J249&lt;10, 10, IF(J249&gt;50,50,J249)),'Over to underbark'!$A$3:$C$43,IF(A249="Scots pine",3,IF(A249="Sitka spruce",2, "error")),TRUE)/100</f>
        <v>0.84</v>
      </c>
      <c r="W249">
        <f t="shared" si="44"/>
        <v>128.396016</v>
      </c>
      <c r="X249">
        <f t="shared" si="45"/>
        <v>220.02926399999998</v>
      </c>
      <c r="Y249">
        <f t="shared" si="46"/>
        <v>66.366720000000015</v>
      </c>
      <c r="Z249">
        <f t="shared" si="47"/>
        <v>171.32047122960003</v>
      </c>
      <c r="AA249">
        <f t="shared" si="48"/>
        <v>47.306921760000009</v>
      </c>
      <c r="AB249">
        <f t="shared" si="49"/>
        <v>74.708453282399987</v>
      </c>
      <c r="AC249">
        <f t="shared" si="50"/>
        <v>121.45615372799999</v>
      </c>
      <c r="AD249">
        <f>LOOKUP($A249,'Over to underbark'!$A$47:$A$48,'Over to underbark'!E$47:E$48)*Z249</f>
        <v>71.954597916432007</v>
      </c>
      <c r="AE249">
        <f>LOOKUP($A249,'Over to underbark'!$A$47:$A$48,'Over to underbark'!E$47:E$48)*AA249</f>
        <v>19.868907139200005</v>
      </c>
      <c r="AF249">
        <f>LOOKUP($A249,'Over to underbark'!$A$47:$A$48,'Over to underbark'!E$47:E$48)*AB249</f>
        <v>31.377550378607992</v>
      </c>
      <c r="AG249">
        <f>LOOKUP($A249,'Over to underbark'!$A$47:$A$48,'Over to underbark'!E$47:E$48)*AC249</f>
        <v>51.011584565759996</v>
      </c>
      <c r="AH249" t="b">
        <f t="shared" si="51"/>
        <v>1</v>
      </c>
      <c r="AI249" t="b">
        <f t="shared" si="52"/>
        <v>1</v>
      </c>
      <c r="AJ249">
        <f>LOOKUP(A249,'Over to underbark'!$A$47:$A$48,'Over to underbark'!E$47:E$48)*M249</f>
        <v>193.56959999999998</v>
      </c>
      <c r="AK249" s="22">
        <f>LOOKUP(A249,'Over to underbark'!$A$47:$A$48,'Over to underbark'!$B$47:$B$48)*AJ249</f>
        <v>65.813664000000003</v>
      </c>
      <c r="AL249" s="22">
        <f>LOOKUP(A249,'Over to underbark'!$A$47:$A$48,'Over to underbark'!C$47:C$48)*AJ249</f>
        <v>67.749359999999982</v>
      </c>
      <c r="AM249" s="22">
        <f t="shared" si="53"/>
        <v>259.383264</v>
      </c>
      <c r="AN249" s="36">
        <v>617.58000000000004</v>
      </c>
      <c r="AO249" s="23">
        <f t="shared" si="54"/>
        <v>518.76652799999999</v>
      </c>
      <c r="AQ249">
        <f t="shared" si="55"/>
        <v>0.67164179104477606</v>
      </c>
    </row>
    <row r="250" spans="1:43" x14ac:dyDescent="0.35">
      <c r="A250" t="s">
        <v>41</v>
      </c>
      <c r="B250">
        <v>10</v>
      </c>
      <c r="C250">
        <v>2</v>
      </c>
      <c r="D250" t="s">
        <v>42</v>
      </c>
      <c r="E250">
        <v>2</v>
      </c>
      <c r="F250">
        <v>1</v>
      </c>
      <c r="G250" s="12">
        <v>56</v>
      </c>
      <c r="H250" s="12">
        <v>19.712</v>
      </c>
      <c r="I250" s="12">
        <v>1217</v>
      </c>
      <c r="J250" s="12">
        <v>24.521999999999998</v>
      </c>
      <c r="K250" s="12">
        <v>57.475999999999999</v>
      </c>
      <c r="L250" s="12">
        <v>0.38800000000000001</v>
      </c>
      <c r="M250" s="19">
        <v>471.64</v>
      </c>
      <c r="N250" s="12">
        <v>7.2229999999999999</v>
      </c>
      <c r="O250" s="13">
        <v>8.4220000000000006</v>
      </c>
      <c r="P250" s="14">
        <v>56</v>
      </c>
      <c r="Q250" s="14">
        <v>24.521999999999998</v>
      </c>
      <c r="R250" s="14">
        <v>166.80199999999999</v>
      </c>
      <c r="S250" s="14">
        <v>304.83800000000002</v>
      </c>
      <c r="T250" s="10" t="b">
        <f t="shared" si="58"/>
        <v>1</v>
      </c>
      <c r="U250" s="10" t="b">
        <f t="shared" si="59"/>
        <v>1</v>
      </c>
      <c r="V250" s="11">
        <f>VLOOKUP(IF(J250&lt;10, 10, IF(J250&gt;50,50,J250)),'Over to underbark'!$A$3:$C$43,IF(A250="Scots pine",3,IF(A250="Sitka spruce",2, "error")),TRUE)/100</f>
        <v>0.84</v>
      </c>
      <c r="W250">
        <f t="shared" si="44"/>
        <v>126.102312</v>
      </c>
      <c r="X250">
        <f t="shared" si="45"/>
        <v>230.45752800000002</v>
      </c>
      <c r="Y250">
        <f t="shared" si="46"/>
        <v>67.916160000000019</v>
      </c>
      <c r="Z250">
        <f t="shared" si="47"/>
        <v>174.2654042172</v>
      </c>
      <c r="AA250">
        <f t="shared" si="48"/>
        <v>47.829334320000008</v>
      </c>
      <c r="AB250">
        <f t="shared" si="49"/>
        <v>75.168706006799994</v>
      </c>
      <c r="AC250">
        <f t="shared" si="50"/>
        <v>127.21255545600002</v>
      </c>
      <c r="AD250">
        <f>LOOKUP($A250,'Over to underbark'!$A$47:$A$48,'Over to underbark'!E$47:E$48)*Z250</f>
        <v>73.191469771223993</v>
      </c>
      <c r="AE250">
        <f>LOOKUP($A250,'Over to underbark'!$A$47:$A$48,'Over to underbark'!E$47:E$48)*AA250</f>
        <v>20.088320414400002</v>
      </c>
      <c r="AF250">
        <f>LOOKUP($A250,'Over to underbark'!$A$47:$A$48,'Over to underbark'!E$47:E$48)*AB250</f>
        <v>31.570856522855998</v>
      </c>
      <c r="AG250">
        <f>LOOKUP($A250,'Over to underbark'!$A$47:$A$48,'Over to underbark'!E$47:E$48)*AC250</f>
        <v>53.429273291520005</v>
      </c>
      <c r="AH250" t="b">
        <f t="shared" si="51"/>
        <v>1</v>
      </c>
      <c r="AI250" t="b">
        <f t="shared" si="52"/>
        <v>1</v>
      </c>
      <c r="AJ250">
        <f>LOOKUP(A250,'Over to underbark'!$A$47:$A$48,'Over to underbark'!E$47:E$48)*M250</f>
        <v>198.08879999999999</v>
      </c>
      <c r="AK250" s="22">
        <f>LOOKUP(A250,'Over to underbark'!$A$47:$A$48,'Over to underbark'!$B$47:$B$48)*AJ250</f>
        <v>67.350192000000007</v>
      </c>
      <c r="AL250" s="22">
        <f>LOOKUP(A250,'Over to underbark'!$A$47:$A$48,'Over to underbark'!C$47:C$48)*AJ250</f>
        <v>69.331079999999986</v>
      </c>
      <c r="AM250" s="22">
        <f t="shared" si="53"/>
        <v>265.43899199999998</v>
      </c>
      <c r="AN250" s="36">
        <v>632</v>
      </c>
      <c r="AO250" s="23">
        <f t="shared" si="54"/>
        <v>530.87798399999997</v>
      </c>
      <c r="AQ250">
        <f t="shared" si="55"/>
        <v>0.67164179104477617</v>
      </c>
    </row>
    <row r="251" spans="1:43" x14ac:dyDescent="0.35">
      <c r="A251" t="s">
        <v>41</v>
      </c>
      <c r="B251">
        <v>10</v>
      </c>
      <c r="C251">
        <v>2</v>
      </c>
      <c r="D251" t="s">
        <v>42</v>
      </c>
      <c r="E251">
        <v>2</v>
      </c>
      <c r="F251">
        <v>1</v>
      </c>
      <c r="G251" s="12">
        <v>57</v>
      </c>
      <c r="H251" s="12">
        <v>19.96</v>
      </c>
      <c r="I251" s="12">
        <v>1194</v>
      </c>
      <c r="J251" s="12">
        <v>24.9</v>
      </c>
      <c r="K251" s="12">
        <v>58.142000000000003</v>
      </c>
      <c r="L251" s="12">
        <v>0.40400000000000003</v>
      </c>
      <c r="M251" s="19">
        <v>482.4</v>
      </c>
      <c r="N251" s="12">
        <v>7.5330000000000004</v>
      </c>
      <c r="O251" s="13">
        <v>8.4629999999999992</v>
      </c>
      <c r="P251" s="14">
        <v>57</v>
      </c>
      <c r="Q251" s="14">
        <v>24.9</v>
      </c>
      <c r="R251" s="14">
        <v>163.53200000000001</v>
      </c>
      <c r="S251" s="14">
        <v>318.86799999999999</v>
      </c>
      <c r="T251" s="10" t="b">
        <f t="shared" si="58"/>
        <v>1</v>
      </c>
      <c r="U251" s="10" t="b">
        <f t="shared" si="59"/>
        <v>1</v>
      </c>
      <c r="V251" s="11">
        <f>VLOOKUP(IF(J251&lt;10, 10, IF(J251&gt;50,50,J251)),'Over to underbark'!$A$3:$C$43,IF(A251="Scots pine",3,IF(A251="Sitka spruce",2, "error")),TRUE)/100</f>
        <v>0.84</v>
      </c>
      <c r="W251">
        <f t="shared" si="44"/>
        <v>123.63019200000002</v>
      </c>
      <c r="X251">
        <f t="shared" si="45"/>
        <v>241.06420799999998</v>
      </c>
      <c r="Y251">
        <f t="shared" si="46"/>
        <v>69.465600000000009</v>
      </c>
      <c r="Z251">
        <f t="shared" si="47"/>
        <v>177.17476997520001</v>
      </c>
      <c r="AA251">
        <f t="shared" si="48"/>
        <v>48.332121120000011</v>
      </c>
      <c r="AB251">
        <f t="shared" si="49"/>
        <v>75.585666088800011</v>
      </c>
      <c r="AC251">
        <f t="shared" si="50"/>
        <v>133.06744281599998</v>
      </c>
      <c r="AD251">
        <f>LOOKUP($A251,'Over to underbark'!$A$47:$A$48,'Over to underbark'!E$47:E$48)*Z251</f>
        <v>74.413403389584005</v>
      </c>
      <c r="AE251">
        <f>LOOKUP($A251,'Over to underbark'!$A$47:$A$48,'Over to underbark'!E$47:E$48)*AA251</f>
        <v>20.299490870400003</v>
      </c>
      <c r="AF251">
        <f>LOOKUP($A251,'Over to underbark'!$A$47:$A$48,'Over to underbark'!E$47:E$48)*AB251</f>
        <v>31.745979757296002</v>
      </c>
      <c r="AG251">
        <f>LOOKUP($A251,'Over to underbark'!$A$47:$A$48,'Over to underbark'!E$47:E$48)*AC251</f>
        <v>55.888325982719991</v>
      </c>
      <c r="AH251" t="b">
        <f t="shared" si="51"/>
        <v>1</v>
      </c>
      <c r="AI251" t="b">
        <f t="shared" si="52"/>
        <v>1</v>
      </c>
      <c r="AJ251">
        <f>LOOKUP(A251,'Over to underbark'!$A$47:$A$48,'Over to underbark'!E$47:E$48)*M251</f>
        <v>202.60799999999998</v>
      </c>
      <c r="AK251" s="22">
        <f>LOOKUP(A251,'Over to underbark'!$A$47:$A$48,'Over to underbark'!$B$47:$B$48)*AJ251</f>
        <v>68.886719999999997</v>
      </c>
      <c r="AL251" s="22">
        <f>LOOKUP(A251,'Over to underbark'!$A$47:$A$48,'Over to underbark'!C$47:C$48)*AJ251</f>
        <v>70.91279999999999</v>
      </c>
      <c r="AM251" s="22">
        <f t="shared" si="53"/>
        <v>271.49471999999997</v>
      </c>
      <c r="AN251" s="36">
        <v>646.41999999999996</v>
      </c>
      <c r="AO251" s="23">
        <f t="shared" si="54"/>
        <v>542.98943999999995</v>
      </c>
      <c r="AQ251">
        <f t="shared" si="55"/>
        <v>0.67164179104477617</v>
      </c>
    </row>
    <row r="252" spans="1:43" x14ac:dyDescent="0.35">
      <c r="A252" t="s">
        <v>41</v>
      </c>
      <c r="B252">
        <v>10</v>
      </c>
      <c r="C252">
        <v>2</v>
      </c>
      <c r="D252" t="s">
        <v>42</v>
      </c>
      <c r="E252">
        <v>2</v>
      </c>
      <c r="F252">
        <v>1</v>
      </c>
      <c r="G252" s="12">
        <v>58</v>
      </c>
      <c r="H252" s="12">
        <v>20.181999999999999</v>
      </c>
      <c r="I252" s="12">
        <v>1175</v>
      </c>
      <c r="J252" s="12">
        <v>25.228999999999999</v>
      </c>
      <c r="K252" s="12">
        <v>58.738</v>
      </c>
      <c r="L252" s="12">
        <v>0.41899999999999998</v>
      </c>
      <c r="M252" s="19">
        <v>492.18</v>
      </c>
      <c r="N252" s="12">
        <v>7.8760000000000003</v>
      </c>
      <c r="O252" s="13">
        <v>8.4860000000000007</v>
      </c>
      <c r="P252" s="14">
        <v>58</v>
      </c>
      <c r="Q252" s="14">
        <v>25.228999999999999</v>
      </c>
      <c r="R252" s="14">
        <v>160.76300000000001</v>
      </c>
      <c r="S252" s="14">
        <v>331.41699999999997</v>
      </c>
      <c r="T252" s="10" t="b">
        <f t="shared" si="58"/>
        <v>1</v>
      </c>
      <c r="U252" s="10" t="b">
        <f t="shared" si="59"/>
        <v>1</v>
      </c>
      <c r="V252" s="11">
        <f>VLOOKUP(IF(J252&lt;10, 10, IF(J252&gt;50,50,J252)),'Over to underbark'!$A$3:$C$43,IF(A252="Scots pine",3,IF(A252="Sitka spruce",2, "error")),TRUE)/100</f>
        <v>0.84</v>
      </c>
      <c r="W252">
        <f t="shared" si="44"/>
        <v>121.536828</v>
      </c>
      <c r="X252">
        <f t="shared" si="45"/>
        <v>250.55125199999995</v>
      </c>
      <c r="Y252">
        <f t="shared" si="46"/>
        <v>70.873920000000012</v>
      </c>
      <c r="Z252">
        <f t="shared" si="47"/>
        <v>179.84977650179999</v>
      </c>
      <c r="AA252">
        <f t="shared" si="48"/>
        <v>48.806011080000005</v>
      </c>
      <c r="AB252">
        <f t="shared" si="49"/>
        <v>76.00192131419999</v>
      </c>
      <c r="AC252">
        <f t="shared" si="50"/>
        <v>138.30429110399996</v>
      </c>
      <c r="AD252">
        <f>LOOKUP($A252,'Over to underbark'!$A$47:$A$48,'Over to underbark'!E$47:E$48)*Z252</f>
        <v>75.536906130755995</v>
      </c>
      <c r="AE252">
        <f>LOOKUP($A252,'Over to underbark'!$A$47:$A$48,'Over to underbark'!E$47:E$48)*AA252</f>
        <v>20.498524653600001</v>
      </c>
      <c r="AF252">
        <f>LOOKUP($A252,'Over to underbark'!$A$47:$A$48,'Over to underbark'!E$47:E$48)*AB252</f>
        <v>31.920806951963996</v>
      </c>
      <c r="AG252">
        <f>LOOKUP($A252,'Over to underbark'!$A$47:$A$48,'Over to underbark'!E$47:E$48)*AC252</f>
        <v>58.087802263679983</v>
      </c>
      <c r="AH252" t="b">
        <f t="shared" si="51"/>
        <v>1</v>
      </c>
      <c r="AI252" t="b">
        <f t="shared" si="52"/>
        <v>1</v>
      </c>
      <c r="AJ252">
        <f>LOOKUP(A252,'Over to underbark'!$A$47:$A$48,'Over to underbark'!E$47:E$48)*M252</f>
        <v>206.71559999999999</v>
      </c>
      <c r="AK252" s="22">
        <f>LOOKUP(A252,'Over to underbark'!$A$47:$A$48,'Over to underbark'!$B$47:$B$48)*AJ252</f>
        <v>70.283304000000001</v>
      </c>
      <c r="AL252" s="22">
        <f>LOOKUP(A252,'Over to underbark'!$A$47:$A$48,'Over to underbark'!C$47:C$48)*AJ252</f>
        <v>72.350459999999998</v>
      </c>
      <c r="AM252" s="22">
        <f t="shared" si="53"/>
        <v>276.99890399999998</v>
      </c>
      <c r="AN252" s="36">
        <v>659.52</v>
      </c>
      <c r="AO252" s="23">
        <f t="shared" si="54"/>
        <v>553.99780799999996</v>
      </c>
      <c r="AQ252">
        <f t="shared" si="55"/>
        <v>0.67164179104477606</v>
      </c>
    </row>
    <row r="253" spans="1:43" x14ac:dyDescent="0.35">
      <c r="A253" t="s">
        <v>41</v>
      </c>
      <c r="B253">
        <v>10</v>
      </c>
      <c r="C253">
        <v>2</v>
      </c>
      <c r="D253" t="s">
        <v>42</v>
      </c>
      <c r="E253">
        <v>2</v>
      </c>
      <c r="F253">
        <v>1</v>
      </c>
      <c r="G253" s="12">
        <v>59</v>
      </c>
      <c r="H253" s="12">
        <v>20.404</v>
      </c>
      <c r="I253" s="12">
        <v>1156</v>
      </c>
      <c r="J253" s="12">
        <v>25.564</v>
      </c>
      <c r="K253" s="12">
        <v>59.332999999999998</v>
      </c>
      <c r="L253" s="12">
        <v>0.434</v>
      </c>
      <c r="M253" s="19">
        <v>501.96</v>
      </c>
      <c r="N253" s="12">
        <v>8.2040000000000006</v>
      </c>
      <c r="O253" s="13">
        <v>8.5079999999999991</v>
      </c>
      <c r="P253" s="14">
        <v>59</v>
      </c>
      <c r="Q253" s="14">
        <v>25.564</v>
      </c>
      <c r="R253" s="14">
        <v>157.83000000000001</v>
      </c>
      <c r="S253" s="14">
        <v>344.13</v>
      </c>
      <c r="T253" s="10" t="b">
        <f t="shared" si="58"/>
        <v>1</v>
      </c>
      <c r="U253" s="10" t="b">
        <f t="shared" si="59"/>
        <v>1</v>
      </c>
      <c r="V253" s="11">
        <f>VLOOKUP(IF(J253&lt;10, 10, IF(J253&gt;50,50,J253)),'Over to underbark'!$A$3:$C$43,IF(A253="Scots pine",3,IF(A253="Sitka spruce",2, "error")),TRUE)/100</f>
        <v>0.84</v>
      </c>
      <c r="W253">
        <f t="shared" si="44"/>
        <v>119.31948000000001</v>
      </c>
      <c r="X253">
        <f t="shared" si="45"/>
        <v>260.16227999999995</v>
      </c>
      <c r="Y253">
        <f t="shared" si="46"/>
        <v>72.28224000000003</v>
      </c>
      <c r="Z253">
        <f t="shared" si="47"/>
        <v>182.50006681800002</v>
      </c>
      <c r="AA253">
        <f t="shared" si="48"/>
        <v>49.266262800000014</v>
      </c>
      <c r="AB253">
        <f t="shared" si="49"/>
        <v>76.388091821999993</v>
      </c>
      <c r="AC253">
        <f t="shared" si="50"/>
        <v>143.60957855999996</v>
      </c>
      <c r="AD253">
        <f>LOOKUP($A253,'Over to underbark'!$A$47:$A$48,'Over to underbark'!E$47:E$48)*Z253</f>
        <v>76.650028063560001</v>
      </c>
      <c r="AE253">
        <f>LOOKUP($A253,'Over to underbark'!$A$47:$A$48,'Over to underbark'!E$47:E$48)*AA253</f>
        <v>20.691830376000006</v>
      </c>
      <c r="AF253">
        <f>LOOKUP($A253,'Over to underbark'!$A$47:$A$48,'Over to underbark'!E$47:E$48)*AB253</f>
        <v>32.082998565239997</v>
      </c>
      <c r="AG253">
        <f>LOOKUP($A253,'Over to underbark'!$A$47:$A$48,'Over to underbark'!E$47:E$48)*AC253</f>
        <v>60.31602299519998</v>
      </c>
      <c r="AH253" t="b">
        <f t="shared" si="51"/>
        <v>1</v>
      </c>
      <c r="AI253" t="b">
        <f t="shared" si="52"/>
        <v>1</v>
      </c>
      <c r="AJ253">
        <f>LOOKUP(A253,'Over to underbark'!$A$47:$A$48,'Over to underbark'!E$47:E$48)*M253</f>
        <v>210.82319999999999</v>
      </c>
      <c r="AK253" s="22">
        <f>LOOKUP(A253,'Over to underbark'!$A$47:$A$48,'Over to underbark'!$B$47:$B$48)*AJ253</f>
        <v>71.679888000000005</v>
      </c>
      <c r="AL253" s="22">
        <f>LOOKUP(A253,'Over to underbark'!$A$47:$A$48,'Over to underbark'!C$47:C$48)*AJ253</f>
        <v>73.788119999999992</v>
      </c>
      <c r="AM253" s="22">
        <f t="shared" si="53"/>
        <v>282.50308799999999</v>
      </c>
      <c r="AN253" s="36">
        <v>672.63</v>
      </c>
      <c r="AO253" s="23">
        <f t="shared" si="54"/>
        <v>565.00617599999998</v>
      </c>
      <c r="AQ253">
        <f t="shared" si="55"/>
        <v>0.67164179104477606</v>
      </c>
    </row>
    <row r="254" spans="1:43" x14ac:dyDescent="0.35">
      <c r="A254" t="s">
        <v>41</v>
      </c>
      <c r="B254">
        <v>10</v>
      </c>
      <c r="C254">
        <v>2</v>
      </c>
      <c r="D254" t="s">
        <v>42</v>
      </c>
      <c r="E254">
        <v>2</v>
      </c>
      <c r="F254">
        <v>1</v>
      </c>
      <c r="G254" s="12">
        <v>60</v>
      </c>
      <c r="H254" s="12">
        <v>20.626000000000001</v>
      </c>
      <c r="I254" s="12">
        <v>1137</v>
      </c>
      <c r="J254" s="12">
        <v>25.905000000000001</v>
      </c>
      <c r="K254" s="12">
        <v>59.927999999999997</v>
      </c>
      <c r="L254" s="12">
        <v>0.45</v>
      </c>
      <c r="M254" s="19">
        <v>511.74</v>
      </c>
      <c r="N254" s="12">
        <v>8.5169999999999995</v>
      </c>
      <c r="O254" s="13">
        <v>8.5289999999999999</v>
      </c>
      <c r="P254" s="14">
        <v>60</v>
      </c>
      <c r="Q254" s="14">
        <v>25.905000000000001</v>
      </c>
      <c r="R254" s="14">
        <v>154.74600000000001</v>
      </c>
      <c r="S254" s="14">
        <v>356.99400000000003</v>
      </c>
      <c r="T254" s="10" t="b">
        <f t="shared" si="58"/>
        <v>1</v>
      </c>
      <c r="U254" s="10" t="b">
        <f t="shared" si="59"/>
        <v>1</v>
      </c>
      <c r="V254" s="11">
        <f>VLOOKUP(IF(J254&lt;10, 10, IF(J254&gt;50,50,J254)),'Over to underbark'!$A$3:$C$43,IF(A254="Scots pine",3,IF(A254="Sitka spruce",2, "error")),TRUE)/100</f>
        <v>0.84</v>
      </c>
      <c r="W254">
        <f t="shared" si="44"/>
        <v>116.98797599999999</v>
      </c>
      <c r="X254">
        <f t="shared" si="45"/>
        <v>269.88746400000002</v>
      </c>
      <c r="Y254">
        <f t="shared" si="46"/>
        <v>73.690560000000019</v>
      </c>
      <c r="Z254">
        <f t="shared" si="47"/>
        <v>185.12760013560001</v>
      </c>
      <c r="AA254">
        <f t="shared" si="48"/>
        <v>49.713957360000009</v>
      </c>
      <c r="AB254">
        <f t="shared" si="49"/>
        <v>76.746562376399993</v>
      </c>
      <c r="AC254">
        <f t="shared" si="50"/>
        <v>148.97788012800001</v>
      </c>
      <c r="AD254">
        <f>LOOKUP($A254,'Over to underbark'!$A$47:$A$48,'Over to underbark'!E$47:E$48)*Z254</f>
        <v>77.753592056952002</v>
      </c>
      <c r="AE254">
        <f>LOOKUP($A254,'Over to underbark'!$A$47:$A$48,'Over to underbark'!E$47:E$48)*AA254</f>
        <v>20.879862091200003</v>
      </c>
      <c r="AF254">
        <f>LOOKUP($A254,'Over to underbark'!$A$47:$A$48,'Over to underbark'!E$47:E$48)*AB254</f>
        <v>32.233556198087996</v>
      </c>
      <c r="AG254">
        <f>LOOKUP($A254,'Over to underbark'!$A$47:$A$48,'Over to underbark'!E$47:E$48)*AC254</f>
        <v>62.570709653760005</v>
      </c>
      <c r="AH254" t="b">
        <f t="shared" si="51"/>
        <v>1</v>
      </c>
      <c r="AI254" t="b">
        <f t="shared" si="52"/>
        <v>1</v>
      </c>
      <c r="AJ254">
        <f>LOOKUP(A254,'Over to underbark'!$A$47:$A$48,'Over to underbark'!E$47:E$48)*M254</f>
        <v>214.9308</v>
      </c>
      <c r="AK254" s="22">
        <f>LOOKUP(A254,'Over to underbark'!$A$47:$A$48,'Over to underbark'!$B$47:$B$48)*AJ254</f>
        <v>73.07647200000001</v>
      </c>
      <c r="AL254" s="22">
        <f>LOOKUP(A254,'Over to underbark'!$A$47:$A$48,'Over to underbark'!C$47:C$48)*AJ254</f>
        <v>75.22578</v>
      </c>
      <c r="AM254" s="22">
        <f t="shared" si="53"/>
        <v>288.007272</v>
      </c>
      <c r="AN254" s="36">
        <v>685.73</v>
      </c>
      <c r="AO254" s="23">
        <f t="shared" si="54"/>
        <v>576.014544</v>
      </c>
      <c r="AQ254">
        <f t="shared" si="55"/>
        <v>0.67164179104477617</v>
      </c>
    </row>
    <row r="255" spans="1:43" x14ac:dyDescent="0.35">
      <c r="A255" t="s">
        <v>41</v>
      </c>
      <c r="B255">
        <v>10</v>
      </c>
      <c r="C255">
        <v>2</v>
      </c>
      <c r="D255" t="s">
        <v>42</v>
      </c>
      <c r="E255">
        <v>2</v>
      </c>
      <c r="F255">
        <v>1</v>
      </c>
      <c r="G255" s="12">
        <v>61</v>
      </c>
      <c r="H255" s="12">
        <v>20.847999999999999</v>
      </c>
      <c r="I255" s="12">
        <v>1118</v>
      </c>
      <c r="J255" s="12">
        <v>26.254000000000001</v>
      </c>
      <c r="K255" s="12">
        <v>60.524000000000001</v>
      </c>
      <c r="L255" s="12">
        <v>0.46600000000000003</v>
      </c>
      <c r="M255" s="19">
        <v>521.52</v>
      </c>
      <c r="N255" s="12">
        <v>8.8160000000000007</v>
      </c>
      <c r="O255" s="13">
        <v>8.5500000000000007</v>
      </c>
      <c r="P255" s="14">
        <v>61</v>
      </c>
      <c r="Q255" s="14">
        <v>26.254000000000001</v>
      </c>
      <c r="R255" s="14">
        <v>151.488</v>
      </c>
      <c r="S255" s="14">
        <v>370.03199999999998</v>
      </c>
      <c r="T255" s="10" t="b">
        <f t="shared" si="58"/>
        <v>1</v>
      </c>
      <c r="U255" s="10" t="b">
        <f t="shared" si="59"/>
        <v>1</v>
      </c>
      <c r="V255" s="11">
        <f>VLOOKUP(IF(J255&lt;10, 10, IF(J255&gt;50,50,J255)),'Over to underbark'!$A$3:$C$43,IF(A255="Scots pine",3,IF(A255="Sitka spruce",2, "error")),TRUE)/100</f>
        <v>0.84</v>
      </c>
      <c r="W255">
        <f t="shared" si="44"/>
        <v>114.524928</v>
      </c>
      <c r="X255">
        <f t="shared" si="45"/>
        <v>279.744192</v>
      </c>
      <c r="Y255">
        <f t="shared" si="46"/>
        <v>75.098880000000008</v>
      </c>
      <c r="Z255">
        <f t="shared" si="47"/>
        <v>187.7289101568</v>
      </c>
      <c r="AA255">
        <f t="shared" si="48"/>
        <v>50.147182080000007</v>
      </c>
      <c r="AB255">
        <f t="shared" si="49"/>
        <v>77.0731137792</v>
      </c>
      <c r="AC255">
        <f t="shared" si="50"/>
        <v>154.41879398400002</v>
      </c>
      <c r="AD255">
        <f>LOOKUP($A255,'Over to underbark'!$A$47:$A$48,'Over to underbark'!E$47:E$48)*Z255</f>
        <v>78.846142265856002</v>
      </c>
      <c r="AE255">
        <f>LOOKUP($A255,'Over to underbark'!$A$47:$A$48,'Over to underbark'!E$47:E$48)*AA255</f>
        <v>21.061816473600004</v>
      </c>
      <c r="AF255">
        <f>LOOKUP($A255,'Over to underbark'!$A$47:$A$48,'Over to underbark'!E$47:E$48)*AB255</f>
        <v>32.370707787263996</v>
      </c>
      <c r="AG255">
        <f>LOOKUP($A255,'Over to underbark'!$A$47:$A$48,'Over to underbark'!E$47:E$48)*AC255</f>
        <v>64.855893473280005</v>
      </c>
      <c r="AH255" t="b">
        <f t="shared" si="51"/>
        <v>1</v>
      </c>
      <c r="AI255" t="b">
        <f t="shared" si="52"/>
        <v>1</v>
      </c>
      <c r="AJ255">
        <f>LOOKUP(A255,'Over to underbark'!$A$47:$A$48,'Over to underbark'!E$47:E$48)*M255</f>
        <v>219.0384</v>
      </c>
      <c r="AK255" s="22">
        <f>LOOKUP(A255,'Over to underbark'!$A$47:$A$48,'Over to underbark'!$B$47:$B$48)*AJ255</f>
        <v>74.473056</v>
      </c>
      <c r="AL255" s="22">
        <f>LOOKUP(A255,'Over to underbark'!$A$47:$A$48,'Over to underbark'!C$47:C$48)*AJ255</f>
        <v>76.663439999999994</v>
      </c>
      <c r="AM255" s="22">
        <f t="shared" si="53"/>
        <v>293.51145600000001</v>
      </c>
      <c r="AN255" s="36">
        <v>698.84</v>
      </c>
      <c r="AO255" s="23">
        <f t="shared" si="54"/>
        <v>587.02291200000002</v>
      </c>
      <c r="AQ255">
        <f t="shared" si="55"/>
        <v>0.67164179104477617</v>
      </c>
    </row>
    <row r="256" spans="1:43" x14ac:dyDescent="0.35">
      <c r="A256" t="s">
        <v>41</v>
      </c>
      <c r="B256">
        <v>10</v>
      </c>
      <c r="C256">
        <v>2</v>
      </c>
      <c r="D256" t="s">
        <v>42</v>
      </c>
      <c r="E256">
        <v>2</v>
      </c>
      <c r="F256">
        <v>1</v>
      </c>
      <c r="G256" s="12">
        <v>62</v>
      </c>
      <c r="H256" s="12">
        <v>21.07</v>
      </c>
      <c r="I256" s="12">
        <v>1099</v>
      </c>
      <c r="J256" s="12">
        <v>26.61</v>
      </c>
      <c r="K256" s="12">
        <v>61.119</v>
      </c>
      <c r="L256" s="12">
        <v>0.48299999999999998</v>
      </c>
      <c r="M256" s="19">
        <v>531.29999999999995</v>
      </c>
      <c r="N256" s="12">
        <v>9.1020000000000003</v>
      </c>
      <c r="O256" s="13">
        <v>8.5690000000000008</v>
      </c>
      <c r="P256" s="14">
        <v>62</v>
      </c>
      <c r="Q256" s="14">
        <v>26.61</v>
      </c>
      <c r="R256" s="14">
        <v>148.089</v>
      </c>
      <c r="S256" s="14">
        <v>383.21100000000001</v>
      </c>
      <c r="T256" s="10" t="b">
        <f t="shared" si="58"/>
        <v>1</v>
      </c>
      <c r="U256" s="10" t="b">
        <f t="shared" si="59"/>
        <v>1</v>
      </c>
      <c r="V256" s="11">
        <f>VLOOKUP(IF(J256&lt;10, 10, IF(J256&gt;50,50,J256)),'Over to underbark'!$A$3:$C$43,IF(A256="Scots pine",3,IF(A256="Sitka spruce",2, "error")),TRUE)/100</f>
        <v>0.84</v>
      </c>
      <c r="W256">
        <f t="shared" ref="W256:W296" si="60">R256*0.9*V256</f>
        <v>111.95528400000001</v>
      </c>
      <c r="X256">
        <f t="shared" ref="X256:X296" si="61">S256*0.9*V256</f>
        <v>289.707516</v>
      </c>
      <c r="Y256">
        <f t="shared" si="46"/>
        <v>76.507200000000012</v>
      </c>
      <c r="Z256">
        <f t="shared" si="47"/>
        <v>190.30897026540003</v>
      </c>
      <c r="AA256">
        <f t="shared" si="48"/>
        <v>50.568681240000004</v>
      </c>
      <c r="AB256">
        <f t="shared" si="49"/>
        <v>77.373799662599993</v>
      </c>
      <c r="AC256">
        <f t="shared" si="50"/>
        <v>159.918548832</v>
      </c>
      <c r="AD256">
        <f>LOOKUP($A256,'Over to underbark'!$A$47:$A$48,'Over to underbark'!E$47:E$48)*Z256</f>
        <v>79.929767511468015</v>
      </c>
      <c r="AE256">
        <f>LOOKUP($A256,'Over to underbark'!$A$47:$A$48,'Over to underbark'!E$47:E$48)*AA256</f>
        <v>21.238846120800002</v>
      </c>
      <c r="AF256">
        <f>LOOKUP($A256,'Over to underbark'!$A$47:$A$48,'Over to underbark'!E$47:E$48)*AB256</f>
        <v>32.496995858291996</v>
      </c>
      <c r="AG256">
        <f>LOOKUP($A256,'Over to underbark'!$A$47:$A$48,'Over to underbark'!E$47:E$48)*AC256</f>
        <v>67.165790509440001</v>
      </c>
      <c r="AH256" t="b">
        <f t="shared" si="51"/>
        <v>1</v>
      </c>
      <c r="AI256" t="b">
        <f t="shared" si="52"/>
        <v>1</v>
      </c>
      <c r="AJ256">
        <f>LOOKUP(A256,'Over to underbark'!$A$47:$A$48,'Over to underbark'!E$47:E$48)*M256</f>
        <v>223.14599999999999</v>
      </c>
      <c r="AK256" s="22">
        <f>LOOKUP(A256,'Over to underbark'!$A$47:$A$48,'Over to underbark'!$B$47:$B$48)*AJ256</f>
        <v>75.869640000000004</v>
      </c>
      <c r="AL256" s="22">
        <f>LOOKUP(A256,'Over to underbark'!$A$47:$A$48,'Over to underbark'!C$47:C$48)*AJ256</f>
        <v>78.101099999999988</v>
      </c>
      <c r="AM256" s="22">
        <f t="shared" si="53"/>
        <v>299.01563999999996</v>
      </c>
      <c r="AN256" s="36">
        <v>711.94</v>
      </c>
      <c r="AO256" s="23">
        <f t="shared" si="54"/>
        <v>598.03127999999992</v>
      </c>
      <c r="AQ256">
        <f t="shared" si="55"/>
        <v>0.67164179104477628</v>
      </c>
    </row>
    <row r="257" spans="1:43" x14ac:dyDescent="0.35">
      <c r="A257" t="s">
        <v>41</v>
      </c>
      <c r="B257">
        <v>10</v>
      </c>
      <c r="C257">
        <v>2</v>
      </c>
      <c r="D257" t="s">
        <v>42</v>
      </c>
      <c r="E257">
        <v>2</v>
      </c>
      <c r="F257">
        <v>1</v>
      </c>
      <c r="G257" s="12">
        <v>63</v>
      </c>
      <c r="H257" s="12">
        <v>21.27</v>
      </c>
      <c r="I257" s="12">
        <v>1082</v>
      </c>
      <c r="J257" s="12">
        <v>26.927</v>
      </c>
      <c r="K257" s="12">
        <v>61.613999999999997</v>
      </c>
      <c r="L257" s="12">
        <v>0.499</v>
      </c>
      <c r="M257" s="19">
        <v>540.28</v>
      </c>
      <c r="N257" s="12">
        <v>9.3670000000000009</v>
      </c>
      <c r="O257" s="13">
        <v>8.5760000000000005</v>
      </c>
      <c r="P257" s="14">
        <v>63</v>
      </c>
      <c r="Q257" s="14">
        <v>26.927</v>
      </c>
      <c r="R257" s="14">
        <v>145.12700000000001</v>
      </c>
      <c r="S257" s="14">
        <v>395.15300000000002</v>
      </c>
      <c r="T257" s="10" t="b">
        <f t="shared" si="58"/>
        <v>1</v>
      </c>
      <c r="U257" s="10" t="b">
        <f t="shared" si="59"/>
        <v>1</v>
      </c>
      <c r="V257" s="11">
        <f>VLOOKUP(IF(J257&lt;10, 10, IF(J257&gt;50,50,J257)),'Over to underbark'!$A$3:$C$43,IF(A257="Scots pine",3,IF(A257="Sitka spruce",2, "error")),TRUE)/100</f>
        <v>0.84</v>
      </c>
      <c r="W257">
        <f t="shared" si="60"/>
        <v>109.71601200000001</v>
      </c>
      <c r="X257">
        <f t="shared" si="61"/>
        <v>298.73566800000003</v>
      </c>
      <c r="Y257">
        <f t="shared" si="46"/>
        <v>77.800320000000013</v>
      </c>
      <c r="Z257">
        <f t="shared" si="47"/>
        <v>192.70193963220004</v>
      </c>
      <c r="AA257">
        <f t="shared" si="48"/>
        <v>50.968921320000007</v>
      </c>
      <c r="AB257">
        <f t="shared" si="49"/>
        <v>77.679050311800012</v>
      </c>
      <c r="AC257">
        <f t="shared" si="50"/>
        <v>164.90208873600002</v>
      </c>
      <c r="AD257">
        <f>LOOKUP($A257,'Over to underbark'!$A$47:$A$48,'Over to underbark'!E$47:E$48)*Z257</f>
        <v>80.934814645524014</v>
      </c>
      <c r="AE257">
        <f>LOOKUP($A257,'Over to underbark'!$A$47:$A$48,'Over to underbark'!E$47:E$48)*AA257</f>
        <v>21.406946954400002</v>
      </c>
      <c r="AF257">
        <f>LOOKUP($A257,'Over to underbark'!$A$47:$A$48,'Over to underbark'!E$47:E$48)*AB257</f>
        <v>32.625201130956</v>
      </c>
      <c r="AG257">
        <f>LOOKUP($A257,'Over to underbark'!$A$47:$A$48,'Over to underbark'!E$47:E$48)*AC257</f>
        <v>69.258877269120006</v>
      </c>
      <c r="AH257" t="b">
        <f t="shared" si="51"/>
        <v>1</v>
      </c>
      <c r="AI257" t="b">
        <f t="shared" si="52"/>
        <v>1</v>
      </c>
      <c r="AJ257">
        <f>LOOKUP(A257,'Over to underbark'!$A$47:$A$48,'Over to underbark'!E$47:E$48)*M257</f>
        <v>226.91759999999999</v>
      </c>
      <c r="AK257" s="22">
        <f>LOOKUP(A257,'Over to underbark'!$A$47:$A$48,'Over to underbark'!$B$47:$B$48)*AJ257</f>
        <v>77.151983999999999</v>
      </c>
      <c r="AL257" s="22">
        <f>LOOKUP(A257,'Over to underbark'!$A$47:$A$48,'Over to underbark'!C$47:C$48)*AJ257</f>
        <v>79.421159999999986</v>
      </c>
      <c r="AM257" s="22">
        <f t="shared" si="53"/>
        <v>304.06958399999996</v>
      </c>
      <c r="AN257" s="36">
        <v>723.98</v>
      </c>
      <c r="AO257" s="23">
        <f t="shared" si="54"/>
        <v>608.13916799999993</v>
      </c>
      <c r="AQ257">
        <f t="shared" si="55"/>
        <v>0.67164179104477628</v>
      </c>
    </row>
    <row r="258" spans="1:43" x14ac:dyDescent="0.35">
      <c r="A258" t="s">
        <v>41</v>
      </c>
      <c r="B258">
        <v>10</v>
      </c>
      <c r="C258">
        <v>2</v>
      </c>
      <c r="D258" t="s">
        <v>42</v>
      </c>
      <c r="E258">
        <v>2</v>
      </c>
      <c r="F258">
        <v>1</v>
      </c>
      <c r="G258" s="12">
        <v>64</v>
      </c>
      <c r="H258" s="12">
        <v>21.47</v>
      </c>
      <c r="I258" s="12">
        <v>1065</v>
      </c>
      <c r="J258" s="12">
        <v>27.248999999999999</v>
      </c>
      <c r="K258" s="12">
        <v>62.107999999999997</v>
      </c>
      <c r="L258" s="12">
        <v>0.51600000000000001</v>
      </c>
      <c r="M258" s="19">
        <v>549.26</v>
      </c>
      <c r="N258" s="12">
        <v>9.6229999999999993</v>
      </c>
      <c r="O258" s="13">
        <v>8.5820000000000007</v>
      </c>
      <c r="P258" s="14">
        <v>64</v>
      </c>
      <c r="Q258" s="14">
        <v>27.248999999999999</v>
      </c>
      <c r="R258" s="14">
        <v>142.07400000000001</v>
      </c>
      <c r="S258" s="14">
        <v>407.18599999999998</v>
      </c>
      <c r="T258" s="10" t="b">
        <f t="shared" si="58"/>
        <v>1</v>
      </c>
      <c r="U258" s="10" t="b">
        <f t="shared" si="59"/>
        <v>1</v>
      </c>
      <c r="V258" s="11">
        <f>VLOOKUP(IF(J258&lt;10, 10, IF(J258&gt;50,50,J258)),'Over to underbark'!$A$3:$C$43,IF(A258="Scots pine",3,IF(A258="Sitka spruce",2, "error")),TRUE)/100</f>
        <v>0.85</v>
      </c>
      <c r="W258">
        <f t="shared" si="60"/>
        <v>108.68661000000002</v>
      </c>
      <c r="X258">
        <f t="shared" si="61"/>
        <v>311.49728999999996</v>
      </c>
      <c r="Y258">
        <f t="shared" si="46"/>
        <v>74.150100000000009</v>
      </c>
      <c r="Z258">
        <f t="shared" si="47"/>
        <v>194.46112540350001</v>
      </c>
      <c r="AA258">
        <f t="shared" si="48"/>
        <v>49.030577100000002</v>
      </c>
      <c r="AB258">
        <f t="shared" si="49"/>
        <v>78.895793416499998</v>
      </c>
      <c r="AC258">
        <f t="shared" si="50"/>
        <v>171.94650407999998</v>
      </c>
      <c r="AD258">
        <f>LOOKUP($A258,'Over to underbark'!$A$47:$A$48,'Over to underbark'!E$47:E$48)*Z258</f>
        <v>81.673672669469994</v>
      </c>
      <c r="AE258">
        <f>LOOKUP($A258,'Over to underbark'!$A$47:$A$48,'Over to underbark'!E$47:E$48)*AA258</f>
        <v>20.592842382000001</v>
      </c>
      <c r="AF258">
        <f>LOOKUP($A258,'Over to underbark'!$A$47:$A$48,'Over to underbark'!E$47:E$48)*AB258</f>
        <v>33.136233234929996</v>
      </c>
      <c r="AG258">
        <f>LOOKUP($A258,'Over to underbark'!$A$47:$A$48,'Over to underbark'!E$47:E$48)*AC258</f>
        <v>72.217531713599996</v>
      </c>
      <c r="AH258" t="b">
        <f t="shared" si="51"/>
        <v>1</v>
      </c>
      <c r="AI258" t="b">
        <f t="shared" si="52"/>
        <v>1</v>
      </c>
      <c r="AJ258">
        <f>LOOKUP(A258,'Over to underbark'!$A$47:$A$48,'Over to underbark'!E$47:E$48)*M258</f>
        <v>230.6892</v>
      </c>
      <c r="AK258" s="22">
        <f>LOOKUP(A258,'Over to underbark'!$A$47:$A$48,'Over to underbark'!$B$47:$B$48)*AJ258</f>
        <v>78.434328000000008</v>
      </c>
      <c r="AL258" s="22">
        <f>LOOKUP(A258,'Over to underbark'!$A$47:$A$48,'Over to underbark'!C$47:C$48)*AJ258</f>
        <v>80.741219999999998</v>
      </c>
      <c r="AM258" s="22">
        <f t="shared" si="53"/>
        <v>309.12352800000002</v>
      </c>
      <c r="AN258" s="36">
        <v>736.01</v>
      </c>
      <c r="AO258" s="23">
        <f t="shared" si="54"/>
        <v>618.24705600000004</v>
      </c>
      <c r="AQ258">
        <f t="shared" si="55"/>
        <v>0.67164179104477606</v>
      </c>
    </row>
    <row r="259" spans="1:43" x14ac:dyDescent="0.35">
      <c r="A259" t="s">
        <v>41</v>
      </c>
      <c r="B259">
        <v>10</v>
      </c>
      <c r="C259">
        <v>2</v>
      </c>
      <c r="D259" t="s">
        <v>42</v>
      </c>
      <c r="E259">
        <v>2</v>
      </c>
      <c r="F259">
        <v>1</v>
      </c>
      <c r="G259" s="12">
        <v>65</v>
      </c>
      <c r="H259" s="12">
        <v>21.67</v>
      </c>
      <c r="I259" s="12">
        <v>1049</v>
      </c>
      <c r="J259" s="12">
        <v>27.565000000000001</v>
      </c>
      <c r="K259" s="12">
        <v>62.603000000000002</v>
      </c>
      <c r="L259" s="12">
        <v>0.53200000000000003</v>
      </c>
      <c r="M259" s="19">
        <v>558.24</v>
      </c>
      <c r="N259" s="12">
        <v>9.8680000000000003</v>
      </c>
      <c r="O259" s="13">
        <v>8.5879999999999992</v>
      </c>
      <c r="P259" s="14">
        <v>65</v>
      </c>
      <c r="Q259" s="14">
        <v>27.565000000000001</v>
      </c>
      <c r="R259" s="14">
        <v>139.12</v>
      </c>
      <c r="S259" s="14">
        <v>419.12</v>
      </c>
      <c r="T259" s="10" t="b">
        <f t="shared" si="58"/>
        <v>1</v>
      </c>
      <c r="U259" s="10" t="b">
        <f t="shared" si="59"/>
        <v>1</v>
      </c>
      <c r="V259" s="11">
        <f>VLOOKUP(IF(J259&lt;10, 10, IF(J259&gt;50,50,J259)),'Over to underbark'!$A$3:$C$43,IF(A259="Scots pine",3,IF(A259="Sitka spruce",2, "error")),TRUE)/100</f>
        <v>0.85</v>
      </c>
      <c r="W259">
        <f t="shared" si="60"/>
        <v>106.42680000000001</v>
      </c>
      <c r="X259">
        <f t="shared" si="61"/>
        <v>320.6268</v>
      </c>
      <c r="Y259">
        <f t="shared" si="46"/>
        <v>75.362400000000008</v>
      </c>
      <c r="Z259">
        <f t="shared" si="47"/>
        <v>196.83569538</v>
      </c>
      <c r="AA259">
        <f t="shared" si="48"/>
        <v>49.388148000000008</v>
      </c>
      <c r="AB259">
        <f t="shared" si="49"/>
        <v>79.206163020000005</v>
      </c>
      <c r="AC259">
        <f t="shared" si="50"/>
        <v>176.9859936</v>
      </c>
      <c r="AD259">
        <f>LOOKUP($A259,'Over to underbark'!$A$47:$A$48,'Over to underbark'!E$47:E$48)*Z259</f>
        <v>82.670992059599996</v>
      </c>
      <c r="AE259">
        <f>LOOKUP($A259,'Over to underbark'!$A$47:$A$48,'Over to underbark'!E$47:E$48)*AA259</f>
        <v>20.743022160000002</v>
      </c>
      <c r="AF259">
        <f>LOOKUP($A259,'Over to underbark'!$A$47:$A$48,'Over to underbark'!E$47:E$48)*AB259</f>
        <v>33.266588468400002</v>
      </c>
      <c r="AG259">
        <f>LOOKUP($A259,'Over to underbark'!$A$47:$A$48,'Over to underbark'!E$47:E$48)*AC259</f>
        <v>74.334117312000004</v>
      </c>
      <c r="AH259" t="b">
        <f t="shared" si="51"/>
        <v>1</v>
      </c>
      <c r="AI259" t="b">
        <f t="shared" si="52"/>
        <v>1</v>
      </c>
      <c r="AJ259">
        <f>LOOKUP(A259,'Over to underbark'!$A$47:$A$48,'Over to underbark'!E$47:E$48)*M259</f>
        <v>234.46080000000001</v>
      </c>
      <c r="AK259" s="22">
        <f>LOOKUP(A259,'Over to underbark'!$A$47:$A$48,'Over to underbark'!$B$47:$B$48)*AJ259</f>
        <v>79.716672000000003</v>
      </c>
      <c r="AL259" s="22">
        <f>LOOKUP(A259,'Over to underbark'!$A$47:$A$48,'Over to underbark'!C$47:C$48)*AJ259</f>
        <v>82.061279999999996</v>
      </c>
      <c r="AM259" s="22">
        <f t="shared" si="53"/>
        <v>314.17747200000002</v>
      </c>
      <c r="AN259" s="36">
        <v>748.04</v>
      </c>
      <c r="AO259" s="23">
        <f t="shared" si="54"/>
        <v>628.35494400000005</v>
      </c>
      <c r="AQ259">
        <f t="shared" si="55"/>
        <v>0.67164179104477606</v>
      </c>
    </row>
    <row r="260" spans="1:43" x14ac:dyDescent="0.35">
      <c r="A260" t="s">
        <v>41</v>
      </c>
      <c r="B260">
        <v>10</v>
      </c>
      <c r="C260">
        <v>2</v>
      </c>
      <c r="D260" t="s">
        <v>42</v>
      </c>
      <c r="E260">
        <v>2</v>
      </c>
      <c r="F260">
        <v>1</v>
      </c>
      <c r="G260" s="12">
        <v>66</v>
      </c>
      <c r="H260" s="12">
        <v>21.87</v>
      </c>
      <c r="I260" s="12">
        <v>1032</v>
      </c>
      <c r="J260" s="12">
        <v>27.901</v>
      </c>
      <c r="K260" s="12">
        <v>63.097999999999999</v>
      </c>
      <c r="L260" s="12">
        <v>0.55000000000000004</v>
      </c>
      <c r="M260" s="19">
        <v>567.22</v>
      </c>
      <c r="N260" s="12">
        <v>10.105</v>
      </c>
      <c r="O260" s="13">
        <v>8.5939999999999994</v>
      </c>
      <c r="P260" s="14">
        <v>66</v>
      </c>
      <c r="Q260" s="14">
        <v>27.901</v>
      </c>
      <c r="R260" s="14">
        <v>135.845</v>
      </c>
      <c r="S260" s="14">
        <v>431.375</v>
      </c>
      <c r="T260" s="10" t="b">
        <f t="shared" si="58"/>
        <v>1</v>
      </c>
      <c r="U260" s="10" t="b">
        <f t="shared" si="59"/>
        <v>1</v>
      </c>
      <c r="V260" s="11">
        <f>VLOOKUP(IF(J260&lt;10, 10, IF(J260&gt;50,50,J260)),'Over to underbark'!$A$3:$C$43,IF(A260="Scots pine",3,IF(A260="Sitka spruce",2, "error")),TRUE)/100</f>
        <v>0.85</v>
      </c>
      <c r="W260">
        <f t="shared" si="60"/>
        <v>103.921425</v>
      </c>
      <c r="X260">
        <f t="shared" si="61"/>
        <v>330.00187499999998</v>
      </c>
      <c r="Y260">
        <f t="shared" ref="Y260:Y296" si="62">(R260+S260)*0.9*(100%-V260)</f>
        <v>76.574700000000021</v>
      </c>
      <c r="Z260">
        <f t="shared" ref="Z260:Z485" si="63">(50%*Y260)+(46%*W260)+(15%*X260)+(43%*W260*10%)+(43%*W260*90%*5%)+(25%*X260*50%)+(60%*X260*8%)</f>
        <v>199.16131197375</v>
      </c>
      <c r="AA260">
        <f t="shared" ref="AA260:AA485" si="64">(50%*Y260)+(11%*W260)</f>
        <v>49.71870675000001</v>
      </c>
      <c r="AB260">
        <f t="shared" ref="AB260:AB485" si="65">(43%*W260*90%*95%)+(25%*X260*50%)</f>
        <v>79.456946276249994</v>
      </c>
      <c r="AC260">
        <f t="shared" ref="AC260:AC485" si="66">60%*X260*92%</f>
        <v>182.16103499999997</v>
      </c>
      <c r="AD260">
        <f>LOOKUP($A260,'Over to underbark'!$A$47:$A$48,'Over to underbark'!E$47:E$48)*Z260</f>
        <v>83.647751028974994</v>
      </c>
      <c r="AE260">
        <f>LOOKUP($A260,'Over to underbark'!$A$47:$A$48,'Over to underbark'!E$47:E$48)*AA260</f>
        <v>20.881856835000004</v>
      </c>
      <c r="AF260">
        <f>LOOKUP($A260,'Over to underbark'!$A$47:$A$48,'Over to underbark'!E$47:E$48)*AB260</f>
        <v>33.371917436024994</v>
      </c>
      <c r="AG260">
        <f>LOOKUP($A260,'Over to underbark'!$A$47:$A$48,'Over to underbark'!E$47:E$48)*AC260</f>
        <v>76.507634699999983</v>
      </c>
      <c r="AH260" t="b">
        <f t="shared" ref="AH260:AH485" si="67">SUM(W260:Y260)=SUM(Z260:AC260)</f>
        <v>1</v>
      </c>
      <c r="AI260" t="b">
        <f t="shared" ref="AI260:AI296" si="68">SUM(R260:S260)*0.9 = SUM(W260:Y260)</f>
        <v>1</v>
      </c>
      <c r="AJ260">
        <f>LOOKUP(A260,'Over to underbark'!$A$47:$A$48,'Over to underbark'!E$47:E$48)*M260</f>
        <v>238.23240000000001</v>
      </c>
      <c r="AK260" s="22">
        <f>LOOKUP(A260,'Over to underbark'!$A$47:$A$48,'Over to underbark'!$B$47:$B$48)*AJ260</f>
        <v>80.999016000000012</v>
      </c>
      <c r="AL260" s="22">
        <f>LOOKUP(A260,'Over to underbark'!$A$47:$A$48,'Over to underbark'!C$47:C$48)*AJ260</f>
        <v>83.381339999999994</v>
      </c>
      <c r="AM260" s="22">
        <f t="shared" ref="AM260:AM485" si="69">AJ260+AK260</f>
        <v>319.23141600000002</v>
      </c>
      <c r="AN260" s="36">
        <v>760.07</v>
      </c>
      <c r="AO260" s="23">
        <f t="shared" ref="AO260:AO485" si="70">AM260*2</f>
        <v>638.46283200000005</v>
      </c>
      <c r="AQ260">
        <f t="shared" ref="AQ260:AQ323" si="71">(AD260+AE260+AF260+AG260)/AM260</f>
        <v>0.67164179104477606</v>
      </c>
    </row>
    <row r="261" spans="1:43" x14ac:dyDescent="0.35">
      <c r="A261" t="s">
        <v>41</v>
      </c>
      <c r="B261">
        <v>10</v>
      </c>
      <c r="C261">
        <v>2</v>
      </c>
      <c r="D261" t="s">
        <v>42</v>
      </c>
      <c r="E261">
        <v>2</v>
      </c>
      <c r="F261">
        <v>1</v>
      </c>
      <c r="G261" s="12">
        <v>67</v>
      </c>
      <c r="H261" s="12">
        <v>22.07</v>
      </c>
      <c r="I261" s="12">
        <v>1016</v>
      </c>
      <c r="J261" s="12">
        <v>28.23</v>
      </c>
      <c r="K261" s="12">
        <v>63.591999999999999</v>
      </c>
      <c r="L261" s="12">
        <v>0.56699999999999995</v>
      </c>
      <c r="M261" s="19">
        <v>576.20000000000005</v>
      </c>
      <c r="N261" s="12">
        <v>10.333</v>
      </c>
      <c r="O261" s="13">
        <v>8.6</v>
      </c>
      <c r="P261" s="14">
        <v>67</v>
      </c>
      <c r="Q261" s="14">
        <v>28.23</v>
      </c>
      <c r="R261" s="14">
        <v>132.69900000000001</v>
      </c>
      <c r="S261" s="14">
        <v>443.50099999999998</v>
      </c>
      <c r="T261" s="10" t="b">
        <f t="shared" si="58"/>
        <v>1</v>
      </c>
      <c r="U261" s="10" t="b">
        <f t="shared" si="59"/>
        <v>1</v>
      </c>
      <c r="V261" s="11">
        <f>VLOOKUP(IF(J261&lt;10, 10, IF(J261&gt;50,50,J261)),'Over to underbark'!$A$3:$C$43,IF(A261="Scots pine",3,IF(A261="Sitka spruce",2, "error")),TRUE)/100</f>
        <v>0.85</v>
      </c>
      <c r="W261">
        <f t="shared" si="60"/>
        <v>101.51473500000002</v>
      </c>
      <c r="X261">
        <f t="shared" si="61"/>
        <v>339.27826499999998</v>
      </c>
      <c r="Y261">
        <f t="shared" si="62"/>
        <v>77.78700000000002</v>
      </c>
      <c r="Z261">
        <f t="shared" si="63"/>
        <v>201.50660142225001</v>
      </c>
      <c r="AA261">
        <f t="shared" si="64"/>
        <v>50.060120850000011</v>
      </c>
      <c r="AB261">
        <f t="shared" si="65"/>
        <v>79.731675447750007</v>
      </c>
      <c r="AC261">
        <f t="shared" si="66"/>
        <v>187.28160227999999</v>
      </c>
      <c r="AD261">
        <f>LOOKUP($A261,'Over to underbark'!$A$47:$A$48,'Over to underbark'!E$47:E$48)*Z261</f>
        <v>84.632772597344996</v>
      </c>
      <c r="AE261">
        <f>LOOKUP($A261,'Over to underbark'!$A$47:$A$48,'Over to underbark'!E$47:E$48)*AA261</f>
        <v>21.025250757000006</v>
      </c>
      <c r="AF261">
        <f>LOOKUP($A261,'Over to underbark'!$A$47:$A$48,'Over to underbark'!E$47:E$48)*AB261</f>
        <v>33.487303688055</v>
      </c>
      <c r="AG261">
        <f>LOOKUP($A261,'Over to underbark'!$A$47:$A$48,'Over to underbark'!E$47:E$48)*AC261</f>
        <v>78.658272957599991</v>
      </c>
      <c r="AH261" t="b">
        <f t="shared" si="67"/>
        <v>1</v>
      </c>
      <c r="AI261" t="b">
        <f t="shared" si="68"/>
        <v>1</v>
      </c>
      <c r="AJ261">
        <f>LOOKUP(A261,'Over to underbark'!$A$47:$A$48,'Over to underbark'!E$47:E$48)*M261</f>
        <v>242.00400000000002</v>
      </c>
      <c r="AK261" s="22">
        <f>LOOKUP(A261,'Over to underbark'!$A$47:$A$48,'Over to underbark'!$B$47:$B$48)*AJ261</f>
        <v>82.281360000000006</v>
      </c>
      <c r="AL261" s="22">
        <f>LOOKUP(A261,'Over to underbark'!$A$47:$A$48,'Over to underbark'!C$47:C$48)*AJ261</f>
        <v>84.701400000000007</v>
      </c>
      <c r="AM261" s="22">
        <f t="shared" si="69"/>
        <v>324.28536000000003</v>
      </c>
      <c r="AN261" s="36">
        <v>772.11</v>
      </c>
      <c r="AO261" s="23">
        <f t="shared" si="70"/>
        <v>648.57072000000005</v>
      </c>
      <c r="AQ261">
        <f t="shared" si="71"/>
        <v>0.67164179104477606</v>
      </c>
    </row>
    <row r="262" spans="1:43" x14ac:dyDescent="0.35">
      <c r="A262" t="s">
        <v>41</v>
      </c>
      <c r="B262">
        <v>10</v>
      </c>
      <c r="C262">
        <v>2</v>
      </c>
      <c r="D262" t="s">
        <v>42</v>
      </c>
      <c r="E262">
        <v>2</v>
      </c>
      <c r="F262">
        <v>1</v>
      </c>
      <c r="G262" s="12">
        <v>68</v>
      </c>
      <c r="H262" s="12">
        <v>22.245999999999999</v>
      </c>
      <c r="I262" s="12">
        <v>1004</v>
      </c>
      <c r="J262" s="12">
        <v>28.504000000000001</v>
      </c>
      <c r="K262" s="12">
        <v>64.066000000000003</v>
      </c>
      <c r="L262" s="12">
        <v>0.58199999999999996</v>
      </c>
      <c r="M262" s="19">
        <v>584.46</v>
      </c>
      <c r="N262" s="12">
        <v>10.515000000000001</v>
      </c>
      <c r="O262" s="13">
        <v>8.5950000000000006</v>
      </c>
      <c r="P262" s="14">
        <v>68</v>
      </c>
      <c r="Q262" s="14">
        <v>28.504000000000001</v>
      </c>
      <c r="R262" s="14">
        <v>130.267</v>
      </c>
      <c r="S262" s="14">
        <v>454.19299999999998</v>
      </c>
      <c r="T262" s="10" t="b">
        <f t="shared" si="58"/>
        <v>1</v>
      </c>
      <c r="U262" s="10" t="b">
        <f t="shared" si="59"/>
        <v>1</v>
      </c>
      <c r="V262" s="11">
        <f>VLOOKUP(IF(J262&lt;10, 10, IF(J262&gt;50,50,J262)),'Over to underbark'!$A$3:$C$43,IF(A262="Scots pine",3,IF(A262="Sitka spruce",2, "error")),TRUE)/100</f>
        <v>0.85</v>
      </c>
      <c r="W262">
        <f t="shared" si="60"/>
        <v>99.654255000000006</v>
      </c>
      <c r="X262">
        <f t="shared" si="61"/>
        <v>347.45764500000001</v>
      </c>
      <c r="Y262">
        <f t="shared" si="62"/>
        <v>78.902100000000019</v>
      </c>
      <c r="Z262">
        <f t="shared" si="63"/>
        <v>203.73426943425002</v>
      </c>
      <c r="AA262">
        <f t="shared" si="64"/>
        <v>50.413018050000012</v>
      </c>
      <c r="AB262">
        <f t="shared" si="65"/>
        <v>80.070092475750002</v>
      </c>
      <c r="AC262">
        <f t="shared" si="66"/>
        <v>191.79662004000002</v>
      </c>
      <c r="AD262">
        <f>LOOKUP($A262,'Over to underbark'!$A$47:$A$48,'Over to underbark'!E$47:E$48)*Z262</f>
        <v>85.568393162385007</v>
      </c>
      <c r="AE262">
        <f>LOOKUP($A262,'Over to underbark'!$A$47:$A$48,'Over to underbark'!E$47:E$48)*AA262</f>
        <v>21.173467581000004</v>
      </c>
      <c r="AF262">
        <f>LOOKUP($A262,'Over to underbark'!$A$47:$A$48,'Over to underbark'!E$47:E$48)*AB262</f>
        <v>33.629438839815002</v>
      </c>
      <c r="AG262">
        <f>LOOKUP($A262,'Over to underbark'!$A$47:$A$48,'Over to underbark'!E$47:E$48)*AC262</f>
        <v>80.554580416800007</v>
      </c>
      <c r="AH262" t="b">
        <f t="shared" si="67"/>
        <v>1</v>
      </c>
      <c r="AI262" t="b">
        <f t="shared" si="68"/>
        <v>1</v>
      </c>
      <c r="AJ262">
        <f>LOOKUP(A262,'Over to underbark'!$A$47:$A$48,'Over to underbark'!E$47:E$48)*M262</f>
        <v>245.47320000000002</v>
      </c>
      <c r="AK262" s="22">
        <f>LOOKUP(A262,'Over to underbark'!$A$47:$A$48,'Over to underbark'!$B$47:$B$48)*AJ262</f>
        <v>83.460888000000011</v>
      </c>
      <c r="AL262" s="22">
        <f>LOOKUP(A262,'Over to underbark'!$A$47:$A$48,'Over to underbark'!C$47:C$48)*AJ262</f>
        <v>85.915620000000004</v>
      </c>
      <c r="AM262" s="22">
        <f t="shared" si="69"/>
        <v>328.93408800000003</v>
      </c>
      <c r="AN262" s="36">
        <v>783.18</v>
      </c>
      <c r="AO262" s="23">
        <f t="shared" si="70"/>
        <v>657.86817600000006</v>
      </c>
      <c r="AQ262">
        <f t="shared" si="71"/>
        <v>0.67164179104477617</v>
      </c>
    </row>
    <row r="263" spans="1:43" x14ac:dyDescent="0.35">
      <c r="A263" t="s">
        <v>41</v>
      </c>
      <c r="B263">
        <v>10</v>
      </c>
      <c r="C263">
        <v>2</v>
      </c>
      <c r="D263" t="s">
        <v>42</v>
      </c>
      <c r="E263">
        <v>2</v>
      </c>
      <c r="F263">
        <v>1</v>
      </c>
      <c r="G263" s="12">
        <v>69</v>
      </c>
      <c r="H263" s="12">
        <v>22.422000000000001</v>
      </c>
      <c r="I263" s="12">
        <v>992</v>
      </c>
      <c r="J263" s="12">
        <v>28.777999999999999</v>
      </c>
      <c r="K263" s="12">
        <v>64.540000000000006</v>
      </c>
      <c r="L263" s="12">
        <v>0.59699999999999998</v>
      </c>
      <c r="M263" s="19">
        <v>592.72</v>
      </c>
      <c r="N263" s="12">
        <v>10.692</v>
      </c>
      <c r="O263" s="13">
        <v>8.59</v>
      </c>
      <c r="P263" s="14">
        <v>69</v>
      </c>
      <c r="Q263" s="14">
        <v>28.777999999999999</v>
      </c>
      <c r="R263" s="14">
        <v>127.839</v>
      </c>
      <c r="S263" s="14">
        <v>464.88099999999997</v>
      </c>
      <c r="T263" s="10" t="b">
        <f t="shared" si="58"/>
        <v>1</v>
      </c>
      <c r="U263" s="10" t="b">
        <f t="shared" si="59"/>
        <v>1</v>
      </c>
      <c r="V263" s="11">
        <f>VLOOKUP(IF(J263&lt;10, 10, IF(J263&gt;50,50,J263)),'Over to underbark'!$A$3:$C$43,IF(A263="Scots pine",3,IF(A263="Sitka spruce",2, "error")),TRUE)/100</f>
        <v>0.85</v>
      </c>
      <c r="W263">
        <f t="shared" si="60"/>
        <v>97.796834999999987</v>
      </c>
      <c r="X263">
        <f t="shared" si="61"/>
        <v>355.63396499999999</v>
      </c>
      <c r="Y263">
        <f t="shared" si="62"/>
        <v>80.017200000000031</v>
      </c>
      <c r="Z263">
        <f t="shared" si="63"/>
        <v>205.96254745725003</v>
      </c>
      <c r="AA263">
        <f t="shared" si="64"/>
        <v>50.766251850000017</v>
      </c>
      <c r="AB263">
        <f t="shared" si="65"/>
        <v>80.409252012749988</v>
      </c>
      <c r="AC263">
        <f t="shared" si="66"/>
        <v>196.30994867999999</v>
      </c>
      <c r="AD263">
        <f>LOOKUP($A263,'Over to underbark'!$A$47:$A$48,'Over to underbark'!E$47:E$48)*Z263</f>
        <v>86.504269932045005</v>
      </c>
      <c r="AE263">
        <f>LOOKUP($A263,'Over to underbark'!$A$47:$A$48,'Over to underbark'!E$47:E$48)*AA263</f>
        <v>21.321825777000008</v>
      </c>
      <c r="AF263">
        <f>LOOKUP($A263,'Over to underbark'!$A$47:$A$48,'Over to underbark'!E$47:E$48)*AB263</f>
        <v>33.771885845354994</v>
      </c>
      <c r="AG263">
        <f>LOOKUP($A263,'Over to underbark'!$A$47:$A$48,'Over to underbark'!E$47:E$48)*AC263</f>
        <v>82.450178445599988</v>
      </c>
      <c r="AH263" t="b">
        <f t="shared" si="67"/>
        <v>1</v>
      </c>
      <c r="AI263" t="b">
        <f t="shared" si="68"/>
        <v>1</v>
      </c>
      <c r="AJ263">
        <f>LOOKUP(A263,'Over to underbark'!$A$47:$A$48,'Over to underbark'!E$47:E$48)*M263</f>
        <v>248.94239999999999</v>
      </c>
      <c r="AK263" s="22">
        <f>LOOKUP(A263,'Over to underbark'!$A$47:$A$48,'Over to underbark'!$B$47:$B$48)*AJ263</f>
        <v>84.640416000000002</v>
      </c>
      <c r="AL263" s="22">
        <f>LOOKUP(A263,'Over to underbark'!$A$47:$A$48,'Over to underbark'!C$47:C$48)*AJ263</f>
        <v>87.129839999999987</v>
      </c>
      <c r="AM263" s="22">
        <f t="shared" si="69"/>
        <v>333.58281599999998</v>
      </c>
      <c r="AN263" s="36">
        <v>794.24</v>
      </c>
      <c r="AO263" s="23">
        <f t="shared" si="70"/>
        <v>667.16563199999996</v>
      </c>
      <c r="AQ263">
        <f t="shared" si="71"/>
        <v>0.67164179104477617</v>
      </c>
    </row>
    <row r="264" spans="1:43" x14ac:dyDescent="0.35">
      <c r="A264" t="s">
        <v>41</v>
      </c>
      <c r="B264">
        <v>10</v>
      </c>
      <c r="C264">
        <v>2</v>
      </c>
      <c r="D264" t="s">
        <v>42</v>
      </c>
      <c r="E264">
        <v>2</v>
      </c>
      <c r="F264">
        <v>1</v>
      </c>
      <c r="G264" s="12">
        <v>70</v>
      </c>
      <c r="H264" s="12">
        <v>22.597999999999999</v>
      </c>
      <c r="I264" s="12">
        <v>980</v>
      </c>
      <c r="J264" s="12">
        <v>29.058</v>
      </c>
      <c r="K264" s="12">
        <v>65.013000000000005</v>
      </c>
      <c r="L264" s="12">
        <v>0.61299999999999999</v>
      </c>
      <c r="M264" s="19">
        <v>600.98</v>
      </c>
      <c r="N264" s="12">
        <v>10.863</v>
      </c>
      <c r="O264" s="13">
        <v>8.5850000000000009</v>
      </c>
      <c r="P264" s="14">
        <v>70</v>
      </c>
      <c r="Q264" s="14">
        <v>29.058</v>
      </c>
      <c r="R264" s="14">
        <v>125.327</v>
      </c>
      <c r="S264" s="14">
        <v>475.65300000000002</v>
      </c>
      <c r="T264" s="10" t="b">
        <f t="shared" si="58"/>
        <v>1</v>
      </c>
      <c r="U264" s="10" t="b">
        <f t="shared" si="59"/>
        <v>1</v>
      </c>
      <c r="V264" s="11">
        <f>VLOOKUP(IF(J264&lt;10, 10, IF(J264&gt;50,50,J264)),'Over to underbark'!$A$3:$C$43,IF(A264="Scots pine",3,IF(A264="Sitka spruce",2, "error")),TRUE)/100</f>
        <v>0.85</v>
      </c>
      <c r="W264">
        <f t="shared" si="60"/>
        <v>95.875155000000007</v>
      </c>
      <c r="X264">
        <f t="shared" si="61"/>
        <v>363.87454500000001</v>
      </c>
      <c r="Y264">
        <f t="shared" si="62"/>
        <v>81.132300000000015</v>
      </c>
      <c r="Z264">
        <f t="shared" si="63"/>
        <v>208.17801524924997</v>
      </c>
      <c r="AA264">
        <f t="shared" si="64"/>
        <v>51.112417050000005</v>
      </c>
      <c r="AB264">
        <f t="shared" si="65"/>
        <v>80.732818860750001</v>
      </c>
      <c r="AC264">
        <f t="shared" si="66"/>
        <v>200.85874884</v>
      </c>
      <c r="AD264">
        <f>LOOKUP($A264,'Over to underbark'!$A$47:$A$48,'Over to underbark'!E$47:E$48)*Z264</f>
        <v>87.434766404684979</v>
      </c>
      <c r="AE264">
        <f>LOOKUP($A264,'Over to underbark'!$A$47:$A$48,'Over to underbark'!E$47:E$48)*AA264</f>
        <v>21.467215161000002</v>
      </c>
      <c r="AF264">
        <f>LOOKUP($A264,'Over to underbark'!$A$47:$A$48,'Over to underbark'!E$47:E$48)*AB264</f>
        <v>33.907783921514998</v>
      </c>
      <c r="AG264">
        <f>LOOKUP($A264,'Over to underbark'!$A$47:$A$48,'Over to underbark'!E$47:E$48)*AC264</f>
        <v>84.360674512800003</v>
      </c>
      <c r="AH264" t="b">
        <f t="shared" si="67"/>
        <v>1</v>
      </c>
      <c r="AI264" t="b">
        <f t="shared" si="68"/>
        <v>1</v>
      </c>
      <c r="AJ264">
        <f>LOOKUP(A264,'Over to underbark'!$A$47:$A$48,'Over to underbark'!E$47:E$48)*M264</f>
        <v>252.41159999999999</v>
      </c>
      <c r="AK264" s="22">
        <f>LOOKUP(A264,'Over to underbark'!$A$47:$A$48,'Over to underbark'!$B$47:$B$48)*AJ264</f>
        <v>85.819944000000007</v>
      </c>
      <c r="AL264" s="22">
        <f>LOOKUP(A264,'Over to underbark'!$A$47:$A$48,'Over to underbark'!C$47:C$48)*AJ264</f>
        <v>88.344059999999999</v>
      </c>
      <c r="AM264" s="22">
        <f t="shared" si="69"/>
        <v>338.23154399999999</v>
      </c>
      <c r="AN264" s="36">
        <v>805.31</v>
      </c>
      <c r="AO264" s="23">
        <f t="shared" si="70"/>
        <v>676.46308799999997</v>
      </c>
      <c r="AQ264">
        <f t="shared" si="71"/>
        <v>0.67164179104477606</v>
      </c>
    </row>
    <row r="265" spans="1:43" x14ac:dyDescent="0.35">
      <c r="A265" t="s">
        <v>41</v>
      </c>
      <c r="B265">
        <v>10</v>
      </c>
      <c r="C265">
        <v>2</v>
      </c>
      <c r="D265" t="s">
        <v>42</v>
      </c>
      <c r="E265">
        <v>2</v>
      </c>
      <c r="F265">
        <v>1</v>
      </c>
      <c r="G265" s="12">
        <v>71</v>
      </c>
      <c r="H265" s="12">
        <v>22.774000000000001</v>
      </c>
      <c r="I265" s="12">
        <v>968</v>
      </c>
      <c r="J265" s="12">
        <v>29.341999999999999</v>
      </c>
      <c r="K265" s="12">
        <v>65.486999999999995</v>
      </c>
      <c r="L265" s="12">
        <v>0.629</v>
      </c>
      <c r="M265" s="19">
        <v>609.24</v>
      </c>
      <c r="N265" s="12">
        <v>11.029</v>
      </c>
      <c r="O265" s="13">
        <v>8.5809999999999995</v>
      </c>
      <c r="P265" s="14">
        <v>71</v>
      </c>
      <c r="Q265" s="14">
        <v>29.341999999999999</v>
      </c>
      <c r="R265" s="14">
        <v>122.767</v>
      </c>
      <c r="S265" s="14">
        <v>486.47300000000001</v>
      </c>
      <c r="T265" s="10" t="b">
        <f t="shared" si="58"/>
        <v>1</v>
      </c>
      <c r="U265" s="10" t="b">
        <f t="shared" si="59"/>
        <v>1</v>
      </c>
      <c r="V265" s="11">
        <f>VLOOKUP(IF(J265&lt;10, 10, IF(J265&gt;50,50,J265)),'Over to underbark'!$A$3:$C$43,IF(A265="Scots pine",3,IF(A265="Sitka spruce",2, "error")),TRUE)/100</f>
        <v>0.85</v>
      </c>
      <c r="W265">
        <f t="shared" si="60"/>
        <v>93.916754999999995</v>
      </c>
      <c r="X265">
        <f t="shared" si="61"/>
        <v>372.15184500000004</v>
      </c>
      <c r="Y265">
        <f t="shared" si="62"/>
        <v>82.247400000000013</v>
      </c>
      <c r="Z265">
        <f t="shared" si="63"/>
        <v>210.38616290925</v>
      </c>
      <c r="AA265">
        <f t="shared" si="64"/>
        <v>51.454543050000005</v>
      </c>
      <c r="AB265">
        <f t="shared" si="65"/>
        <v>81.047475600750005</v>
      </c>
      <c r="AC265">
        <f t="shared" si="66"/>
        <v>205.42781844000001</v>
      </c>
      <c r="AD265">
        <f>LOOKUP($A265,'Over to underbark'!$A$47:$A$48,'Over to underbark'!E$47:E$48)*Z265</f>
        <v>88.362188421884994</v>
      </c>
      <c r="AE265">
        <f>LOOKUP($A265,'Over to underbark'!$A$47:$A$48,'Over to underbark'!E$47:E$48)*AA265</f>
        <v>21.610908081000002</v>
      </c>
      <c r="AF265">
        <f>LOOKUP($A265,'Over to underbark'!$A$47:$A$48,'Over to underbark'!E$47:E$48)*AB265</f>
        <v>34.039939752315</v>
      </c>
      <c r="AG265">
        <f>LOOKUP($A265,'Over to underbark'!$A$47:$A$48,'Over to underbark'!E$47:E$48)*AC265</f>
        <v>86.279683744799996</v>
      </c>
      <c r="AH265" t="b">
        <f t="shared" si="67"/>
        <v>1</v>
      </c>
      <c r="AI265" t="b">
        <f t="shared" si="68"/>
        <v>1</v>
      </c>
      <c r="AJ265">
        <f>LOOKUP(A265,'Over to underbark'!$A$47:$A$48,'Over to underbark'!E$47:E$48)*M265</f>
        <v>255.88079999999999</v>
      </c>
      <c r="AK265" s="22">
        <f>LOOKUP(A265,'Over to underbark'!$A$47:$A$48,'Over to underbark'!$B$47:$B$48)*AJ265</f>
        <v>86.999471999999997</v>
      </c>
      <c r="AL265" s="22">
        <f>LOOKUP(A265,'Over to underbark'!$A$47:$A$48,'Over to underbark'!C$47:C$48)*AJ265</f>
        <v>89.558279999999996</v>
      </c>
      <c r="AM265" s="22">
        <f t="shared" si="69"/>
        <v>342.88027199999999</v>
      </c>
      <c r="AN265" s="36">
        <v>816.38</v>
      </c>
      <c r="AO265" s="23">
        <f t="shared" si="70"/>
        <v>685.76054399999998</v>
      </c>
      <c r="AQ265">
        <f t="shared" si="71"/>
        <v>0.67164179104477617</v>
      </c>
    </row>
    <row r="266" spans="1:43" x14ac:dyDescent="0.35">
      <c r="A266" t="s">
        <v>41</v>
      </c>
      <c r="B266">
        <v>10</v>
      </c>
      <c r="C266">
        <v>2</v>
      </c>
      <c r="D266" t="s">
        <v>42</v>
      </c>
      <c r="E266">
        <v>2</v>
      </c>
      <c r="F266">
        <v>1</v>
      </c>
      <c r="G266" s="12">
        <v>72</v>
      </c>
      <c r="H266" s="12">
        <v>22.95</v>
      </c>
      <c r="I266" s="12">
        <v>957</v>
      </c>
      <c r="J266" s="12">
        <v>29.63</v>
      </c>
      <c r="K266" s="12">
        <v>65.959999999999994</v>
      </c>
      <c r="L266" s="12">
        <v>0.64600000000000002</v>
      </c>
      <c r="M266" s="19">
        <v>617.5</v>
      </c>
      <c r="N266" s="12">
        <v>11.189</v>
      </c>
      <c r="O266" s="13">
        <v>8.5760000000000005</v>
      </c>
      <c r="P266" s="14">
        <v>72</v>
      </c>
      <c r="Q266" s="14">
        <v>29.63</v>
      </c>
      <c r="R266" s="14">
        <v>120.16500000000001</v>
      </c>
      <c r="S266" s="14">
        <v>497.33499999999998</v>
      </c>
      <c r="T266" s="10" t="b">
        <f t="shared" si="58"/>
        <v>1</v>
      </c>
      <c r="U266" s="10" t="b">
        <f t="shared" si="59"/>
        <v>1</v>
      </c>
      <c r="V266" s="11">
        <f>VLOOKUP(IF(J266&lt;10, 10, IF(J266&gt;50,50,J266)),'Over to underbark'!$A$3:$C$43,IF(A266="Scots pine",3,IF(A266="Sitka spruce",2, "error")),TRUE)/100</f>
        <v>0.85</v>
      </c>
      <c r="W266">
        <f t="shared" si="60"/>
        <v>91.926225000000002</v>
      </c>
      <c r="X266">
        <f t="shared" si="61"/>
        <v>380.461275</v>
      </c>
      <c r="Y266">
        <f t="shared" si="62"/>
        <v>83.362500000000011</v>
      </c>
      <c r="Z266">
        <f t="shared" si="63"/>
        <v>212.58790545375004</v>
      </c>
      <c r="AA266">
        <f t="shared" si="64"/>
        <v>51.793134750000007</v>
      </c>
      <c r="AB266">
        <f t="shared" si="65"/>
        <v>81.354335996250001</v>
      </c>
      <c r="AC266">
        <f t="shared" si="66"/>
        <v>210.01462379999998</v>
      </c>
      <c r="AD266">
        <f>LOOKUP($A266,'Over to underbark'!$A$47:$A$48,'Over to underbark'!E$47:E$48)*Z266</f>
        <v>89.286920290575011</v>
      </c>
      <c r="AE266">
        <f>LOOKUP($A266,'Over to underbark'!$A$47:$A$48,'Over to underbark'!E$47:E$48)*AA266</f>
        <v>21.753116595000002</v>
      </c>
      <c r="AF266">
        <f>LOOKUP($A266,'Over to underbark'!$A$47:$A$48,'Over to underbark'!E$47:E$48)*AB266</f>
        <v>34.168821118425001</v>
      </c>
      <c r="AG266">
        <f>LOOKUP($A266,'Over to underbark'!$A$47:$A$48,'Over to underbark'!E$47:E$48)*AC266</f>
        <v>88.206141995999985</v>
      </c>
      <c r="AH266" t="b">
        <f t="shared" si="67"/>
        <v>1</v>
      </c>
      <c r="AI266" t="b">
        <f t="shared" si="68"/>
        <v>1</v>
      </c>
      <c r="AJ266">
        <f>LOOKUP(A266,'Over to underbark'!$A$47:$A$48,'Over to underbark'!E$47:E$48)*M266</f>
        <v>259.34999999999997</v>
      </c>
      <c r="AK266" s="22">
        <f>LOOKUP(A266,'Over to underbark'!$A$47:$A$48,'Over to underbark'!$B$47:$B$48)*AJ266</f>
        <v>88.178999999999988</v>
      </c>
      <c r="AL266" s="22">
        <f>LOOKUP(A266,'Over to underbark'!$A$47:$A$48,'Over to underbark'!C$47:C$48)*AJ266</f>
        <v>90.77249999999998</v>
      </c>
      <c r="AM266" s="22">
        <f t="shared" si="69"/>
        <v>347.52899999999994</v>
      </c>
      <c r="AN266" s="36">
        <v>827.45</v>
      </c>
      <c r="AO266" s="23">
        <f t="shared" si="70"/>
        <v>695.05799999999988</v>
      </c>
      <c r="AQ266">
        <f t="shared" si="71"/>
        <v>0.67164179104477617</v>
      </c>
    </row>
    <row r="267" spans="1:43" x14ac:dyDescent="0.35">
      <c r="A267" t="s">
        <v>41</v>
      </c>
      <c r="B267">
        <v>10</v>
      </c>
      <c r="C267">
        <v>2</v>
      </c>
      <c r="D267" t="s">
        <v>42</v>
      </c>
      <c r="E267">
        <v>2</v>
      </c>
      <c r="F267">
        <v>1</v>
      </c>
      <c r="G267" s="12">
        <v>73</v>
      </c>
      <c r="H267" s="12">
        <v>23.106000000000002</v>
      </c>
      <c r="I267" s="12">
        <v>947</v>
      </c>
      <c r="J267" s="12">
        <v>29.873999999999999</v>
      </c>
      <c r="K267" s="12">
        <v>66.370999999999995</v>
      </c>
      <c r="L267" s="12">
        <v>0.66</v>
      </c>
      <c r="M267" s="19">
        <v>624.94000000000005</v>
      </c>
      <c r="N267" s="12">
        <v>11.327999999999999</v>
      </c>
      <c r="O267" s="13">
        <v>8.5609999999999999</v>
      </c>
      <c r="P267" s="14">
        <v>73</v>
      </c>
      <c r="Q267" s="14">
        <v>29.873999999999999</v>
      </c>
      <c r="R267" s="14">
        <v>118.06100000000001</v>
      </c>
      <c r="S267" s="14">
        <v>506.87900000000002</v>
      </c>
      <c r="T267" s="10" t="b">
        <f t="shared" si="58"/>
        <v>1</v>
      </c>
      <c r="U267" s="10" t="b">
        <f t="shared" si="59"/>
        <v>1</v>
      </c>
      <c r="V267" s="11">
        <f>VLOOKUP(IF(J267&lt;10, 10, IF(J267&gt;50,50,J267)),'Over to underbark'!$A$3:$C$43,IF(A267="Scots pine",3,IF(A267="Sitka spruce",2, "error")),TRUE)/100</f>
        <v>0.85</v>
      </c>
      <c r="W267">
        <f t="shared" si="60"/>
        <v>90.316665</v>
      </c>
      <c r="X267">
        <f t="shared" si="61"/>
        <v>387.76243499999998</v>
      </c>
      <c r="Y267">
        <f t="shared" si="62"/>
        <v>84.366900000000015</v>
      </c>
      <c r="Z267">
        <f t="shared" si="63"/>
        <v>214.60762646775004</v>
      </c>
      <c r="AA267">
        <f t="shared" si="64"/>
        <v>52.118283150000011</v>
      </c>
      <c r="AB267">
        <f t="shared" si="65"/>
        <v>81.675226262249993</v>
      </c>
      <c r="AC267">
        <f t="shared" si="66"/>
        <v>214.04486412</v>
      </c>
      <c r="AD267">
        <f>LOOKUP($A267,'Over to underbark'!$A$47:$A$48,'Over to underbark'!E$47:E$48)*Z267</f>
        <v>90.135203116455017</v>
      </c>
      <c r="AE267">
        <f>LOOKUP($A267,'Over to underbark'!$A$47:$A$48,'Over to underbark'!E$47:E$48)*AA267</f>
        <v>21.889678923000005</v>
      </c>
      <c r="AF267">
        <f>LOOKUP($A267,'Over to underbark'!$A$47:$A$48,'Over to underbark'!E$47:E$48)*AB267</f>
        <v>34.303595030144997</v>
      </c>
      <c r="AG267">
        <f>LOOKUP($A267,'Over to underbark'!$A$47:$A$48,'Over to underbark'!E$47:E$48)*AC267</f>
        <v>89.898842930399994</v>
      </c>
      <c r="AH267" t="b">
        <f t="shared" si="67"/>
        <v>1</v>
      </c>
      <c r="AI267" t="b">
        <f t="shared" si="68"/>
        <v>1</v>
      </c>
      <c r="AJ267">
        <f>LOOKUP(A267,'Over to underbark'!$A$47:$A$48,'Over to underbark'!E$47:E$48)*M267</f>
        <v>262.47480000000002</v>
      </c>
      <c r="AK267" s="22">
        <f>LOOKUP(A267,'Over to underbark'!$A$47:$A$48,'Over to underbark'!$B$47:$B$48)*AJ267</f>
        <v>89.241432000000017</v>
      </c>
      <c r="AL267" s="22">
        <f>LOOKUP(A267,'Over to underbark'!$A$47:$A$48,'Over to underbark'!C$47:C$48)*AJ267</f>
        <v>91.86618</v>
      </c>
      <c r="AM267" s="22">
        <f t="shared" si="69"/>
        <v>351.71623200000005</v>
      </c>
      <c r="AN267" s="36">
        <v>837.42</v>
      </c>
      <c r="AO267" s="23">
        <f t="shared" si="70"/>
        <v>703.4324640000001</v>
      </c>
      <c r="AQ267">
        <f t="shared" si="71"/>
        <v>0.67164179104477606</v>
      </c>
    </row>
    <row r="268" spans="1:43" x14ac:dyDescent="0.35">
      <c r="A268" t="s">
        <v>41</v>
      </c>
      <c r="B268">
        <v>10</v>
      </c>
      <c r="C268">
        <v>2</v>
      </c>
      <c r="D268" t="s">
        <v>42</v>
      </c>
      <c r="E268">
        <v>2</v>
      </c>
      <c r="F268">
        <v>1</v>
      </c>
      <c r="G268" s="12">
        <v>74</v>
      </c>
      <c r="H268" s="12">
        <v>23.262</v>
      </c>
      <c r="I268" s="12">
        <v>937</v>
      </c>
      <c r="J268" s="12">
        <v>30.120999999999999</v>
      </c>
      <c r="K268" s="12">
        <v>66.781000000000006</v>
      </c>
      <c r="L268" s="12">
        <v>0.67500000000000004</v>
      </c>
      <c r="M268" s="19">
        <v>632.38</v>
      </c>
      <c r="N268" s="12">
        <v>11.464</v>
      </c>
      <c r="O268" s="13">
        <v>8.5459999999999994</v>
      </c>
      <c r="P268" s="14">
        <v>74</v>
      </c>
      <c r="Q268" s="14">
        <v>30.120999999999999</v>
      </c>
      <c r="R268" s="14">
        <v>115.925</v>
      </c>
      <c r="S268" s="14">
        <v>516.45500000000004</v>
      </c>
      <c r="T268" s="10" t="b">
        <f t="shared" si="58"/>
        <v>1</v>
      </c>
      <c r="U268" s="10" t="b">
        <f t="shared" si="59"/>
        <v>1</v>
      </c>
      <c r="V268" s="11">
        <f>VLOOKUP(IF(J268&lt;10, 10, IF(J268&gt;50,50,J268)),'Over to underbark'!$A$3:$C$43,IF(A268="Scots pine",3,IF(A268="Sitka spruce",2, "error")),TRUE)/100</f>
        <v>0.85</v>
      </c>
      <c r="W268">
        <f t="shared" si="60"/>
        <v>88.682624999999987</v>
      </c>
      <c r="X268">
        <f t="shared" si="61"/>
        <v>395.08807500000006</v>
      </c>
      <c r="Y268">
        <f t="shared" si="62"/>
        <v>85.371300000000019</v>
      </c>
      <c r="Z268">
        <f t="shared" si="63"/>
        <v>216.62246739375001</v>
      </c>
      <c r="AA268">
        <f t="shared" si="64"/>
        <v>52.440738750000008</v>
      </c>
      <c r="AB268">
        <f t="shared" si="65"/>
        <v>81.990176456249998</v>
      </c>
      <c r="AC268">
        <f t="shared" si="66"/>
        <v>218.08861740000003</v>
      </c>
      <c r="AD268">
        <f>LOOKUP($A268,'Over to underbark'!$A$47:$A$48,'Over to underbark'!E$47:E$48)*Z268</f>
        <v>90.981436305374999</v>
      </c>
      <c r="AE268">
        <f>LOOKUP($A268,'Over to underbark'!$A$47:$A$48,'Over to underbark'!E$47:E$48)*AA268</f>
        <v>22.025110275000003</v>
      </c>
      <c r="AF268">
        <f>LOOKUP($A268,'Over to underbark'!$A$47:$A$48,'Over to underbark'!E$47:E$48)*AB268</f>
        <v>34.435874111624997</v>
      </c>
      <c r="AG268">
        <f>LOOKUP($A268,'Over to underbark'!$A$47:$A$48,'Over to underbark'!E$47:E$48)*AC268</f>
        <v>91.597219308000007</v>
      </c>
      <c r="AH268" t="b">
        <f t="shared" si="67"/>
        <v>1</v>
      </c>
      <c r="AI268" t="b">
        <f t="shared" si="68"/>
        <v>1</v>
      </c>
      <c r="AJ268">
        <f>LOOKUP(A268,'Over to underbark'!$A$47:$A$48,'Over to underbark'!E$47:E$48)*M268</f>
        <v>265.59960000000001</v>
      </c>
      <c r="AK268" s="22">
        <f>LOOKUP(A268,'Over to underbark'!$A$47:$A$48,'Over to underbark'!$B$47:$B$48)*AJ268</f>
        <v>90.303864000000004</v>
      </c>
      <c r="AL268" s="22">
        <f>LOOKUP(A268,'Over to underbark'!$A$47:$A$48,'Over to underbark'!C$47:C$48)*AJ268</f>
        <v>92.959859999999992</v>
      </c>
      <c r="AM268" s="22">
        <f t="shared" si="69"/>
        <v>355.90346399999999</v>
      </c>
      <c r="AN268" s="36">
        <v>847.39</v>
      </c>
      <c r="AO268" s="23">
        <f t="shared" si="70"/>
        <v>711.80692799999997</v>
      </c>
      <c r="AQ268">
        <f t="shared" si="71"/>
        <v>0.67164179104477617</v>
      </c>
    </row>
    <row r="269" spans="1:43" x14ac:dyDescent="0.35">
      <c r="A269" t="s">
        <v>41</v>
      </c>
      <c r="B269">
        <v>10</v>
      </c>
      <c r="C269">
        <v>2</v>
      </c>
      <c r="D269" t="s">
        <v>42</v>
      </c>
      <c r="E269">
        <v>2</v>
      </c>
      <c r="F269">
        <v>1</v>
      </c>
      <c r="G269" s="12">
        <v>75</v>
      </c>
      <c r="H269" s="12">
        <v>23.417999999999999</v>
      </c>
      <c r="I269" s="12">
        <v>928</v>
      </c>
      <c r="J269" s="12">
        <v>30.370999999999999</v>
      </c>
      <c r="K269" s="12">
        <v>67.191000000000003</v>
      </c>
      <c r="L269" s="12">
        <v>0.69</v>
      </c>
      <c r="M269" s="19">
        <v>639.82000000000005</v>
      </c>
      <c r="N269" s="12">
        <v>11.595000000000001</v>
      </c>
      <c r="O269" s="13">
        <v>8.5310000000000006</v>
      </c>
      <c r="P269" s="14">
        <v>75</v>
      </c>
      <c r="Q269" s="14">
        <v>30.370999999999999</v>
      </c>
      <c r="R269" s="14">
        <v>113.761</v>
      </c>
      <c r="S269" s="14">
        <v>526.05899999999997</v>
      </c>
      <c r="T269" s="10" t="b">
        <f t="shared" si="58"/>
        <v>1</v>
      </c>
      <c r="U269" s="10" t="b">
        <f t="shared" si="59"/>
        <v>1</v>
      </c>
      <c r="V269" s="11">
        <f>VLOOKUP(IF(J269&lt;10, 10, IF(J269&gt;50,50,J269)),'Over to underbark'!$A$3:$C$43,IF(A269="Scots pine",3,IF(A269="Sitka spruce",2, "error")),TRUE)/100</f>
        <v>0.85</v>
      </c>
      <c r="W269">
        <f t="shared" si="60"/>
        <v>87.027164999999997</v>
      </c>
      <c r="X269">
        <f t="shared" si="61"/>
        <v>402.435135</v>
      </c>
      <c r="Y269">
        <f t="shared" si="62"/>
        <v>86.375700000000009</v>
      </c>
      <c r="Z269">
        <f t="shared" si="63"/>
        <v>218.63303824275002</v>
      </c>
      <c r="AA269">
        <f t="shared" si="64"/>
        <v>52.760838150000005</v>
      </c>
      <c r="AB269">
        <f t="shared" si="65"/>
        <v>82.299929087249993</v>
      </c>
      <c r="AC269">
        <f t="shared" si="66"/>
        <v>222.14419451999999</v>
      </c>
      <c r="AD269">
        <f>LOOKUP($A269,'Over to underbark'!$A$47:$A$48,'Over to underbark'!E$47:E$48)*Z269</f>
        <v>91.825876061955</v>
      </c>
      <c r="AE269">
        <f>LOOKUP($A269,'Over to underbark'!$A$47:$A$48,'Over to underbark'!E$47:E$48)*AA269</f>
        <v>22.159552023</v>
      </c>
      <c r="AF269">
        <f>LOOKUP($A269,'Over to underbark'!$A$47:$A$48,'Over to underbark'!E$47:E$48)*AB269</f>
        <v>34.565970216644999</v>
      </c>
      <c r="AG269">
        <f>LOOKUP($A269,'Over to underbark'!$A$47:$A$48,'Over to underbark'!E$47:E$48)*AC269</f>
        <v>93.300561698399989</v>
      </c>
      <c r="AH269" t="b">
        <f t="shared" si="67"/>
        <v>1</v>
      </c>
      <c r="AI269" t="b">
        <f t="shared" si="68"/>
        <v>1</v>
      </c>
      <c r="AJ269">
        <f>LOOKUP(A269,'Over to underbark'!$A$47:$A$48,'Over to underbark'!E$47:E$48)*M269</f>
        <v>268.7244</v>
      </c>
      <c r="AK269" s="22">
        <f>LOOKUP(A269,'Over to underbark'!$A$47:$A$48,'Over to underbark'!$B$47:$B$48)*AJ269</f>
        <v>91.366296000000006</v>
      </c>
      <c r="AL269" s="22">
        <f>LOOKUP(A269,'Over to underbark'!$A$47:$A$48,'Over to underbark'!C$47:C$48)*AJ269</f>
        <v>94.053539999999998</v>
      </c>
      <c r="AM269" s="22">
        <f t="shared" si="69"/>
        <v>360.09069599999998</v>
      </c>
      <c r="AN269" s="36">
        <v>857.36</v>
      </c>
      <c r="AO269" s="23">
        <f t="shared" si="70"/>
        <v>720.18139199999996</v>
      </c>
      <c r="AQ269">
        <f t="shared" si="71"/>
        <v>0.67164179104477606</v>
      </c>
    </row>
    <row r="270" spans="1:43" x14ac:dyDescent="0.35">
      <c r="A270" t="s">
        <v>41</v>
      </c>
      <c r="B270">
        <v>10</v>
      </c>
      <c r="C270">
        <v>2</v>
      </c>
      <c r="D270" t="s">
        <v>42</v>
      </c>
      <c r="E270">
        <v>2</v>
      </c>
      <c r="F270">
        <v>1</v>
      </c>
      <c r="G270" s="12">
        <v>76</v>
      </c>
      <c r="H270" s="12">
        <v>23.574000000000002</v>
      </c>
      <c r="I270" s="12">
        <v>918</v>
      </c>
      <c r="J270" s="12">
        <v>30.623999999999999</v>
      </c>
      <c r="K270" s="12">
        <v>67.600999999999999</v>
      </c>
      <c r="L270" s="12">
        <v>0.70499999999999996</v>
      </c>
      <c r="M270" s="19">
        <v>647.26</v>
      </c>
      <c r="N270" s="12">
        <v>11.724</v>
      </c>
      <c r="O270" s="13">
        <v>8.5169999999999995</v>
      </c>
      <c r="P270" s="14">
        <v>76</v>
      </c>
      <c r="Q270" s="14">
        <v>30.623999999999999</v>
      </c>
      <c r="R270" s="14">
        <v>111.57299999999999</v>
      </c>
      <c r="S270" s="14">
        <v>535.68700000000001</v>
      </c>
      <c r="T270" s="10" t="b">
        <f t="shared" si="58"/>
        <v>1</v>
      </c>
      <c r="U270" s="10" t="b">
        <f t="shared" si="59"/>
        <v>1</v>
      </c>
      <c r="V270" s="11">
        <f>VLOOKUP(IF(J270&lt;10, 10, IF(J270&gt;50,50,J270)),'Over to underbark'!$A$3:$C$43,IF(A270="Scots pine",3,IF(A270="Sitka spruce",2, "error")),TRUE)/100</f>
        <v>0.85</v>
      </c>
      <c r="W270">
        <f t="shared" si="60"/>
        <v>85.353345000000004</v>
      </c>
      <c r="X270">
        <f t="shared" si="61"/>
        <v>409.80055500000003</v>
      </c>
      <c r="Y270">
        <f t="shared" si="62"/>
        <v>87.380100000000013</v>
      </c>
      <c r="Z270">
        <f t="shared" si="63"/>
        <v>220.63994902575001</v>
      </c>
      <c r="AA270">
        <f t="shared" si="64"/>
        <v>53.078917950000005</v>
      </c>
      <c r="AB270">
        <f t="shared" si="65"/>
        <v>82.605226664249997</v>
      </c>
      <c r="AC270">
        <f t="shared" si="66"/>
        <v>226.20990636000002</v>
      </c>
      <c r="AD270">
        <f>LOOKUP($A270,'Over to underbark'!$A$47:$A$48,'Over to underbark'!E$47:E$48)*Z270</f>
        <v>92.668778590815009</v>
      </c>
      <c r="AE270">
        <f>LOOKUP($A270,'Over to underbark'!$A$47:$A$48,'Over to underbark'!E$47:E$48)*AA270</f>
        <v>22.293145539000001</v>
      </c>
      <c r="AF270">
        <f>LOOKUP($A270,'Over to underbark'!$A$47:$A$48,'Over to underbark'!E$47:E$48)*AB270</f>
        <v>34.694195198985</v>
      </c>
      <c r="AG270">
        <f>LOOKUP($A270,'Over to underbark'!$A$47:$A$48,'Over to underbark'!E$47:E$48)*AC270</f>
        <v>95.008160671200002</v>
      </c>
      <c r="AH270" t="b">
        <f t="shared" si="67"/>
        <v>1</v>
      </c>
      <c r="AI270" t="b">
        <f t="shared" si="68"/>
        <v>1</v>
      </c>
      <c r="AJ270">
        <f>LOOKUP(A270,'Over to underbark'!$A$47:$A$48,'Over to underbark'!E$47:E$48)*M270</f>
        <v>271.8492</v>
      </c>
      <c r="AK270" s="22">
        <f>LOOKUP(A270,'Over to underbark'!$A$47:$A$48,'Over to underbark'!$B$47:$B$48)*AJ270</f>
        <v>92.428728000000007</v>
      </c>
      <c r="AL270" s="22">
        <f>LOOKUP(A270,'Over to underbark'!$A$47:$A$48,'Over to underbark'!C$47:C$48)*AJ270</f>
        <v>95.14721999999999</v>
      </c>
      <c r="AM270" s="22">
        <f t="shared" si="69"/>
        <v>364.27792799999997</v>
      </c>
      <c r="AN270" s="36">
        <v>867.33</v>
      </c>
      <c r="AO270" s="23">
        <f t="shared" si="70"/>
        <v>728.55585599999995</v>
      </c>
      <c r="AQ270">
        <f t="shared" si="71"/>
        <v>0.67164179104477617</v>
      </c>
    </row>
    <row r="271" spans="1:43" x14ac:dyDescent="0.35">
      <c r="A271" t="s">
        <v>41</v>
      </c>
      <c r="B271">
        <v>10</v>
      </c>
      <c r="C271">
        <v>2</v>
      </c>
      <c r="D271" t="s">
        <v>42</v>
      </c>
      <c r="E271">
        <v>2</v>
      </c>
      <c r="F271">
        <v>1</v>
      </c>
      <c r="G271" s="12">
        <v>77</v>
      </c>
      <c r="H271" s="12">
        <v>23.73</v>
      </c>
      <c r="I271" s="12">
        <v>908</v>
      </c>
      <c r="J271" s="12">
        <v>30.88</v>
      </c>
      <c r="K271" s="12">
        <v>68.010999999999996</v>
      </c>
      <c r="L271" s="12">
        <v>0.72099999999999997</v>
      </c>
      <c r="M271" s="19">
        <v>654.70000000000005</v>
      </c>
      <c r="N271" s="12">
        <v>11.849</v>
      </c>
      <c r="O271" s="13">
        <v>8.5030000000000001</v>
      </c>
      <c r="P271" s="14">
        <v>77</v>
      </c>
      <c r="Q271" s="14">
        <v>30.88</v>
      </c>
      <c r="R271" s="14">
        <v>109.363</v>
      </c>
      <c r="S271" s="14">
        <v>545.33699999999999</v>
      </c>
      <c r="T271" s="10" t="b">
        <f t="shared" si="58"/>
        <v>1</v>
      </c>
      <c r="U271" s="10" t="b">
        <f t="shared" si="59"/>
        <v>1</v>
      </c>
      <c r="V271" s="11">
        <f>VLOOKUP(IF(J271&lt;10, 10, IF(J271&gt;50,50,J271)),'Over to underbark'!$A$3:$C$43,IF(A271="Scots pine",3,IF(A271="Sitka spruce",2, "error")),TRUE)/100</f>
        <v>0.85</v>
      </c>
      <c r="W271">
        <f t="shared" si="60"/>
        <v>83.662694999999999</v>
      </c>
      <c r="X271">
        <f t="shared" si="61"/>
        <v>417.18280499999997</v>
      </c>
      <c r="Y271">
        <f t="shared" si="62"/>
        <v>88.384500000000017</v>
      </c>
      <c r="Z271">
        <f t="shared" si="63"/>
        <v>222.64350474825</v>
      </c>
      <c r="AA271">
        <f t="shared" si="64"/>
        <v>53.395146450000013</v>
      </c>
      <c r="AB271">
        <f t="shared" si="65"/>
        <v>82.906440441749993</v>
      </c>
      <c r="AC271">
        <f t="shared" si="66"/>
        <v>230.28490836</v>
      </c>
      <c r="AD271">
        <f>LOOKUP($A271,'Over to underbark'!$A$47:$A$48,'Over to underbark'!E$47:E$48)*Z271</f>
        <v>93.510271994264997</v>
      </c>
      <c r="AE271">
        <f>LOOKUP($A271,'Over to underbark'!$A$47:$A$48,'Over to underbark'!E$47:E$48)*AA271</f>
        <v>22.425961509000004</v>
      </c>
      <c r="AF271">
        <f>LOOKUP($A271,'Over to underbark'!$A$47:$A$48,'Over to underbark'!E$47:E$48)*AB271</f>
        <v>34.820704985534995</v>
      </c>
      <c r="AG271">
        <f>LOOKUP($A271,'Over to underbark'!$A$47:$A$48,'Over to underbark'!E$47:E$48)*AC271</f>
        <v>96.719661511200002</v>
      </c>
      <c r="AH271" t="b">
        <f t="shared" si="67"/>
        <v>1</v>
      </c>
      <c r="AI271" t="b">
        <f t="shared" si="68"/>
        <v>1</v>
      </c>
      <c r="AJ271">
        <f>LOOKUP(A271,'Over to underbark'!$A$47:$A$48,'Over to underbark'!E$47:E$48)*M271</f>
        <v>274.97399999999999</v>
      </c>
      <c r="AK271" s="22">
        <f>LOOKUP(A271,'Over to underbark'!$A$47:$A$48,'Over to underbark'!$B$47:$B$48)*AJ271</f>
        <v>93.491160000000008</v>
      </c>
      <c r="AL271" s="22">
        <f>LOOKUP(A271,'Over to underbark'!$A$47:$A$48,'Over to underbark'!C$47:C$48)*AJ271</f>
        <v>96.240899999999996</v>
      </c>
      <c r="AM271" s="22">
        <f t="shared" si="69"/>
        <v>368.46515999999997</v>
      </c>
      <c r="AN271" s="36">
        <v>877.3</v>
      </c>
      <c r="AO271" s="23">
        <f t="shared" si="70"/>
        <v>736.93031999999994</v>
      </c>
      <c r="AQ271">
        <f t="shared" si="71"/>
        <v>0.67164179104477617</v>
      </c>
    </row>
    <row r="272" spans="1:43" x14ac:dyDescent="0.35">
      <c r="A272" t="s">
        <v>41</v>
      </c>
      <c r="B272">
        <v>10</v>
      </c>
      <c r="C272">
        <v>2</v>
      </c>
      <c r="D272" t="s">
        <v>42</v>
      </c>
      <c r="E272">
        <v>2</v>
      </c>
      <c r="F272">
        <v>1</v>
      </c>
      <c r="G272" s="12">
        <v>78</v>
      </c>
      <c r="H272" s="12">
        <v>23.867999999999999</v>
      </c>
      <c r="I272" s="12">
        <v>900</v>
      </c>
      <c r="J272" s="12">
        <v>31.097000000000001</v>
      </c>
      <c r="K272" s="12">
        <v>68.358000000000004</v>
      </c>
      <c r="L272" s="12">
        <v>0.73499999999999999</v>
      </c>
      <c r="M272" s="19">
        <v>661.28</v>
      </c>
      <c r="N272" s="12">
        <v>11.956</v>
      </c>
      <c r="O272" s="13">
        <v>8.4779999999999998</v>
      </c>
      <c r="P272" s="14">
        <v>78</v>
      </c>
      <c r="Q272" s="14">
        <v>31.097000000000001</v>
      </c>
      <c r="R272" s="14">
        <v>107.55200000000001</v>
      </c>
      <c r="S272" s="14">
        <v>553.72799999999995</v>
      </c>
      <c r="T272" s="10" t="b">
        <f t="shared" si="58"/>
        <v>1</v>
      </c>
      <c r="U272" s="10" t="b">
        <f t="shared" si="59"/>
        <v>1</v>
      </c>
      <c r="V272" s="11">
        <f>VLOOKUP(IF(J272&lt;10, 10, IF(J272&gt;50,50,J272)),'Over to underbark'!$A$3:$C$43,IF(A272="Scots pine",3,IF(A272="Sitka spruce",2, "error")),TRUE)/100</f>
        <v>0.85</v>
      </c>
      <c r="W272">
        <f t="shared" si="60"/>
        <v>82.277280000000005</v>
      </c>
      <c r="X272">
        <f t="shared" si="61"/>
        <v>423.60191999999995</v>
      </c>
      <c r="Y272">
        <f t="shared" si="62"/>
        <v>89.272800000000018</v>
      </c>
      <c r="Z272">
        <f t="shared" si="63"/>
        <v>224.43735736799997</v>
      </c>
      <c r="AA272">
        <f t="shared" si="64"/>
        <v>53.686900800000011</v>
      </c>
      <c r="AB272">
        <f t="shared" si="65"/>
        <v>83.199481992000003</v>
      </c>
      <c r="AC272">
        <f t="shared" si="66"/>
        <v>233.82825983999996</v>
      </c>
      <c r="AD272">
        <f>LOOKUP($A272,'Over to underbark'!$A$47:$A$48,'Over to underbark'!E$47:E$48)*Z272</f>
        <v>94.263690094559976</v>
      </c>
      <c r="AE272">
        <f>LOOKUP($A272,'Over to underbark'!$A$47:$A$48,'Over to underbark'!E$47:E$48)*AA272</f>
        <v>22.548498336000005</v>
      </c>
      <c r="AF272">
        <f>LOOKUP($A272,'Over to underbark'!$A$47:$A$48,'Over to underbark'!E$47:E$48)*AB272</f>
        <v>34.943782436639999</v>
      </c>
      <c r="AG272">
        <f>LOOKUP($A272,'Over to underbark'!$A$47:$A$48,'Over to underbark'!E$47:E$48)*AC272</f>
        <v>98.207869132799985</v>
      </c>
      <c r="AH272" t="b">
        <f t="shared" si="67"/>
        <v>1</v>
      </c>
      <c r="AI272" t="b">
        <f t="shared" si="68"/>
        <v>1</v>
      </c>
      <c r="AJ272">
        <f>LOOKUP(A272,'Over to underbark'!$A$47:$A$48,'Over to underbark'!E$47:E$48)*M272</f>
        <v>277.73759999999999</v>
      </c>
      <c r="AK272" s="22">
        <f>LOOKUP(A272,'Over to underbark'!$A$47:$A$48,'Over to underbark'!$B$47:$B$48)*AJ272</f>
        <v>94.430784000000003</v>
      </c>
      <c r="AL272" s="22">
        <f>LOOKUP(A272,'Over to underbark'!$A$47:$A$48,'Over to underbark'!C$47:C$48)*AJ272</f>
        <v>97.208159999999992</v>
      </c>
      <c r="AM272" s="22">
        <f t="shared" si="69"/>
        <v>372.168384</v>
      </c>
      <c r="AN272" s="36">
        <v>886.12</v>
      </c>
      <c r="AO272" s="23">
        <f t="shared" si="70"/>
        <v>744.33676800000001</v>
      </c>
      <c r="AQ272">
        <f t="shared" si="71"/>
        <v>0.67164179104477595</v>
      </c>
    </row>
    <row r="273" spans="1:43" x14ac:dyDescent="0.35">
      <c r="A273" t="s">
        <v>41</v>
      </c>
      <c r="B273">
        <v>10</v>
      </c>
      <c r="C273">
        <v>2</v>
      </c>
      <c r="D273" t="s">
        <v>42</v>
      </c>
      <c r="E273">
        <v>2</v>
      </c>
      <c r="F273">
        <v>1</v>
      </c>
      <c r="G273" s="12">
        <v>79</v>
      </c>
      <c r="H273" s="12">
        <v>24.006</v>
      </c>
      <c r="I273" s="12">
        <v>892</v>
      </c>
      <c r="J273" s="12">
        <v>31.317</v>
      </c>
      <c r="K273" s="12">
        <v>68.706000000000003</v>
      </c>
      <c r="L273" s="12">
        <v>0.749</v>
      </c>
      <c r="M273" s="19">
        <v>667.86</v>
      </c>
      <c r="N273" s="12">
        <v>12.061</v>
      </c>
      <c r="O273" s="13">
        <v>8.4540000000000006</v>
      </c>
      <c r="P273" s="14">
        <v>79</v>
      </c>
      <c r="Q273" s="14">
        <v>31.317</v>
      </c>
      <c r="R273" s="14">
        <v>105.715</v>
      </c>
      <c r="S273" s="14">
        <v>562.14499999999998</v>
      </c>
      <c r="T273" s="10" t="b">
        <f t="shared" si="58"/>
        <v>1</v>
      </c>
      <c r="U273" s="10" t="b">
        <f t="shared" si="59"/>
        <v>1</v>
      </c>
      <c r="V273" s="11">
        <f>VLOOKUP(IF(J273&lt;10, 10, IF(J273&gt;50,50,J273)),'Over to underbark'!$A$3:$C$43,IF(A273="Scots pine",3,IF(A273="Sitka spruce",2, "error")),TRUE)/100</f>
        <v>0.85</v>
      </c>
      <c r="W273">
        <f t="shared" si="60"/>
        <v>80.871975000000006</v>
      </c>
      <c r="X273">
        <f t="shared" si="61"/>
        <v>430.04092499999996</v>
      </c>
      <c r="Y273">
        <f t="shared" si="62"/>
        <v>90.161100000000019</v>
      </c>
      <c r="Z273">
        <f t="shared" si="63"/>
        <v>226.22724491625002</v>
      </c>
      <c r="AA273">
        <f t="shared" si="64"/>
        <v>53.976467250000013</v>
      </c>
      <c r="AB273">
        <f t="shared" si="65"/>
        <v>83.487697233749998</v>
      </c>
      <c r="AC273">
        <f t="shared" si="66"/>
        <v>237.38259059999999</v>
      </c>
      <c r="AD273">
        <f>LOOKUP($A273,'Over to underbark'!$A$47:$A$48,'Over to underbark'!E$47:E$48)*Z273</f>
        <v>95.015442864825005</v>
      </c>
      <c r="AE273">
        <f>LOOKUP($A273,'Over to underbark'!$A$47:$A$48,'Over to underbark'!E$47:E$48)*AA273</f>
        <v>22.670116245000006</v>
      </c>
      <c r="AF273">
        <f>LOOKUP($A273,'Over to underbark'!$A$47:$A$48,'Over to underbark'!E$47:E$48)*AB273</f>
        <v>35.064832838175001</v>
      </c>
      <c r="AG273">
        <f>LOOKUP($A273,'Over to underbark'!$A$47:$A$48,'Over to underbark'!E$47:E$48)*AC273</f>
        <v>99.70068805199999</v>
      </c>
      <c r="AH273" t="b">
        <f t="shared" si="67"/>
        <v>1</v>
      </c>
      <c r="AI273" t="b">
        <f t="shared" si="68"/>
        <v>1</v>
      </c>
      <c r="AJ273">
        <f>LOOKUP(A273,'Over to underbark'!$A$47:$A$48,'Over to underbark'!E$47:E$48)*M273</f>
        <v>280.50119999999998</v>
      </c>
      <c r="AK273" s="22">
        <f>LOOKUP(A273,'Over to underbark'!$A$47:$A$48,'Over to underbark'!$B$47:$B$48)*AJ273</f>
        <v>95.370407999999998</v>
      </c>
      <c r="AL273" s="22">
        <f>LOOKUP(A273,'Over to underbark'!$A$47:$A$48,'Over to underbark'!C$47:C$48)*AJ273</f>
        <v>98.175419999999988</v>
      </c>
      <c r="AM273" s="22">
        <f t="shared" si="69"/>
        <v>375.87160799999998</v>
      </c>
      <c r="AN273" s="36">
        <v>894.93</v>
      </c>
      <c r="AO273" s="23">
        <f t="shared" si="70"/>
        <v>751.74321599999996</v>
      </c>
      <c r="AQ273">
        <f t="shared" si="71"/>
        <v>0.67164179104477617</v>
      </c>
    </row>
    <row r="274" spans="1:43" x14ac:dyDescent="0.35">
      <c r="A274" t="s">
        <v>41</v>
      </c>
      <c r="B274">
        <v>10</v>
      </c>
      <c r="C274">
        <v>2</v>
      </c>
      <c r="D274" t="s">
        <v>42</v>
      </c>
      <c r="E274">
        <v>2</v>
      </c>
      <c r="F274">
        <v>1</v>
      </c>
      <c r="G274" s="12">
        <v>80</v>
      </c>
      <c r="H274" s="12">
        <v>24.143999999999998</v>
      </c>
      <c r="I274" s="12">
        <v>884</v>
      </c>
      <c r="J274" s="12">
        <v>31.539000000000001</v>
      </c>
      <c r="K274" s="12">
        <v>69.054000000000002</v>
      </c>
      <c r="L274" s="12">
        <v>0.76300000000000001</v>
      </c>
      <c r="M274" s="19">
        <v>674.44</v>
      </c>
      <c r="N274" s="12">
        <v>12.164</v>
      </c>
      <c r="O274" s="13">
        <v>8.4309999999999992</v>
      </c>
      <c r="P274" s="14">
        <v>80</v>
      </c>
      <c r="Q274" s="14">
        <v>31.539000000000001</v>
      </c>
      <c r="R274" s="14">
        <v>103.86799999999999</v>
      </c>
      <c r="S274" s="14">
        <v>570.572</v>
      </c>
      <c r="T274" s="10" t="b">
        <f t="shared" si="58"/>
        <v>1</v>
      </c>
      <c r="U274" s="10" t="b">
        <f t="shared" si="59"/>
        <v>1</v>
      </c>
      <c r="V274" s="11">
        <f>VLOOKUP(IF(J274&lt;10, 10, IF(J274&gt;50,50,J274)),'Over to underbark'!$A$3:$C$43,IF(A274="Scots pine",3,IF(A274="Sitka spruce",2, "error")),TRUE)/100</f>
        <v>0.85</v>
      </c>
      <c r="W274">
        <f t="shared" si="60"/>
        <v>79.459019999999995</v>
      </c>
      <c r="X274">
        <f t="shared" si="61"/>
        <v>436.48758000000004</v>
      </c>
      <c r="Y274">
        <f t="shared" si="62"/>
        <v>91.049400000000034</v>
      </c>
      <c r="Z274">
        <f t="shared" si="63"/>
        <v>228.01560743700006</v>
      </c>
      <c r="AA274">
        <f t="shared" si="64"/>
        <v>54.265192200000016</v>
      </c>
      <c r="AB274">
        <f t="shared" si="65"/>
        <v>83.774056203000001</v>
      </c>
      <c r="AC274">
        <f t="shared" si="66"/>
        <v>240.94114416000005</v>
      </c>
      <c r="AD274">
        <f>LOOKUP($A274,'Over to underbark'!$A$47:$A$48,'Over to underbark'!E$47:E$48)*Z274</f>
        <v>95.766555123540016</v>
      </c>
      <c r="AE274">
        <f>LOOKUP($A274,'Over to underbark'!$A$47:$A$48,'Over to underbark'!E$47:E$48)*AA274</f>
        <v>22.791380724000007</v>
      </c>
      <c r="AF274">
        <f>LOOKUP($A274,'Over to underbark'!$A$47:$A$48,'Over to underbark'!E$47:E$48)*AB274</f>
        <v>35.185103605259997</v>
      </c>
      <c r="AG274">
        <f>LOOKUP($A274,'Over to underbark'!$A$47:$A$48,'Over to underbark'!E$47:E$48)*AC274</f>
        <v>101.19528054720001</v>
      </c>
      <c r="AH274" t="b">
        <f t="shared" si="67"/>
        <v>1</v>
      </c>
      <c r="AI274" t="b">
        <f t="shared" si="68"/>
        <v>1</v>
      </c>
      <c r="AJ274">
        <f>LOOKUP(A274,'Over to underbark'!$A$47:$A$48,'Over to underbark'!E$47:E$48)*M274</f>
        <v>283.26480000000004</v>
      </c>
      <c r="AK274" s="22">
        <f>LOOKUP(A274,'Over to underbark'!$A$47:$A$48,'Over to underbark'!$B$47:$B$48)*AJ274</f>
        <v>96.310032000000021</v>
      </c>
      <c r="AL274" s="22">
        <f>LOOKUP(A274,'Over to underbark'!$A$47:$A$48,'Over to underbark'!C$47:C$48)*AJ274</f>
        <v>99.142680000000013</v>
      </c>
      <c r="AM274" s="22">
        <f t="shared" si="69"/>
        <v>379.57483200000007</v>
      </c>
      <c r="AN274" s="36">
        <v>903.75</v>
      </c>
      <c r="AO274" s="23">
        <f t="shared" si="70"/>
        <v>759.14966400000014</v>
      </c>
      <c r="AQ274">
        <f t="shared" si="71"/>
        <v>0.67164179104477606</v>
      </c>
    </row>
    <row r="275" spans="1:43" x14ac:dyDescent="0.35">
      <c r="A275" t="s">
        <v>41</v>
      </c>
      <c r="B275">
        <v>10</v>
      </c>
      <c r="C275">
        <v>2</v>
      </c>
      <c r="D275" t="s">
        <v>42</v>
      </c>
      <c r="E275">
        <v>2</v>
      </c>
      <c r="F275">
        <v>1</v>
      </c>
      <c r="G275" s="12">
        <v>81</v>
      </c>
      <c r="H275" s="12">
        <v>24.282</v>
      </c>
      <c r="I275" s="12">
        <v>876</v>
      </c>
      <c r="J275" s="12">
        <v>31.763000000000002</v>
      </c>
      <c r="K275" s="12">
        <v>69.400999999999996</v>
      </c>
      <c r="L275" s="12">
        <v>0.77800000000000002</v>
      </c>
      <c r="M275" s="19">
        <v>681.02</v>
      </c>
      <c r="N275" s="12">
        <v>12.265000000000001</v>
      </c>
      <c r="O275" s="13">
        <v>8.4079999999999995</v>
      </c>
      <c r="P275" s="14">
        <v>81</v>
      </c>
      <c r="Q275" s="14">
        <v>31.763000000000002</v>
      </c>
      <c r="R275" s="14">
        <v>102.01300000000001</v>
      </c>
      <c r="S275" s="14">
        <v>579.00699999999995</v>
      </c>
      <c r="T275" s="10" t="b">
        <f t="shared" si="58"/>
        <v>1</v>
      </c>
      <c r="U275" s="10" t="b">
        <f t="shared" si="59"/>
        <v>1</v>
      </c>
      <c r="V275" s="11">
        <f>VLOOKUP(IF(J275&lt;10, 10, IF(J275&gt;50,50,J275)),'Over to underbark'!$A$3:$C$43,IF(A275="Scots pine",3,IF(A275="Sitka spruce",2, "error")),TRUE)/100</f>
        <v>0.85</v>
      </c>
      <c r="W275">
        <f t="shared" si="60"/>
        <v>78.039945000000003</v>
      </c>
      <c r="X275">
        <f t="shared" si="61"/>
        <v>442.9403549999999</v>
      </c>
      <c r="Y275">
        <f t="shared" si="62"/>
        <v>91.937700000000021</v>
      </c>
      <c r="Z275">
        <f t="shared" si="63"/>
        <v>229.80274993574997</v>
      </c>
      <c r="AA275">
        <f t="shared" si="64"/>
        <v>54.553243950000009</v>
      </c>
      <c r="AB275">
        <f t="shared" si="65"/>
        <v>84.058930154249992</v>
      </c>
      <c r="AC275">
        <f t="shared" si="66"/>
        <v>244.50307595999993</v>
      </c>
      <c r="AD275">
        <f>LOOKUP($A275,'Over to underbark'!$A$47:$A$48,'Over to underbark'!E$47:E$48)*Z275</f>
        <v>96.517154973014982</v>
      </c>
      <c r="AE275">
        <f>LOOKUP($A275,'Over to underbark'!$A$47:$A$48,'Over to underbark'!E$47:E$48)*AA275</f>
        <v>22.912362459000004</v>
      </c>
      <c r="AF275">
        <f>LOOKUP($A275,'Over to underbark'!$A$47:$A$48,'Over to underbark'!E$47:E$48)*AB275</f>
        <v>35.304750664784997</v>
      </c>
      <c r="AG275">
        <f>LOOKUP($A275,'Over to underbark'!$A$47:$A$48,'Over to underbark'!E$47:E$48)*AC275</f>
        <v>102.69129190319997</v>
      </c>
      <c r="AH275" t="b">
        <f t="shared" si="67"/>
        <v>1</v>
      </c>
      <c r="AI275" t="b">
        <f t="shared" si="68"/>
        <v>1</v>
      </c>
      <c r="AJ275">
        <f>LOOKUP(A275,'Over to underbark'!$A$47:$A$48,'Over to underbark'!E$47:E$48)*M275</f>
        <v>286.02839999999998</v>
      </c>
      <c r="AK275" s="22">
        <f>LOOKUP(A275,'Over to underbark'!$A$47:$A$48,'Over to underbark'!$B$47:$B$48)*AJ275</f>
        <v>97.249656000000002</v>
      </c>
      <c r="AL275" s="22">
        <f>LOOKUP(A275,'Over to underbark'!$A$47:$A$48,'Over to underbark'!C$47:C$48)*AJ275</f>
        <v>100.10993999999998</v>
      </c>
      <c r="AM275" s="22">
        <f t="shared" si="69"/>
        <v>383.27805599999999</v>
      </c>
      <c r="AN275" s="36">
        <v>912.57</v>
      </c>
      <c r="AO275" s="23">
        <f t="shared" si="70"/>
        <v>766.55611199999998</v>
      </c>
      <c r="AQ275">
        <f t="shared" si="71"/>
        <v>0.67164179104477606</v>
      </c>
    </row>
    <row r="276" spans="1:43" x14ac:dyDescent="0.35">
      <c r="A276" t="s">
        <v>41</v>
      </c>
      <c r="B276">
        <v>10</v>
      </c>
      <c r="C276">
        <v>2</v>
      </c>
      <c r="D276" t="s">
        <v>42</v>
      </c>
      <c r="E276">
        <v>2</v>
      </c>
      <c r="F276">
        <v>1</v>
      </c>
      <c r="G276" s="12">
        <v>82</v>
      </c>
      <c r="H276" s="12">
        <v>24.42</v>
      </c>
      <c r="I276" s="12">
        <v>868</v>
      </c>
      <c r="J276" s="12">
        <v>31.99</v>
      </c>
      <c r="K276" s="12">
        <v>69.748999999999995</v>
      </c>
      <c r="L276" s="12">
        <v>0.79200000000000004</v>
      </c>
      <c r="M276" s="19">
        <v>687.6</v>
      </c>
      <c r="N276" s="12">
        <v>12.363</v>
      </c>
      <c r="O276" s="13">
        <v>8.3849999999999998</v>
      </c>
      <c r="P276" s="14">
        <v>82</v>
      </c>
      <c r="Q276" s="14">
        <v>31.99</v>
      </c>
      <c r="R276" s="14">
        <v>100.139</v>
      </c>
      <c r="S276" s="14">
        <v>587.46100000000001</v>
      </c>
      <c r="T276" s="10" t="b">
        <f t="shared" si="58"/>
        <v>1</v>
      </c>
      <c r="U276" s="10" t="b">
        <f t="shared" si="59"/>
        <v>1</v>
      </c>
      <c r="V276" s="11">
        <f>VLOOKUP(IF(J276&lt;10, 10, IF(J276&gt;50,50,J276)),'Over to underbark'!$A$3:$C$43,IF(A276="Scots pine",3,IF(A276="Sitka spruce",2, "error")),TRUE)/100</f>
        <v>0.85</v>
      </c>
      <c r="W276">
        <f t="shared" si="60"/>
        <v>76.606335000000001</v>
      </c>
      <c r="X276">
        <f t="shared" si="61"/>
        <v>449.40766500000001</v>
      </c>
      <c r="Y276">
        <f t="shared" si="62"/>
        <v>92.826000000000022</v>
      </c>
      <c r="Z276">
        <f t="shared" si="63"/>
        <v>231.58699488225</v>
      </c>
      <c r="AA276">
        <f t="shared" si="64"/>
        <v>54.83969685000001</v>
      </c>
      <c r="AB276">
        <f t="shared" si="65"/>
        <v>84.340277187750004</v>
      </c>
      <c r="AC276">
        <f t="shared" si="66"/>
        <v>248.07303107999999</v>
      </c>
      <c r="AD276">
        <f>LOOKUP($A276,'Over to underbark'!$A$47:$A$48,'Over to underbark'!E$47:E$48)*Z276</f>
        <v>97.266537850544992</v>
      </c>
      <c r="AE276">
        <f>LOOKUP($A276,'Over to underbark'!$A$47:$A$48,'Over to underbark'!E$47:E$48)*AA276</f>
        <v>23.032672677000004</v>
      </c>
      <c r="AF276">
        <f>LOOKUP($A276,'Over to underbark'!$A$47:$A$48,'Over to underbark'!E$47:E$48)*AB276</f>
        <v>35.422916418855003</v>
      </c>
      <c r="AG276">
        <f>LOOKUP($A276,'Over to underbark'!$A$47:$A$48,'Over to underbark'!E$47:E$48)*AC276</f>
        <v>104.19067305359999</v>
      </c>
      <c r="AH276" t="b">
        <f t="shared" si="67"/>
        <v>1</v>
      </c>
      <c r="AI276" t="b">
        <f t="shared" si="68"/>
        <v>1</v>
      </c>
      <c r="AJ276">
        <f>LOOKUP(A276,'Over to underbark'!$A$47:$A$48,'Over to underbark'!E$47:E$48)*M276</f>
        <v>288.79199999999997</v>
      </c>
      <c r="AK276" s="22">
        <f>LOOKUP(A276,'Over to underbark'!$A$47:$A$48,'Over to underbark'!$B$47:$B$48)*AJ276</f>
        <v>98.189279999999997</v>
      </c>
      <c r="AL276" s="22">
        <f>LOOKUP(A276,'Over to underbark'!$A$47:$A$48,'Over to underbark'!C$47:C$48)*AJ276</f>
        <v>101.07719999999999</v>
      </c>
      <c r="AM276" s="22">
        <f t="shared" si="69"/>
        <v>386.98127999999997</v>
      </c>
      <c r="AN276" s="36">
        <v>921.38</v>
      </c>
      <c r="AO276" s="23">
        <f t="shared" si="70"/>
        <v>773.96255999999994</v>
      </c>
      <c r="AQ276">
        <f t="shared" si="71"/>
        <v>0.67164179104477617</v>
      </c>
    </row>
    <row r="277" spans="1:43" x14ac:dyDescent="0.35">
      <c r="A277" t="s">
        <v>41</v>
      </c>
      <c r="B277">
        <v>10</v>
      </c>
      <c r="C277">
        <v>2</v>
      </c>
      <c r="D277" t="s">
        <v>42</v>
      </c>
      <c r="E277">
        <v>2</v>
      </c>
      <c r="F277">
        <v>1</v>
      </c>
      <c r="G277" s="12">
        <v>83</v>
      </c>
      <c r="H277" s="12">
        <v>24.538</v>
      </c>
      <c r="I277" s="12">
        <v>861</v>
      </c>
      <c r="J277" s="12">
        <v>32.18</v>
      </c>
      <c r="K277" s="12">
        <v>70.040999999999997</v>
      </c>
      <c r="L277" s="12">
        <v>0.80500000000000005</v>
      </c>
      <c r="M277" s="19">
        <v>693.34</v>
      </c>
      <c r="N277" s="12">
        <v>12.45</v>
      </c>
      <c r="O277" s="13">
        <v>8.3529999999999998</v>
      </c>
      <c r="P277" s="14">
        <v>83</v>
      </c>
      <c r="Q277" s="14">
        <v>32.18</v>
      </c>
      <c r="R277" s="14">
        <v>98.619</v>
      </c>
      <c r="S277" s="14">
        <v>594.721</v>
      </c>
      <c r="T277" s="10" t="b">
        <f t="shared" si="58"/>
        <v>1</v>
      </c>
      <c r="U277" s="10" t="b">
        <f t="shared" si="59"/>
        <v>1</v>
      </c>
      <c r="V277" s="11">
        <f>VLOOKUP(IF(J277&lt;10, 10, IF(J277&gt;50,50,J277)),'Over to underbark'!$A$3:$C$43,IF(A277="Scots pine",3,IF(A277="Sitka spruce",2, "error")),TRUE)/100</f>
        <v>0.85</v>
      </c>
      <c r="W277">
        <f t="shared" si="60"/>
        <v>75.443535000000011</v>
      </c>
      <c r="X277">
        <f t="shared" si="61"/>
        <v>454.96156500000001</v>
      </c>
      <c r="Y277">
        <f t="shared" si="62"/>
        <v>93.600900000000024</v>
      </c>
      <c r="Z277">
        <f t="shared" si="63"/>
        <v>233.16096600225001</v>
      </c>
      <c r="AA277">
        <f t="shared" si="64"/>
        <v>55.099238850000013</v>
      </c>
      <c r="AB277">
        <f t="shared" si="65"/>
        <v>84.607011267750011</v>
      </c>
      <c r="AC277">
        <f t="shared" si="66"/>
        <v>251.13878388000003</v>
      </c>
      <c r="AD277">
        <f>LOOKUP($A277,'Over to underbark'!$A$47:$A$48,'Over to underbark'!E$47:E$48)*Z277</f>
        <v>97.927605720944996</v>
      </c>
      <c r="AE277">
        <f>LOOKUP($A277,'Over to underbark'!$A$47:$A$48,'Over to underbark'!E$47:E$48)*AA277</f>
        <v>23.141680317000006</v>
      </c>
      <c r="AF277">
        <f>LOOKUP($A277,'Over to underbark'!$A$47:$A$48,'Over to underbark'!E$47:E$48)*AB277</f>
        <v>35.534944732455003</v>
      </c>
      <c r="AG277">
        <f>LOOKUP($A277,'Over to underbark'!$A$47:$A$48,'Over to underbark'!E$47:E$48)*AC277</f>
        <v>105.47828922960001</v>
      </c>
      <c r="AH277" t="b">
        <f t="shared" si="67"/>
        <v>1</v>
      </c>
      <c r="AI277" t="b">
        <f t="shared" si="68"/>
        <v>1</v>
      </c>
      <c r="AJ277">
        <f>LOOKUP(A277,'Over to underbark'!$A$47:$A$48,'Over to underbark'!E$47:E$48)*M277</f>
        <v>291.20280000000002</v>
      </c>
      <c r="AK277" s="22">
        <f>LOOKUP(A277,'Over to underbark'!$A$47:$A$48,'Over to underbark'!$B$47:$B$48)*AJ277</f>
        <v>99.008952000000022</v>
      </c>
      <c r="AL277" s="22">
        <f>LOOKUP(A277,'Over to underbark'!$A$47:$A$48,'Over to underbark'!C$47:C$48)*AJ277</f>
        <v>101.92098</v>
      </c>
      <c r="AM277" s="22">
        <f t="shared" si="69"/>
        <v>390.21175200000005</v>
      </c>
      <c r="AN277" s="36">
        <v>929.08</v>
      </c>
      <c r="AO277" s="23">
        <f t="shared" si="70"/>
        <v>780.42350400000009</v>
      </c>
      <c r="AQ277">
        <f t="shared" si="71"/>
        <v>0.67164179104477617</v>
      </c>
    </row>
    <row r="278" spans="1:43" x14ac:dyDescent="0.35">
      <c r="A278" t="s">
        <v>41</v>
      </c>
      <c r="B278">
        <v>10</v>
      </c>
      <c r="C278">
        <v>2</v>
      </c>
      <c r="D278" t="s">
        <v>42</v>
      </c>
      <c r="E278">
        <v>2</v>
      </c>
      <c r="F278">
        <v>1</v>
      </c>
      <c r="G278" s="12">
        <v>84</v>
      </c>
      <c r="H278" s="12">
        <v>24.655999999999999</v>
      </c>
      <c r="I278" s="12">
        <v>855</v>
      </c>
      <c r="J278" s="12">
        <v>32.372</v>
      </c>
      <c r="K278" s="12">
        <v>70.334000000000003</v>
      </c>
      <c r="L278" s="12">
        <v>0.81799999999999995</v>
      </c>
      <c r="M278" s="19">
        <v>699.08</v>
      </c>
      <c r="N278" s="12">
        <v>12.536</v>
      </c>
      <c r="O278" s="13">
        <v>8.3219999999999992</v>
      </c>
      <c r="P278" s="14">
        <v>84</v>
      </c>
      <c r="Q278" s="14">
        <v>32.372</v>
      </c>
      <c r="R278" s="14">
        <v>97.087999999999994</v>
      </c>
      <c r="S278" s="14">
        <v>601.99199999999996</v>
      </c>
      <c r="T278" s="10" t="b">
        <f t="shared" si="58"/>
        <v>1</v>
      </c>
      <c r="U278" s="10" t="b">
        <f t="shared" si="59"/>
        <v>1</v>
      </c>
      <c r="V278" s="11">
        <f>VLOOKUP(IF(J278&lt;10, 10, IF(J278&gt;50,50,J278)),'Over to underbark'!$A$3:$C$43,IF(A278="Scots pine",3,IF(A278="Sitka spruce",2, "error")),TRUE)/100</f>
        <v>0.85</v>
      </c>
      <c r="W278">
        <f t="shared" si="60"/>
        <v>74.272319999999993</v>
      </c>
      <c r="X278">
        <f t="shared" si="61"/>
        <v>460.52387999999996</v>
      </c>
      <c r="Y278">
        <f t="shared" si="62"/>
        <v>94.375799999999998</v>
      </c>
      <c r="Z278">
        <f t="shared" si="63"/>
        <v>234.733259592</v>
      </c>
      <c r="AA278">
        <f t="shared" si="64"/>
        <v>55.357855199999996</v>
      </c>
      <c r="AB278">
        <f t="shared" si="65"/>
        <v>84.871703447999991</v>
      </c>
      <c r="AC278">
        <f t="shared" si="66"/>
        <v>254.20918176000001</v>
      </c>
      <c r="AD278">
        <f>LOOKUP($A278,'Over to underbark'!$A$47:$A$48,'Over to underbark'!E$47:E$48)*Z278</f>
        <v>98.587969028639989</v>
      </c>
      <c r="AE278">
        <f>LOOKUP($A278,'Over to underbark'!$A$47:$A$48,'Over to underbark'!E$47:E$48)*AA278</f>
        <v>23.250299183999996</v>
      </c>
      <c r="AF278">
        <f>LOOKUP($A278,'Over to underbark'!$A$47:$A$48,'Over to underbark'!E$47:E$48)*AB278</f>
        <v>35.646115448159996</v>
      </c>
      <c r="AG278">
        <f>LOOKUP($A278,'Over to underbark'!$A$47:$A$48,'Over to underbark'!E$47:E$48)*AC278</f>
        <v>106.76785633919999</v>
      </c>
      <c r="AH278" t="b">
        <f t="shared" si="67"/>
        <v>1</v>
      </c>
      <c r="AI278" t="b">
        <f t="shared" si="68"/>
        <v>1</v>
      </c>
      <c r="AJ278">
        <f>LOOKUP(A278,'Over to underbark'!$A$47:$A$48,'Over to underbark'!E$47:E$48)*M278</f>
        <v>293.61360000000002</v>
      </c>
      <c r="AK278" s="22">
        <f>LOOKUP(A278,'Over to underbark'!$A$47:$A$48,'Over to underbark'!$B$47:$B$48)*AJ278</f>
        <v>99.828624000000019</v>
      </c>
      <c r="AL278" s="22">
        <f>LOOKUP(A278,'Over to underbark'!$A$47:$A$48,'Over to underbark'!C$47:C$48)*AJ278</f>
        <v>102.76476</v>
      </c>
      <c r="AM278" s="22">
        <f t="shared" si="69"/>
        <v>393.44222400000001</v>
      </c>
      <c r="AN278" s="36">
        <v>936.77</v>
      </c>
      <c r="AO278" s="23">
        <f t="shared" si="70"/>
        <v>786.88444800000002</v>
      </c>
      <c r="AQ278">
        <f t="shared" si="71"/>
        <v>0.67164179104477606</v>
      </c>
    </row>
    <row r="279" spans="1:43" x14ac:dyDescent="0.35">
      <c r="A279" t="s">
        <v>41</v>
      </c>
      <c r="B279">
        <v>10</v>
      </c>
      <c r="C279">
        <v>2</v>
      </c>
      <c r="D279" t="s">
        <v>42</v>
      </c>
      <c r="E279">
        <v>2</v>
      </c>
      <c r="F279">
        <v>1</v>
      </c>
      <c r="G279" s="12">
        <v>85</v>
      </c>
      <c r="H279" s="12">
        <v>24.774000000000001</v>
      </c>
      <c r="I279" s="12">
        <v>848</v>
      </c>
      <c r="J279" s="12">
        <v>32.566000000000003</v>
      </c>
      <c r="K279" s="12">
        <v>70.626000000000005</v>
      </c>
      <c r="L279" s="12">
        <v>0.83099999999999996</v>
      </c>
      <c r="M279" s="19">
        <v>704.82</v>
      </c>
      <c r="N279" s="12">
        <v>12.621</v>
      </c>
      <c r="O279" s="13">
        <v>8.2919999999999998</v>
      </c>
      <c r="P279" s="14">
        <v>85</v>
      </c>
      <c r="Q279" s="14">
        <v>32.566000000000003</v>
      </c>
      <c r="R279" s="14">
        <v>95.546999999999997</v>
      </c>
      <c r="S279" s="14">
        <v>609.27300000000002</v>
      </c>
      <c r="T279" s="10" t="b">
        <f t="shared" si="58"/>
        <v>1</v>
      </c>
      <c r="U279" s="10" t="b">
        <f t="shared" si="59"/>
        <v>1</v>
      </c>
      <c r="V279" s="11">
        <f>VLOOKUP(IF(J279&lt;10, 10, IF(J279&gt;50,50,J279)),'Over to underbark'!$A$3:$C$43,IF(A279="Scots pine",3,IF(A279="Sitka spruce",2, "error")),TRUE)/100</f>
        <v>0.85</v>
      </c>
      <c r="W279">
        <f t="shared" si="60"/>
        <v>73.093454999999992</v>
      </c>
      <c r="X279">
        <f t="shared" si="61"/>
        <v>466.09384500000004</v>
      </c>
      <c r="Y279">
        <f t="shared" si="62"/>
        <v>95.150700000000029</v>
      </c>
      <c r="Z279">
        <f t="shared" si="63"/>
        <v>236.30402815425006</v>
      </c>
      <c r="AA279">
        <f t="shared" si="64"/>
        <v>55.615630050000014</v>
      </c>
      <c r="AB279">
        <f t="shared" si="65"/>
        <v>85.134539355750007</v>
      </c>
      <c r="AC279">
        <f t="shared" si="66"/>
        <v>257.28380244000004</v>
      </c>
      <c r="AD279">
        <f>LOOKUP($A279,'Over to underbark'!$A$47:$A$48,'Over to underbark'!E$47:E$48)*Z279</f>
        <v>99.247691824785022</v>
      </c>
      <c r="AE279">
        <f>LOOKUP($A279,'Over to underbark'!$A$47:$A$48,'Over to underbark'!E$47:E$48)*AA279</f>
        <v>23.358564621000006</v>
      </c>
      <c r="AF279">
        <f>LOOKUP($A279,'Over to underbark'!$A$47:$A$48,'Over to underbark'!E$47:E$48)*AB279</f>
        <v>35.756506529414999</v>
      </c>
      <c r="AG279">
        <f>LOOKUP($A279,'Over to underbark'!$A$47:$A$48,'Over to underbark'!E$47:E$48)*AC279</f>
        <v>108.05919702480001</v>
      </c>
      <c r="AH279" t="b">
        <f t="shared" si="67"/>
        <v>1</v>
      </c>
      <c r="AI279" t="b">
        <f t="shared" si="68"/>
        <v>1</v>
      </c>
      <c r="AJ279">
        <f>LOOKUP(A279,'Over to underbark'!$A$47:$A$48,'Over to underbark'!E$47:E$48)*M279</f>
        <v>296.02440000000001</v>
      </c>
      <c r="AK279" s="22">
        <f>LOOKUP(A279,'Over to underbark'!$A$47:$A$48,'Over to underbark'!$B$47:$B$48)*AJ279</f>
        <v>100.64829600000002</v>
      </c>
      <c r="AL279" s="22">
        <f>LOOKUP(A279,'Over to underbark'!$A$47:$A$48,'Over to underbark'!C$47:C$48)*AJ279</f>
        <v>103.60854</v>
      </c>
      <c r="AM279" s="22">
        <f t="shared" si="69"/>
        <v>396.67269600000003</v>
      </c>
      <c r="AN279" s="36">
        <v>944.46</v>
      </c>
      <c r="AO279" s="23">
        <f t="shared" si="70"/>
        <v>793.34539200000006</v>
      </c>
      <c r="AQ279">
        <f t="shared" si="71"/>
        <v>0.67164179104477606</v>
      </c>
    </row>
    <row r="280" spans="1:43" x14ac:dyDescent="0.35">
      <c r="A280" t="s">
        <v>41</v>
      </c>
      <c r="B280">
        <v>10</v>
      </c>
      <c r="C280">
        <v>2</v>
      </c>
      <c r="D280" t="s">
        <v>42</v>
      </c>
      <c r="E280">
        <v>2</v>
      </c>
      <c r="F280">
        <v>1</v>
      </c>
      <c r="G280" s="12">
        <v>86</v>
      </c>
      <c r="H280" s="12">
        <v>24.891999999999999</v>
      </c>
      <c r="I280" s="12">
        <v>841</v>
      </c>
      <c r="J280" s="12">
        <v>32.762</v>
      </c>
      <c r="K280" s="12">
        <v>70.918000000000006</v>
      </c>
      <c r="L280" s="12">
        <v>0.84499999999999997</v>
      </c>
      <c r="M280" s="19">
        <v>710.56</v>
      </c>
      <c r="N280" s="12">
        <v>12.702999999999999</v>
      </c>
      <c r="O280" s="13">
        <v>8.2620000000000005</v>
      </c>
      <c r="P280" s="14">
        <v>86</v>
      </c>
      <c r="Q280" s="14">
        <v>32.762</v>
      </c>
      <c r="R280" s="14">
        <v>93.997</v>
      </c>
      <c r="S280" s="14">
        <v>616.56299999999999</v>
      </c>
      <c r="T280" s="10" t="b">
        <f t="shared" ref="T280:T296" si="72">G280=P280</f>
        <v>1</v>
      </c>
      <c r="U280" s="10" t="b">
        <f t="shared" ref="U280:U296" si="73">J280=Q280</f>
        <v>1</v>
      </c>
      <c r="V280" s="11">
        <f>VLOOKUP(IF(J280&lt;10, 10, IF(J280&gt;50,50,J280)),'Over to underbark'!$A$3:$C$43,IF(A280="Scots pine",3,IF(A280="Sitka spruce",2, "error")),TRUE)/100</f>
        <v>0.85</v>
      </c>
      <c r="W280">
        <f t="shared" si="60"/>
        <v>71.907705000000007</v>
      </c>
      <c r="X280">
        <f t="shared" si="61"/>
        <v>471.67069499999997</v>
      </c>
      <c r="Y280">
        <f t="shared" si="62"/>
        <v>95.925600000000017</v>
      </c>
      <c r="Z280">
        <f t="shared" si="63"/>
        <v>237.87342419175002</v>
      </c>
      <c r="AA280">
        <f t="shared" si="64"/>
        <v>55.872647550000011</v>
      </c>
      <c r="AB280">
        <f t="shared" si="65"/>
        <v>85.395704618249994</v>
      </c>
      <c r="AC280">
        <f t="shared" si="66"/>
        <v>260.36222363999997</v>
      </c>
      <c r="AD280">
        <f>LOOKUP($A280,'Over to underbark'!$A$47:$A$48,'Over to underbark'!E$47:E$48)*Z280</f>
        <v>99.906838160535003</v>
      </c>
      <c r="AE280">
        <f>LOOKUP($A280,'Over to underbark'!$A$47:$A$48,'Over to underbark'!E$47:E$48)*AA280</f>
        <v>23.466511971000003</v>
      </c>
      <c r="AF280">
        <f>LOOKUP($A280,'Over to underbark'!$A$47:$A$48,'Over to underbark'!E$47:E$48)*AB280</f>
        <v>35.866195939664998</v>
      </c>
      <c r="AG280">
        <f>LOOKUP($A280,'Over to underbark'!$A$47:$A$48,'Over to underbark'!E$47:E$48)*AC280</f>
        <v>109.35213392879999</v>
      </c>
      <c r="AH280" t="b">
        <f t="shared" si="67"/>
        <v>1</v>
      </c>
      <c r="AI280" t="b">
        <f t="shared" si="68"/>
        <v>1</v>
      </c>
      <c r="AJ280">
        <f>LOOKUP(A280,'Over to underbark'!$A$47:$A$48,'Over to underbark'!E$47:E$48)*M280</f>
        <v>298.43519999999995</v>
      </c>
      <c r="AK280" s="22">
        <f>LOOKUP(A280,'Over to underbark'!$A$47:$A$48,'Over to underbark'!$B$47:$B$48)*AJ280</f>
        <v>101.46796799999998</v>
      </c>
      <c r="AL280" s="22">
        <f>LOOKUP(A280,'Over to underbark'!$A$47:$A$48,'Over to underbark'!C$47:C$48)*AJ280</f>
        <v>104.45231999999997</v>
      </c>
      <c r="AM280" s="22">
        <f t="shared" si="69"/>
        <v>399.90316799999994</v>
      </c>
      <c r="AN280" s="36">
        <v>952.15</v>
      </c>
      <c r="AO280" s="23">
        <f t="shared" si="70"/>
        <v>799.80633599999987</v>
      </c>
      <c r="AQ280">
        <f t="shared" si="71"/>
        <v>0.67164179104477617</v>
      </c>
    </row>
    <row r="281" spans="1:43" x14ac:dyDescent="0.35">
      <c r="A281" t="s">
        <v>41</v>
      </c>
      <c r="B281">
        <v>10</v>
      </c>
      <c r="C281">
        <v>2</v>
      </c>
      <c r="D281" t="s">
        <v>42</v>
      </c>
      <c r="E281">
        <v>2</v>
      </c>
      <c r="F281">
        <v>1</v>
      </c>
      <c r="G281" s="12">
        <v>87</v>
      </c>
      <c r="H281" s="12">
        <v>25.01</v>
      </c>
      <c r="I281" s="12">
        <v>835</v>
      </c>
      <c r="J281" s="12">
        <v>32.96</v>
      </c>
      <c r="K281" s="12">
        <v>71.209999999999994</v>
      </c>
      <c r="L281" s="12">
        <v>0.85799999999999998</v>
      </c>
      <c r="M281" s="19">
        <v>716.3</v>
      </c>
      <c r="N281" s="12">
        <v>12.785</v>
      </c>
      <c r="O281" s="13">
        <v>8.2330000000000005</v>
      </c>
      <c r="P281" s="14">
        <v>87</v>
      </c>
      <c r="Q281" s="14">
        <v>32.96</v>
      </c>
      <c r="R281" s="14">
        <v>92.44</v>
      </c>
      <c r="S281" s="14">
        <v>623.86</v>
      </c>
      <c r="T281" s="10" t="b">
        <f t="shared" si="72"/>
        <v>1</v>
      </c>
      <c r="U281" s="10" t="b">
        <f t="shared" si="73"/>
        <v>1</v>
      </c>
      <c r="V281" s="11">
        <f>VLOOKUP(IF(J281&lt;10, 10, IF(J281&gt;50,50,J281)),'Over to underbark'!$A$3:$C$43,IF(A281="Scots pine",3,IF(A281="Sitka spruce",2, "error")),TRUE)/100</f>
        <v>0.85</v>
      </c>
      <c r="W281">
        <f t="shared" si="60"/>
        <v>70.7166</v>
      </c>
      <c r="X281">
        <f t="shared" si="61"/>
        <v>477.25290000000001</v>
      </c>
      <c r="Y281">
        <f t="shared" si="62"/>
        <v>96.700500000000005</v>
      </c>
      <c r="Z281">
        <f t="shared" si="63"/>
        <v>239.44175271</v>
      </c>
      <c r="AA281">
        <f t="shared" si="64"/>
        <v>56.129076000000005</v>
      </c>
      <c r="AB281">
        <f t="shared" si="65"/>
        <v>85.655570490000002</v>
      </c>
      <c r="AC281">
        <f t="shared" si="66"/>
        <v>263.44360080000001</v>
      </c>
      <c r="AD281">
        <f>LOOKUP($A281,'Over to underbark'!$A$47:$A$48,'Over to underbark'!E$47:E$48)*Z281</f>
        <v>100.5655361382</v>
      </c>
      <c r="AE281">
        <f>LOOKUP($A281,'Over to underbark'!$A$47:$A$48,'Over to underbark'!E$47:E$48)*AA281</f>
        <v>23.57421192</v>
      </c>
      <c r="AF281">
        <f>LOOKUP($A281,'Over to underbark'!$A$47:$A$48,'Over to underbark'!E$47:E$48)*AB281</f>
        <v>35.975339605800002</v>
      </c>
      <c r="AG281">
        <f>LOOKUP($A281,'Over to underbark'!$A$47:$A$48,'Over to underbark'!E$47:E$48)*AC281</f>
        <v>110.64631233600001</v>
      </c>
      <c r="AH281" t="b">
        <f t="shared" si="67"/>
        <v>1</v>
      </c>
      <c r="AI281" t="b">
        <f t="shared" si="68"/>
        <v>1</v>
      </c>
      <c r="AJ281">
        <f>LOOKUP(A281,'Over to underbark'!$A$47:$A$48,'Over to underbark'!E$47:E$48)*M281</f>
        <v>300.84599999999995</v>
      </c>
      <c r="AK281" s="22">
        <f>LOOKUP(A281,'Over to underbark'!$A$47:$A$48,'Over to underbark'!$B$47:$B$48)*AJ281</f>
        <v>102.28764</v>
      </c>
      <c r="AL281" s="22">
        <f>LOOKUP(A281,'Over to underbark'!$A$47:$A$48,'Over to underbark'!C$47:C$48)*AJ281</f>
        <v>105.29609999999998</v>
      </c>
      <c r="AM281" s="22">
        <f t="shared" si="69"/>
        <v>403.13363999999996</v>
      </c>
      <c r="AN281" s="36">
        <v>959.84</v>
      </c>
      <c r="AO281" s="23">
        <f t="shared" si="70"/>
        <v>806.26727999999991</v>
      </c>
      <c r="AQ281">
        <f t="shared" si="71"/>
        <v>0.67164179104477617</v>
      </c>
    </row>
    <row r="282" spans="1:43" x14ac:dyDescent="0.35">
      <c r="A282" t="s">
        <v>41</v>
      </c>
      <c r="B282">
        <v>10</v>
      </c>
      <c r="C282">
        <v>2</v>
      </c>
      <c r="D282" t="s">
        <v>42</v>
      </c>
      <c r="E282">
        <v>2</v>
      </c>
      <c r="F282">
        <v>1</v>
      </c>
      <c r="G282" s="12">
        <v>88</v>
      </c>
      <c r="H282" s="12">
        <v>25.11</v>
      </c>
      <c r="I282" s="12">
        <v>829</v>
      </c>
      <c r="J282" s="12">
        <v>33.127000000000002</v>
      </c>
      <c r="K282" s="12">
        <v>71.47</v>
      </c>
      <c r="L282" s="12">
        <v>0.87</v>
      </c>
      <c r="M282" s="19">
        <v>721.2</v>
      </c>
      <c r="N282" s="12">
        <v>12.861000000000001</v>
      </c>
      <c r="O282" s="13">
        <v>8.1950000000000003</v>
      </c>
      <c r="P282" s="14">
        <v>88</v>
      </c>
      <c r="Q282" s="14">
        <v>33.127000000000002</v>
      </c>
      <c r="R282" s="14">
        <v>91.147999999999996</v>
      </c>
      <c r="S282" s="14">
        <v>630.05200000000002</v>
      </c>
      <c r="T282" s="10" t="b">
        <f t="shared" si="72"/>
        <v>1</v>
      </c>
      <c r="U282" s="10" t="b">
        <f t="shared" si="73"/>
        <v>1</v>
      </c>
      <c r="V282" s="11">
        <f>VLOOKUP(IF(J282&lt;10, 10, IF(J282&gt;50,50,J282)),'Over to underbark'!$A$3:$C$43,IF(A282="Scots pine",3,IF(A282="Sitka spruce",2, "error")),TRUE)/100</f>
        <v>0.85</v>
      </c>
      <c r="W282">
        <f t="shared" si="60"/>
        <v>69.728219999999993</v>
      </c>
      <c r="X282">
        <f t="shared" si="61"/>
        <v>481.98978000000005</v>
      </c>
      <c r="Y282">
        <f t="shared" si="62"/>
        <v>97.362000000000023</v>
      </c>
      <c r="Z282">
        <f t="shared" si="63"/>
        <v>240.78623465700002</v>
      </c>
      <c r="AA282">
        <f t="shared" si="64"/>
        <v>56.351104200000009</v>
      </c>
      <c r="AB282">
        <f t="shared" si="65"/>
        <v>85.884302583000007</v>
      </c>
      <c r="AC282">
        <f t="shared" si="66"/>
        <v>266.05835856000004</v>
      </c>
      <c r="AD282">
        <f>LOOKUP($A282,'Over to underbark'!$A$47:$A$48,'Over to underbark'!E$47:E$48)*Z282</f>
        <v>101.13021855594</v>
      </c>
      <c r="AE282">
        <f>LOOKUP($A282,'Over to underbark'!$A$47:$A$48,'Over to underbark'!E$47:E$48)*AA282</f>
        <v>23.667463764000004</v>
      </c>
      <c r="AF282">
        <f>LOOKUP($A282,'Over to underbark'!$A$47:$A$48,'Over to underbark'!E$47:E$48)*AB282</f>
        <v>36.071407084859999</v>
      </c>
      <c r="AG282">
        <f>LOOKUP($A282,'Over to underbark'!$A$47:$A$48,'Over to underbark'!E$47:E$48)*AC282</f>
        <v>111.74451059520001</v>
      </c>
      <c r="AH282" t="b">
        <f t="shared" si="67"/>
        <v>1</v>
      </c>
      <c r="AI282" t="b">
        <f t="shared" si="68"/>
        <v>1</v>
      </c>
      <c r="AJ282">
        <f>LOOKUP(A282,'Over to underbark'!$A$47:$A$48,'Over to underbark'!E$47:E$48)*M282</f>
        <v>302.904</v>
      </c>
      <c r="AK282" s="22">
        <f>LOOKUP(A282,'Over to underbark'!$A$47:$A$48,'Over to underbark'!$B$47:$B$48)*AJ282</f>
        <v>102.98736000000001</v>
      </c>
      <c r="AL282" s="22">
        <f>LOOKUP(A282,'Over to underbark'!$A$47:$A$48,'Over to underbark'!C$47:C$48)*AJ282</f>
        <v>106.01639999999999</v>
      </c>
      <c r="AM282" s="22">
        <f t="shared" si="69"/>
        <v>405.89136000000002</v>
      </c>
      <c r="AN282" s="36">
        <v>966.41</v>
      </c>
      <c r="AO282" s="23">
        <f t="shared" si="70"/>
        <v>811.78272000000004</v>
      </c>
      <c r="AQ282">
        <f t="shared" si="71"/>
        <v>0.67164179104477617</v>
      </c>
    </row>
    <row r="283" spans="1:43" x14ac:dyDescent="0.35">
      <c r="A283" t="s">
        <v>41</v>
      </c>
      <c r="B283">
        <v>10</v>
      </c>
      <c r="C283">
        <v>2</v>
      </c>
      <c r="D283" t="s">
        <v>42</v>
      </c>
      <c r="E283">
        <v>2</v>
      </c>
      <c r="F283">
        <v>1</v>
      </c>
      <c r="G283" s="12">
        <v>89</v>
      </c>
      <c r="H283" s="12">
        <v>25.21</v>
      </c>
      <c r="I283" s="12">
        <v>824</v>
      </c>
      <c r="J283" s="12">
        <v>33.295999999999999</v>
      </c>
      <c r="K283" s="12">
        <v>71.728999999999999</v>
      </c>
      <c r="L283" s="12">
        <v>0.88100000000000001</v>
      </c>
      <c r="M283" s="19">
        <v>726.1</v>
      </c>
      <c r="N283" s="12">
        <v>12.936</v>
      </c>
      <c r="O283" s="13">
        <v>8.1579999999999995</v>
      </c>
      <c r="P283" s="14">
        <v>89</v>
      </c>
      <c r="Q283" s="14">
        <v>33.295999999999999</v>
      </c>
      <c r="R283" s="14">
        <v>89.843999999999994</v>
      </c>
      <c r="S283" s="14">
        <v>636.25599999999997</v>
      </c>
      <c r="T283" s="10" t="b">
        <f t="shared" si="72"/>
        <v>1</v>
      </c>
      <c r="U283" s="10" t="b">
        <f t="shared" si="73"/>
        <v>1</v>
      </c>
      <c r="V283" s="11">
        <f>VLOOKUP(IF(J283&lt;10, 10, IF(J283&gt;50,50,J283)),'Over to underbark'!$A$3:$C$43,IF(A283="Scots pine",3,IF(A283="Sitka spruce",2, "error")),TRUE)/100</f>
        <v>0.85</v>
      </c>
      <c r="W283">
        <f t="shared" si="60"/>
        <v>68.73066</v>
      </c>
      <c r="X283">
        <f t="shared" si="61"/>
        <v>486.73584</v>
      </c>
      <c r="Y283">
        <f t="shared" si="62"/>
        <v>98.023499999999999</v>
      </c>
      <c r="Z283">
        <f t="shared" si="63"/>
        <v>242.12888657100001</v>
      </c>
      <c r="AA283">
        <f t="shared" si="64"/>
        <v>56.5721226</v>
      </c>
      <c r="AB283">
        <f t="shared" si="65"/>
        <v>86.110807148999996</v>
      </c>
      <c r="AC283">
        <f t="shared" si="66"/>
        <v>268.67818367999996</v>
      </c>
      <c r="AD283">
        <f>LOOKUP($A283,'Over to underbark'!$A$47:$A$48,'Over to underbark'!E$47:E$48)*Z283</f>
        <v>101.69413235982</v>
      </c>
      <c r="AE283">
        <f>LOOKUP($A283,'Over to underbark'!$A$47:$A$48,'Over to underbark'!E$47:E$48)*AA283</f>
        <v>23.760291492</v>
      </c>
      <c r="AF283">
        <f>LOOKUP($A283,'Over to underbark'!$A$47:$A$48,'Over to underbark'!E$47:E$48)*AB283</f>
        <v>36.166539002579995</v>
      </c>
      <c r="AG283">
        <f>LOOKUP($A283,'Over to underbark'!$A$47:$A$48,'Over to underbark'!E$47:E$48)*AC283</f>
        <v>112.84483714559998</v>
      </c>
      <c r="AH283" t="b">
        <f t="shared" si="67"/>
        <v>1</v>
      </c>
      <c r="AI283" t="b">
        <f t="shared" si="68"/>
        <v>1</v>
      </c>
      <c r="AJ283">
        <f>LOOKUP(A283,'Over to underbark'!$A$47:$A$48,'Over to underbark'!E$47:E$48)*M283</f>
        <v>304.96199999999999</v>
      </c>
      <c r="AK283" s="22">
        <f>LOOKUP(A283,'Over to underbark'!$A$47:$A$48,'Over to underbark'!$B$47:$B$48)*AJ283</f>
        <v>103.68708000000001</v>
      </c>
      <c r="AL283" s="22">
        <f>LOOKUP(A283,'Over to underbark'!$A$47:$A$48,'Over to underbark'!C$47:C$48)*AJ283</f>
        <v>106.73669999999998</v>
      </c>
      <c r="AM283" s="22">
        <f t="shared" si="69"/>
        <v>408.64908000000003</v>
      </c>
      <c r="AN283" s="36">
        <v>972.97</v>
      </c>
      <c r="AO283" s="23">
        <f t="shared" si="70"/>
        <v>817.29816000000005</v>
      </c>
      <c r="AQ283">
        <f t="shared" si="71"/>
        <v>0.67164179104477595</v>
      </c>
    </row>
    <row r="284" spans="1:43" x14ac:dyDescent="0.35">
      <c r="A284" t="s">
        <v>41</v>
      </c>
      <c r="B284">
        <v>10</v>
      </c>
      <c r="C284">
        <v>2</v>
      </c>
      <c r="D284" t="s">
        <v>42</v>
      </c>
      <c r="E284">
        <v>2</v>
      </c>
      <c r="F284">
        <v>1</v>
      </c>
      <c r="G284" s="12">
        <v>90</v>
      </c>
      <c r="H284" s="12">
        <v>25.31</v>
      </c>
      <c r="I284" s="12">
        <v>818</v>
      </c>
      <c r="J284" s="12">
        <v>33.466000000000001</v>
      </c>
      <c r="K284" s="12">
        <v>71.988</v>
      </c>
      <c r="L284" s="12">
        <v>0.89300000000000002</v>
      </c>
      <c r="M284" s="19">
        <v>731</v>
      </c>
      <c r="N284" s="12">
        <v>13.009</v>
      </c>
      <c r="O284" s="13">
        <v>8.1219999999999999</v>
      </c>
      <c r="P284" s="14">
        <v>90</v>
      </c>
      <c r="Q284" s="14">
        <v>33.466000000000001</v>
      </c>
      <c r="R284" s="14">
        <v>88.542000000000002</v>
      </c>
      <c r="S284" s="14">
        <v>642.45799999999997</v>
      </c>
      <c r="T284" s="10" t="b">
        <f t="shared" si="72"/>
        <v>1</v>
      </c>
      <c r="U284" s="10" t="b">
        <f t="shared" si="73"/>
        <v>1</v>
      </c>
      <c r="V284" s="11">
        <f>VLOOKUP(IF(J284&lt;10, 10, IF(J284&gt;50,50,J284)),'Over to underbark'!$A$3:$C$43,IF(A284="Scots pine",3,IF(A284="Sitka spruce",2, "error")),TRUE)/100</f>
        <v>0.85</v>
      </c>
      <c r="W284">
        <f t="shared" si="60"/>
        <v>67.73463000000001</v>
      </c>
      <c r="X284">
        <f t="shared" si="61"/>
        <v>491.48036999999994</v>
      </c>
      <c r="Y284">
        <f t="shared" si="62"/>
        <v>98.685000000000016</v>
      </c>
      <c r="Z284">
        <f t="shared" si="63"/>
        <v>243.47184349049999</v>
      </c>
      <c r="AA284">
        <f t="shared" si="64"/>
        <v>56.793309300000011</v>
      </c>
      <c r="AB284">
        <f t="shared" si="65"/>
        <v>86.337682969499994</v>
      </c>
      <c r="AC284">
        <f t="shared" si="66"/>
        <v>271.29716423999997</v>
      </c>
      <c r="AD284">
        <f>LOOKUP($A284,'Over to underbark'!$A$47:$A$48,'Over to underbark'!E$47:E$48)*Z284</f>
        <v>102.25817426600999</v>
      </c>
      <c r="AE284">
        <f>LOOKUP($A284,'Over to underbark'!$A$47:$A$48,'Over to underbark'!E$47:E$48)*AA284</f>
        <v>23.853189906000004</v>
      </c>
      <c r="AF284">
        <f>LOOKUP($A284,'Over to underbark'!$A$47:$A$48,'Over to underbark'!E$47:E$48)*AB284</f>
        <v>36.261826847189994</v>
      </c>
      <c r="AG284">
        <f>LOOKUP($A284,'Over to underbark'!$A$47:$A$48,'Over to underbark'!E$47:E$48)*AC284</f>
        <v>113.94480898079999</v>
      </c>
      <c r="AH284" t="b">
        <f t="shared" si="67"/>
        <v>1</v>
      </c>
      <c r="AI284" t="b">
        <f t="shared" si="68"/>
        <v>1</v>
      </c>
      <c r="AJ284">
        <f>LOOKUP(A284,'Over to underbark'!$A$47:$A$48,'Over to underbark'!E$47:E$48)*M284</f>
        <v>307.02</v>
      </c>
      <c r="AK284" s="22">
        <f>LOOKUP(A284,'Over to underbark'!$A$47:$A$48,'Over to underbark'!$B$47:$B$48)*AJ284</f>
        <v>104.38680000000001</v>
      </c>
      <c r="AL284" s="22">
        <f>LOOKUP(A284,'Over to underbark'!$A$47:$A$48,'Over to underbark'!C$47:C$48)*AJ284</f>
        <v>107.45699999999999</v>
      </c>
      <c r="AM284" s="22">
        <f t="shared" si="69"/>
        <v>411.40679999999998</v>
      </c>
      <c r="AN284" s="36">
        <v>979.54</v>
      </c>
      <c r="AO284" s="23">
        <f t="shared" si="70"/>
        <v>822.81359999999995</v>
      </c>
      <c r="AQ284">
        <f t="shared" si="71"/>
        <v>0.67164179104477617</v>
      </c>
    </row>
    <row r="285" spans="1:43" x14ac:dyDescent="0.35">
      <c r="A285" t="s">
        <v>41</v>
      </c>
      <c r="B285">
        <v>10</v>
      </c>
      <c r="C285">
        <v>2</v>
      </c>
      <c r="D285" t="s">
        <v>42</v>
      </c>
      <c r="E285">
        <v>2</v>
      </c>
      <c r="F285">
        <v>1</v>
      </c>
      <c r="G285" s="12">
        <v>91</v>
      </c>
      <c r="H285" s="12">
        <v>25.41</v>
      </c>
      <c r="I285" s="12">
        <v>813</v>
      </c>
      <c r="J285" s="12">
        <v>33.637</v>
      </c>
      <c r="K285" s="12">
        <v>72.247</v>
      </c>
      <c r="L285" s="12">
        <v>0.90500000000000003</v>
      </c>
      <c r="M285" s="19">
        <v>735.9</v>
      </c>
      <c r="N285" s="12">
        <v>13.082000000000001</v>
      </c>
      <c r="O285" s="13">
        <v>8.0869999999999997</v>
      </c>
      <c r="P285" s="14">
        <v>91</v>
      </c>
      <c r="Q285" s="14">
        <v>33.637</v>
      </c>
      <c r="R285" s="14">
        <v>87.241</v>
      </c>
      <c r="S285" s="14">
        <v>648.65899999999999</v>
      </c>
      <c r="T285" s="10" t="b">
        <f t="shared" si="72"/>
        <v>1</v>
      </c>
      <c r="U285" s="10" t="b">
        <f t="shared" si="73"/>
        <v>1</v>
      </c>
      <c r="V285" s="11">
        <f>VLOOKUP(IF(J285&lt;10, 10, IF(J285&gt;50,50,J285)),'Over to underbark'!$A$3:$C$43,IF(A285="Scots pine",3,IF(A285="Sitka spruce",2, "error")),TRUE)/100</f>
        <v>0.85</v>
      </c>
      <c r="W285">
        <f t="shared" si="60"/>
        <v>66.739365000000006</v>
      </c>
      <c r="X285">
        <f t="shared" si="61"/>
        <v>496.22413499999999</v>
      </c>
      <c r="Y285">
        <f t="shared" si="62"/>
        <v>99.346500000000006</v>
      </c>
      <c r="Z285">
        <f t="shared" si="63"/>
        <v>244.81495291274996</v>
      </c>
      <c r="AA285">
        <f t="shared" si="64"/>
        <v>57.01458015</v>
      </c>
      <c r="AB285">
        <f t="shared" si="65"/>
        <v>86.564744417249997</v>
      </c>
      <c r="AC285">
        <f t="shared" si="66"/>
        <v>273.91572251999997</v>
      </c>
      <c r="AD285">
        <f>LOOKUP($A285,'Over to underbark'!$A$47:$A$48,'Over to underbark'!E$47:E$48)*Z285</f>
        <v>102.82228022335498</v>
      </c>
      <c r="AE285">
        <f>LOOKUP($A285,'Over to underbark'!$A$47:$A$48,'Over to underbark'!E$47:E$48)*AA285</f>
        <v>23.946123662999998</v>
      </c>
      <c r="AF285">
        <f>LOOKUP($A285,'Over to underbark'!$A$47:$A$48,'Over to underbark'!E$47:E$48)*AB285</f>
        <v>36.357192655245001</v>
      </c>
      <c r="AG285">
        <f>LOOKUP($A285,'Over to underbark'!$A$47:$A$48,'Over to underbark'!E$47:E$48)*AC285</f>
        <v>115.04460345839999</v>
      </c>
      <c r="AH285" t="b">
        <f t="shared" si="67"/>
        <v>1</v>
      </c>
      <c r="AI285" t="b">
        <f t="shared" si="68"/>
        <v>1</v>
      </c>
      <c r="AJ285">
        <f>LOOKUP(A285,'Over to underbark'!$A$47:$A$48,'Over to underbark'!E$47:E$48)*M285</f>
        <v>309.07799999999997</v>
      </c>
      <c r="AK285" s="22">
        <f>LOOKUP(A285,'Over to underbark'!$A$47:$A$48,'Over to underbark'!$B$47:$B$48)*AJ285</f>
        <v>105.08651999999999</v>
      </c>
      <c r="AL285" s="22">
        <f>LOOKUP(A285,'Over to underbark'!$A$47:$A$48,'Over to underbark'!C$47:C$48)*AJ285</f>
        <v>108.17729999999999</v>
      </c>
      <c r="AM285" s="22">
        <f t="shared" si="69"/>
        <v>414.16451999999998</v>
      </c>
      <c r="AN285" s="36">
        <v>986.11</v>
      </c>
      <c r="AO285" s="23">
        <f t="shared" si="70"/>
        <v>828.32903999999996</v>
      </c>
      <c r="AQ285">
        <f t="shared" si="71"/>
        <v>0.67164179104477606</v>
      </c>
    </row>
    <row r="286" spans="1:43" x14ac:dyDescent="0.35">
      <c r="A286" t="s">
        <v>41</v>
      </c>
      <c r="B286">
        <v>10</v>
      </c>
      <c r="C286">
        <v>2</v>
      </c>
      <c r="D286" t="s">
        <v>42</v>
      </c>
      <c r="E286">
        <v>2</v>
      </c>
      <c r="F286">
        <v>1</v>
      </c>
      <c r="G286" s="12">
        <v>92</v>
      </c>
      <c r="H286" s="12">
        <v>25.51</v>
      </c>
      <c r="I286" s="12">
        <v>808</v>
      </c>
      <c r="J286" s="12">
        <v>33.81</v>
      </c>
      <c r="K286" s="12">
        <v>72.506</v>
      </c>
      <c r="L286" s="12">
        <v>0.91700000000000004</v>
      </c>
      <c r="M286" s="19">
        <v>740.8</v>
      </c>
      <c r="N286" s="12">
        <v>13.154</v>
      </c>
      <c r="O286" s="13">
        <v>8.0519999999999996</v>
      </c>
      <c r="P286" s="14">
        <v>92</v>
      </c>
      <c r="Q286" s="14">
        <v>33.81</v>
      </c>
      <c r="R286" s="14">
        <v>85.932000000000002</v>
      </c>
      <c r="S286" s="14">
        <v>654.86800000000005</v>
      </c>
      <c r="T286" s="10" t="b">
        <f t="shared" si="72"/>
        <v>1</v>
      </c>
      <c r="U286" s="10" t="b">
        <f t="shared" si="73"/>
        <v>1</v>
      </c>
      <c r="V286" s="11">
        <f>VLOOKUP(IF(J286&lt;10, 10, IF(J286&gt;50,50,J286)),'Over to underbark'!$A$3:$C$43,IF(A286="Scots pine",3,IF(A286="Sitka spruce",2, "error")),TRUE)/100</f>
        <v>0.85</v>
      </c>
      <c r="W286">
        <f t="shared" si="60"/>
        <v>65.737980000000007</v>
      </c>
      <c r="X286">
        <f t="shared" si="61"/>
        <v>500.97402</v>
      </c>
      <c r="Y286">
        <f t="shared" si="62"/>
        <v>100.00800000000002</v>
      </c>
      <c r="Z286">
        <f t="shared" si="63"/>
        <v>246.15684231299997</v>
      </c>
      <c r="AA286">
        <f t="shared" si="64"/>
        <v>57.235177800000017</v>
      </c>
      <c r="AB286">
        <f t="shared" si="65"/>
        <v>86.790320847000004</v>
      </c>
      <c r="AC286">
        <f t="shared" si="66"/>
        <v>276.53765903999999</v>
      </c>
      <c r="AD286">
        <f>LOOKUP($A286,'Over to underbark'!$A$47:$A$48,'Over to underbark'!E$47:E$48)*Z286</f>
        <v>103.38587377145998</v>
      </c>
      <c r="AE286">
        <f>LOOKUP($A286,'Over to underbark'!$A$47:$A$48,'Over to underbark'!E$47:E$48)*AA286</f>
        <v>24.038774676000006</v>
      </c>
      <c r="AF286">
        <f>LOOKUP($A286,'Over to underbark'!$A$47:$A$48,'Over to underbark'!E$47:E$48)*AB286</f>
        <v>36.451934755739998</v>
      </c>
      <c r="AG286">
        <f>LOOKUP($A286,'Over to underbark'!$A$47:$A$48,'Over to underbark'!E$47:E$48)*AC286</f>
        <v>116.14581679679999</v>
      </c>
      <c r="AH286" t="b">
        <f t="shared" si="67"/>
        <v>1</v>
      </c>
      <c r="AI286" t="b">
        <f t="shared" si="68"/>
        <v>1</v>
      </c>
      <c r="AJ286">
        <f>LOOKUP(A286,'Over to underbark'!$A$47:$A$48,'Over to underbark'!E$47:E$48)*M286</f>
        <v>311.13599999999997</v>
      </c>
      <c r="AK286" s="22">
        <f>LOOKUP(A286,'Over to underbark'!$A$47:$A$48,'Over to underbark'!$B$47:$B$48)*AJ286</f>
        <v>105.78623999999999</v>
      </c>
      <c r="AL286" s="22">
        <f>LOOKUP(A286,'Over to underbark'!$A$47:$A$48,'Over to underbark'!C$47:C$48)*AJ286</f>
        <v>108.89759999999998</v>
      </c>
      <c r="AM286" s="22">
        <f t="shared" si="69"/>
        <v>416.92223999999999</v>
      </c>
      <c r="AN286" s="36">
        <v>992.67</v>
      </c>
      <c r="AO286" s="23">
        <f t="shared" si="70"/>
        <v>833.84447999999998</v>
      </c>
      <c r="AQ286">
        <f t="shared" si="71"/>
        <v>0.67164179104477606</v>
      </c>
    </row>
    <row r="287" spans="1:43" x14ac:dyDescent="0.35">
      <c r="A287" t="s">
        <v>41</v>
      </c>
      <c r="B287">
        <v>10</v>
      </c>
      <c r="C287">
        <v>2</v>
      </c>
      <c r="D287" t="s">
        <v>42</v>
      </c>
      <c r="E287">
        <v>2</v>
      </c>
      <c r="F287">
        <v>1</v>
      </c>
      <c r="G287" s="12">
        <v>93</v>
      </c>
      <c r="H287" s="12">
        <v>25.591999999999999</v>
      </c>
      <c r="I287" s="12">
        <v>803</v>
      </c>
      <c r="J287" s="12">
        <v>33.954000000000001</v>
      </c>
      <c r="K287" s="12">
        <v>72.733000000000004</v>
      </c>
      <c r="L287" s="12">
        <v>0.92700000000000005</v>
      </c>
      <c r="M287" s="19">
        <v>744.9</v>
      </c>
      <c r="N287" s="12">
        <v>13.224</v>
      </c>
      <c r="O287" s="13">
        <v>8.01</v>
      </c>
      <c r="P287" s="14">
        <v>93</v>
      </c>
      <c r="Q287" s="14">
        <v>33.954000000000001</v>
      </c>
      <c r="R287" s="14">
        <v>84.855999999999995</v>
      </c>
      <c r="S287" s="14">
        <v>660.04399999999998</v>
      </c>
      <c r="T287" s="10" t="b">
        <f t="shared" si="72"/>
        <v>1</v>
      </c>
      <c r="U287" s="10" t="b">
        <f t="shared" si="73"/>
        <v>1</v>
      </c>
      <c r="V287" s="11">
        <f>VLOOKUP(IF(J287&lt;10, 10, IF(J287&gt;50,50,J287)),'Over to underbark'!$A$3:$C$43,IF(A287="Scots pine",3,IF(A287="Sitka spruce",2, "error")),TRUE)/100</f>
        <v>0.85</v>
      </c>
      <c r="W287">
        <f t="shared" si="60"/>
        <v>64.914839999999998</v>
      </c>
      <c r="X287">
        <f t="shared" si="61"/>
        <v>504.93365999999992</v>
      </c>
      <c r="Y287">
        <f t="shared" si="62"/>
        <v>100.56150000000001</v>
      </c>
      <c r="Z287">
        <f t="shared" si="63"/>
        <v>247.28258885399998</v>
      </c>
      <c r="AA287">
        <f t="shared" si="64"/>
        <v>57.421382400000006</v>
      </c>
      <c r="AB287">
        <f t="shared" si="65"/>
        <v>86.982648425999997</v>
      </c>
      <c r="AC287">
        <f t="shared" si="66"/>
        <v>278.72338031999993</v>
      </c>
      <c r="AD287">
        <f>LOOKUP($A287,'Over to underbark'!$A$47:$A$48,'Over to underbark'!E$47:E$48)*Z287</f>
        <v>103.85868731867998</v>
      </c>
      <c r="AE287">
        <f>LOOKUP($A287,'Over to underbark'!$A$47:$A$48,'Over to underbark'!E$47:E$48)*AA287</f>
        <v>24.116980608000002</v>
      </c>
      <c r="AF287">
        <f>LOOKUP($A287,'Over to underbark'!$A$47:$A$48,'Over to underbark'!E$47:E$48)*AB287</f>
        <v>36.53271233892</v>
      </c>
      <c r="AG287">
        <f>LOOKUP($A287,'Over to underbark'!$A$47:$A$48,'Over to underbark'!E$47:E$48)*AC287</f>
        <v>117.06381973439997</v>
      </c>
      <c r="AH287" t="b">
        <f t="shared" si="67"/>
        <v>1</v>
      </c>
      <c r="AI287" t="b">
        <f t="shared" si="68"/>
        <v>1</v>
      </c>
      <c r="AJ287">
        <f>LOOKUP(A287,'Over to underbark'!$A$47:$A$48,'Over to underbark'!E$47:E$48)*M287</f>
        <v>312.858</v>
      </c>
      <c r="AK287" s="22">
        <f>LOOKUP(A287,'Over to underbark'!$A$47:$A$48,'Over to underbark'!$B$47:$B$48)*AJ287</f>
        <v>106.37172000000001</v>
      </c>
      <c r="AL287" s="22">
        <f>LOOKUP(A287,'Over to underbark'!$A$47:$A$48,'Over to underbark'!C$47:C$48)*AJ287</f>
        <v>109.5003</v>
      </c>
      <c r="AM287" s="22">
        <f t="shared" si="69"/>
        <v>419.22972000000004</v>
      </c>
      <c r="AN287" s="36">
        <v>998.17</v>
      </c>
      <c r="AO287" s="23">
        <f t="shared" si="70"/>
        <v>838.45944000000009</v>
      </c>
      <c r="AQ287">
        <f t="shared" si="71"/>
        <v>0.67164179104477595</v>
      </c>
    </row>
    <row r="288" spans="1:43" x14ac:dyDescent="0.35">
      <c r="A288" t="s">
        <v>41</v>
      </c>
      <c r="B288">
        <v>10</v>
      </c>
      <c r="C288">
        <v>2</v>
      </c>
      <c r="D288" t="s">
        <v>42</v>
      </c>
      <c r="E288">
        <v>2</v>
      </c>
      <c r="F288">
        <v>1</v>
      </c>
      <c r="G288" s="12">
        <v>94</v>
      </c>
      <c r="H288" s="12">
        <v>25.673999999999999</v>
      </c>
      <c r="I288" s="12">
        <v>799</v>
      </c>
      <c r="J288" s="12">
        <v>34.098999999999997</v>
      </c>
      <c r="K288" s="12">
        <v>72.959000000000003</v>
      </c>
      <c r="L288" s="12">
        <v>0.93799999999999994</v>
      </c>
      <c r="M288" s="19">
        <v>749</v>
      </c>
      <c r="N288" s="12">
        <v>13.294</v>
      </c>
      <c r="O288" s="13">
        <v>7.968</v>
      </c>
      <c r="P288" s="14">
        <v>94</v>
      </c>
      <c r="Q288" s="14">
        <v>34.098999999999997</v>
      </c>
      <c r="R288" s="14">
        <v>83.778000000000006</v>
      </c>
      <c r="S288" s="14">
        <v>665.22199999999998</v>
      </c>
      <c r="T288" s="10" t="b">
        <f t="shared" si="72"/>
        <v>1</v>
      </c>
      <c r="U288" s="10" t="b">
        <f t="shared" si="73"/>
        <v>1</v>
      </c>
      <c r="V288" s="11">
        <f>VLOOKUP(IF(J288&lt;10, 10, IF(J288&gt;50,50,J288)),'Over to underbark'!$A$3:$C$43,IF(A288="Scots pine",3,IF(A288="Sitka spruce",2, "error")),TRUE)/100</f>
        <v>0.85</v>
      </c>
      <c r="W288">
        <f t="shared" si="60"/>
        <v>64.090170000000015</v>
      </c>
      <c r="X288">
        <f t="shared" si="61"/>
        <v>508.89482999999996</v>
      </c>
      <c r="Y288">
        <f t="shared" si="62"/>
        <v>101.11500000000002</v>
      </c>
      <c r="Z288">
        <f t="shared" si="63"/>
        <v>248.40803038949997</v>
      </c>
      <c r="AA288">
        <f t="shared" si="64"/>
        <v>57.607418700000011</v>
      </c>
      <c r="AB288">
        <f t="shared" si="65"/>
        <v>87.174604750500009</v>
      </c>
      <c r="AC288">
        <f t="shared" si="66"/>
        <v>280.90994616</v>
      </c>
      <c r="AD288">
        <f>LOOKUP($A288,'Over to underbark'!$A$47:$A$48,'Over to underbark'!E$47:E$48)*Z288</f>
        <v>104.33137276358998</v>
      </c>
      <c r="AE288">
        <f>LOOKUP($A288,'Over to underbark'!$A$47:$A$48,'Over to underbark'!E$47:E$48)*AA288</f>
        <v>24.195115854000004</v>
      </c>
      <c r="AF288">
        <f>LOOKUP($A288,'Over to underbark'!$A$47:$A$48,'Over to underbark'!E$47:E$48)*AB288</f>
        <v>36.613333995210006</v>
      </c>
      <c r="AG288">
        <f>LOOKUP($A288,'Over to underbark'!$A$47:$A$48,'Over to underbark'!E$47:E$48)*AC288</f>
        <v>117.9821773872</v>
      </c>
      <c r="AH288" t="b">
        <f t="shared" si="67"/>
        <v>1</v>
      </c>
      <c r="AI288" t="b">
        <f t="shared" si="68"/>
        <v>1</v>
      </c>
      <c r="AJ288">
        <f>LOOKUP(A288,'Over to underbark'!$A$47:$A$48,'Over to underbark'!E$47:E$48)*M288</f>
        <v>314.58</v>
      </c>
      <c r="AK288" s="22">
        <f>LOOKUP(A288,'Over to underbark'!$A$47:$A$48,'Over to underbark'!$B$47:$B$48)*AJ288</f>
        <v>106.9572</v>
      </c>
      <c r="AL288" s="22">
        <f>LOOKUP(A288,'Over to underbark'!$A$47:$A$48,'Over to underbark'!C$47:C$48)*AJ288</f>
        <v>110.10299999999999</v>
      </c>
      <c r="AM288" s="22">
        <f t="shared" si="69"/>
        <v>421.53719999999998</v>
      </c>
      <c r="AN288" s="36">
        <v>1003.66</v>
      </c>
      <c r="AO288" s="23">
        <f t="shared" si="70"/>
        <v>843.07439999999997</v>
      </c>
      <c r="AQ288">
        <f t="shared" si="71"/>
        <v>0.67164179104477617</v>
      </c>
    </row>
    <row r="289" spans="1:43" x14ac:dyDescent="0.35">
      <c r="A289" t="s">
        <v>41</v>
      </c>
      <c r="B289">
        <v>10</v>
      </c>
      <c r="C289">
        <v>2</v>
      </c>
      <c r="D289" t="s">
        <v>42</v>
      </c>
      <c r="E289">
        <v>2</v>
      </c>
      <c r="F289">
        <v>1</v>
      </c>
      <c r="G289" s="12">
        <v>95</v>
      </c>
      <c r="H289" s="12">
        <v>25.756</v>
      </c>
      <c r="I289" s="12">
        <v>795</v>
      </c>
      <c r="J289" s="12">
        <v>34.244999999999997</v>
      </c>
      <c r="K289" s="12">
        <v>73.185000000000002</v>
      </c>
      <c r="L289" s="12">
        <v>0.94799999999999995</v>
      </c>
      <c r="M289" s="19">
        <v>753.1</v>
      </c>
      <c r="N289" s="12">
        <v>13.363</v>
      </c>
      <c r="O289" s="13">
        <v>7.9269999999999996</v>
      </c>
      <c r="P289" s="14">
        <v>95</v>
      </c>
      <c r="Q289" s="14">
        <v>34.244999999999997</v>
      </c>
      <c r="R289" s="14">
        <v>82.7</v>
      </c>
      <c r="S289" s="14">
        <v>670.4</v>
      </c>
      <c r="T289" s="10" t="b">
        <f t="shared" si="72"/>
        <v>1</v>
      </c>
      <c r="U289" s="10" t="b">
        <f t="shared" si="73"/>
        <v>1</v>
      </c>
      <c r="V289" s="11">
        <f>VLOOKUP(IF(J289&lt;10, 10, IF(J289&gt;50,50,J289)),'Over to underbark'!$A$3:$C$43,IF(A289="Scots pine",3,IF(A289="Sitka spruce",2, "error")),TRUE)/100</f>
        <v>0.85</v>
      </c>
      <c r="W289">
        <f t="shared" si="60"/>
        <v>63.265500000000003</v>
      </c>
      <c r="X289">
        <f t="shared" si="61"/>
        <v>512.85599999999999</v>
      </c>
      <c r="Y289">
        <f t="shared" si="62"/>
        <v>101.66850000000002</v>
      </c>
      <c r="Z289">
        <f t="shared" si="63"/>
        <v>249.53347192499999</v>
      </c>
      <c r="AA289">
        <f t="shared" si="64"/>
        <v>57.793455000000009</v>
      </c>
      <c r="AB289">
        <f t="shared" si="65"/>
        <v>87.366561074999993</v>
      </c>
      <c r="AC289">
        <f t="shared" si="66"/>
        <v>283.09651200000002</v>
      </c>
      <c r="AD289">
        <f>LOOKUP($A289,'Over to underbark'!$A$47:$A$48,'Over to underbark'!E$47:E$48)*Z289</f>
        <v>104.8040582085</v>
      </c>
      <c r="AE289">
        <f>LOOKUP($A289,'Over to underbark'!$A$47:$A$48,'Over to underbark'!E$47:E$48)*AA289</f>
        <v>24.273251100000003</v>
      </c>
      <c r="AF289">
        <f>LOOKUP($A289,'Over to underbark'!$A$47:$A$48,'Over to underbark'!E$47:E$48)*AB289</f>
        <v>36.693955651499998</v>
      </c>
      <c r="AG289">
        <f>LOOKUP($A289,'Over to underbark'!$A$47:$A$48,'Over to underbark'!E$47:E$48)*AC289</f>
        <v>118.90053504000001</v>
      </c>
      <c r="AH289" t="b">
        <f t="shared" si="67"/>
        <v>1</v>
      </c>
      <c r="AI289" t="b">
        <f t="shared" si="68"/>
        <v>1</v>
      </c>
      <c r="AJ289">
        <f>LOOKUP(A289,'Over to underbark'!$A$47:$A$48,'Over to underbark'!E$47:E$48)*M289</f>
        <v>316.30200000000002</v>
      </c>
      <c r="AK289" s="22">
        <f>LOOKUP(A289,'Over to underbark'!$A$47:$A$48,'Over to underbark'!$B$47:$B$48)*AJ289</f>
        <v>107.54268000000002</v>
      </c>
      <c r="AL289" s="22">
        <f>LOOKUP(A289,'Over to underbark'!$A$47:$A$48,'Over to underbark'!C$47:C$48)*AJ289</f>
        <v>110.70570000000001</v>
      </c>
      <c r="AM289" s="22">
        <f t="shared" si="69"/>
        <v>423.84468000000004</v>
      </c>
      <c r="AN289" s="36">
        <v>1009.15</v>
      </c>
      <c r="AO289" s="23">
        <f t="shared" si="70"/>
        <v>847.68936000000008</v>
      </c>
      <c r="AQ289">
        <f t="shared" si="71"/>
        <v>0.67164179104477606</v>
      </c>
    </row>
    <row r="290" spans="1:43" x14ac:dyDescent="0.35">
      <c r="A290" t="s">
        <v>41</v>
      </c>
      <c r="B290">
        <v>10</v>
      </c>
      <c r="C290">
        <v>2</v>
      </c>
      <c r="D290" t="s">
        <v>42</v>
      </c>
      <c r="E290">
        <v>2</v>
      </c>
      <c r="F290">
        <v>1</v>
      </c>
      <c r="G290" s="12">
        <v>96</v>
      </c>
      <c r="H290" s="12">
        <v>25.838000000000001</v>
      </c>
      <c r="I290" s="12">
        <v>790</v>
      </c>
      <c r="J290" s="12">
        <v>34.392000000000003</v>
      </c>
      <c r="K290" s="12">
        <v>73.412000000000006</v>
      </c>
      <c r="L290" s="12">
        <v>0.95799999999999996</v>
      </c>
      <c r="M290" s="19">
        <v>757.2</v>
      </c>
      <c r="N290" s="12">
        <v>13.430999999999999</v>
      </c>
      <c r="O290" s="13">
        <v>7.8869999999999996</v>
      </c>
      <c r="P290" s="14">
        <v>96</v>
      </c>
      <c r="Q290" s="14">
        <v>34.392000000000003</v>
      </c>
      <c r="R290" s="14">
        <v>81.622</v>
      </c>
      <c r="S290" s="14">
        <v>675.57799999999997</v>
      </c>
      <c r="T290" s="10" t="b">
        <f t="shared" si="72"/>
        <v>1</v>
      </c>
      <c r="U290" s="10" t="b">
        <f t="shared" si="73"/>
        <v>1</v>
      </c>
      <c r="V290" s="11">
        <f>VLOOKUP(IF(J290&lt;10, 10, IF(J290&gt;50,50,J290)),'Over to underbark'!$A$3:$C$43,IF(A290="Scots pine",3,IF(A290="Sitka spruce",2, "error")),TRUE)/100</f>
        <v>0.85</v>
      </c>
      <c r="W290">
        <f t="shared" si="60"/>
        <v>62.440829999999998</v>
      </c>
      <c r="X290">
        <f t="shared" si="61"/>
        <v>516.81717000000003</v>
      </c>
      <c r="Y290">
        <f t="shared" si="62"/>
        <v>102.22199999999999</v>
      </c>
      <c r="Z290">
        <f t="shared" si="63"/>
        <v>250.65891346050003</v>
      </c>
      <c r="AA290">
        <f t="shared" si="64"/>
        <v>57.979491299999999</v>
      </c>
      <c r="AB290">
        <f t="shared" si="65"/>
        <v>87.558517399500005</v>
      </c>
      <c r="AC290">
        <f t="shared" si="66"/>
        <v>285.28307784000003</v>
      </c>
      <c r="AD290">
        <f>LOOKUP($A290,'Over to underbark'!$A$47:$A$48,'Over to underbark'!E$47:E$48)*Z290</f>
        <v>105.27674365341001</v>
      </c>
      <c r="AE290">
        <f>LOOKUP($A290,'Over to underbark'!$A$47:$A$48,'Over to underbark'!E$47:E$48)*AA290</f>
        <v>24.351386345999998</v>
      </c>
      <c r="AF290">
        <f>LOOKUP($A290,'Over to underbark'!$A$47:$A$48,'Over to underbark'!E$47:E$48)*AB290</f>
        <v>36.774577307790004</v>
      </c>
      <c r="AG290">
        <f>LOOKUP($A290,'Over to underbark'!$A$47:$A$48,'Over to underbark'!E$47:E$48)*AC290</f>
        <v>119.81889269280001</v>
      </c>
      <c r="AH290" t="b">
        <f t="shared" si="67"/>
        <v>1</v>
      </c>
      <c r="AI290" t="b">
        <f t="shared" si="68"/>
        <v>1</v>
      </c>
      <c r="AJ290">
        <f>LOOKUP(A290,'Over to underbark'!$A$47:$A$48,'Over to underbark'!E$47:E$48)*M290</f>
        <v>318.024</v>
      </c>
      <c r="AK290" s="22">
        <f>LOOKUP(A290,'Over to underbark'!$A$47:$A$48,'Over to underbark'!$B$47:$B$48)*AJ290</f>
        <v>108.12816000000001</v>
      </c>
      <c r="AL290" s="22">
        <f>LOOKUP(A290,'Over to underbark'!$A$47:$A$48,'Over to underbark'!C$47:C$48)*AJ290</f>
        <v>111.30839999999999</v>
      </c>
      <c r="AM290" s="22">
        <f t="shared" si="69"/>
        <v>426.15215999999998</v>
      </c>
      <c r="AN290" s="36">
        <v>1014.65</v>
      </c>
      <c r="AO290" s="23">
        <f t="shared" si="70"/>
        <v>852.30431999999996</v>
      </c>
      <c r="AQ290">
        <f t="shared" si="71"/>
        <v>0.67164179104477617</v>
      </c>
    </row>
    <row r="291" spans="1:43" x14ac:dyDescent="0.35">
      <c r="A291" t="s">
        <v>41</v>
      </c>
      <c r="B291">
        <v>10</v>
      </c>
      <c r="C291">
        <v>2</v>
      </c>
      <c r="D291" t="s">
        <v>42</v>
      </c>
      <c r="E291">
        <v>2</v>
      </c>
      <c r="F291">
        <v>1</v>
      </c>
      <c r="G291" s="12">
        <v>97</v>
      </c>
      <c r="H291" s="12">
        <v>25.92</v>
      </c>
      <c r="I291" s="12">
        <v>786</v>
      </c>
      <c r="J291" s="12">
        <v>34.54</v>
      </c>
      <c r="K291" s="12">
        <v>73.638000000000005</v>
      </c>
      <c r="L291" s="12">
        <v>0.96899999999999997</v>
      </c>
      <c r="M291" s="19">
        <v>761.3</v>
      </c>
      <c r="N291" s="12">
        <v>13.497999999999999</v>
      </c>
      <c r="O291" s="13">
        <v>7.8479999999999999</v>
      </c>
      <c r="P291" s="14">
        <v>97</v>
      </c>
      <c r="Q291" s="14">
        <v>34.54</v>
      </c>
      <c r="R291" s="14">
        <v>80.543999999999997</v>
      </c>
      <c r="S291" s="14">
        <v>680.75599999999997</v>
      </c>
      <c r="T291" s="10" t="b">
        <f t="shared" si="72"/>
        <v>1</v>
      </c>
      <c r="U291" s="10" t="b">
        <f t="shared" si="73"/>
        <v>1</v>
      </c>
      <c r="V291" s="11">
        <f>VLOOKUP(IF(J291&lt;10, 10, IF(J291&gt;50,50,J291)),'Over to underbark'!$A$3:$C$43,IF(A291="Scots pine",3,IF(A291="Sitka spruce",2, "error")),TRUE)/100</f>
        <v>0.85</v>
      </c>
      <c r="W291">
        <f t="shared" si="60"/>
        <v>61.616159999999994</v>
      </c>
      <c r="X291">
        <f t="shared" si="61"/>
        <v>520.77833999999996</v>
      </c>
      <c r="Y291">
        <f t="shared" si="62"/>
        <v>102.77550000000001</v>
      </c>
      <c r="Z291">
        <f t="shared" si="63"/>
        <v>251.78435499599999</v>
      </c>
      <c r="AA291">
        <f t="shared" si="64"/>
        <v>58.165527600000004</v>
      </c>
      <c r="AB291">
        <f t="shared" si="65"/>
        <v>87.750473723999988</v>
      </c>
      <c r="AC291">
        <f t="shared" si="66"/>
        <v>287.46964367999999</v>
      </c>
      <c r="AD291">
        <f>LOOKUP($A291,'Over to underbark'!$A$47:$A$48,'Over to underbark'!E$47:E$48)*Z291</f>
        <v>105.74942909831999</v>
      </c>
      <c r="AE291">
        <f>LOOKUP($A291,'Over to underbark'!$A$47:$A$48,'Over to underbark'!E$47:E$48)*AA291</f>
        <v>24.429521592</v>
      </c>
      <c r="AF291">
        <f>LOOKUP($A291,'Over to underbark'!$A$47:$A$48,'Over to underbark'!E$47:E$48)*AB291</f>
        <v>36.855198964079996</v>
      </c>
      <c r="AG291">
        <f>LOOKUP($A291,'Over to underbark'!$A$47:$A$48,'Over to underbark'!E$47:E$48)*AC291</f>
        <v>120.73725034559999</v>
      </c>
      <c r="AH291" t="b">
        <f t="shared" si="67"/>
        <v>1</v>
      </c>
      <c r="AI291" t="b">
        <f t="shared" si="68"/>
        <v>1</v>
      </c>
      <c r="AJ291">
        <f>LOOKUP(A291,'Over to underbark'!$A$47:$A$48,'Over to underbark'!E$47:E$48)*M291</f>
        <v>319.74599999999998</v>
      </c>
      <c r="AK291" s="22">
        <f>LOOKUP(A291,'Over to underbark'!$A$47:$A$48,'Over to underbark'!$B$47:$B$48)*AJ291</f>
        <v>108.71364</v>
      </c>
      <c r="AL291" s="22">
        <f>LOOKUP(A291,'Over to underbark'!$A$47:$A$48,'Over to underbark'!C$47:C$48)*AJ291</f>
        <v>111.91109999999999</v>
      </c>
      <c r="AM291" s="22">
        <f t="shared" si="69"/>
        <v>428.45963999999998</v>
      </c>
      <c r="AN291" s="36">
        <v>1020.14</v>
      </c>
      <c r="AO291" s="23">
        <f t="shared" si="70"/>
        <v>856.91927999999996</v>
      </c>
      <c r="AQ291">
        <f t="shared" si="71"/>
        <v>0.67164179104477606</v>
      </c>
    </row>
    <row r="292" spans="1:43" x14ac:dyDescent="0.35">
      <c r="A292" t="s">
        <v>41</v>
      </c>
      <c r="B292">
        <v>10</v>
      </c>
      <c r="C292">
        <v>2</v>
      </c>
      <c r="D292" t="s">
        <v>42</v>
      </c>
      <c r="E292">
        <v>2</v>
      </c>
      <c r="F292">
        <v>1</v>
      </c>
      <c r="G292" s="12">
        <v>98</v>
      </c>
      <c r="H292" s="12">
        <v>25.994</v>
      </c>
      <c r="I292" s="12">
        <v>782</v>
      </c>
      <c r="J292" s="12">
        <v>34.673999999999999</v>
      </c>
      <c r="K292" s="12">
        <v>73.855000000000004</v>
      </c>
      <c r="L292" s="12">
        <v>0.97799999999999998</v>
      </c>
      <c r="M292" s="19">
        <v>765.1</v>
      </c>
      <c r="N292" s="12">
        <v>13.561999999999999</v>
      </c>
      <c r="O292" s="13">
        <v>7.8070000000000004</v>
      </c>
      <c r="P292" s="14">
        <v>98</v>
      </c>
      <c r="Q292" s="14">
        <v>34.673999999999999</v>
      </c>
      <c r="R292" s="14">
        <v>79.585999999999999</v>
      </c>
      <c r="S292" s="14">
        <v>685.51400000000001</v>
      </c>
      <c r="T292" s="10" t="b">
        <f t="shared" si="72"/>
        <v>1</v>
      </c>
      <c r="U292" s="10" t="b">
        <f t="shared" si="73"/>
        <v>1</v>
      </c>
      <c r="V292" s="11">
        <f>VLOOKUP(IF(J292&lt;10, 10, IF(J292&gt;50,50,J292)),'Over to underbark'!$A$3:$C$43,IF(A292="Scots pine",3,IF(A292="Sitka spruce",2, "error")),TRUE)/100</f>
        <v>0.85</v>
      </c>
      <c r="W292">
        <f t="shared" si="60"/>
        <v>60.883289999999995</v>
      </c>
      <c r="X292">
        <f t="shared" si="61"/>
        <v>524.41821000000004</v>
      </c>
      <c r="Y292">
        <f t="shared" si="62"/>
        <v>103.28850000000001</v>
      </c>
      <c r="Z292">
        <f t="shared" si="63"/>
        <v>252.83371836150002</v>
      </c>
      <c r="AA292">
        <f t="shared" si="64"/>
        <v>58.341411900000004</v>
      </c>
      <c r="AB292">
        <f t="shared" si="65"/>
        <v>87.936017818500005</v>
      </c>
      <c r="AC292">
        <f t="shared" si="66"/>
        <v>289.47885192000001</v>
      </c>
      <c r="AD292">
        <f>LOOKUP($A292,'Over to underbark'!$A$47:$A$48,'Over to underbark'!E$47:E$48)*Z292</f>
        <v>106.19016171183</v>
      </c>
      <c r="AE292">
        <f>LOOKUP($A292,'Over to underbark'!$A$47:$A$48,'Over to underbark'!E$47:E$48)*AA292</f>
        <v>24.503392998000002</v>
      </c>
      <c r="AF292">
        <f>LOOKUP($A292,'Over to underbark'!$A$47:$A$48,'Over to underbark'!E$47:E$48)*AB292</f>
        <v>36.933127483770001</v>
      </c>
      <c r="AG292">
        <f>LOOKUP($A292,'Over to underbark'!$A$47:$A$48,'Over to underbark'!E$47:E$48)*AC292</f>
        <v>121.5811178064</v>
      </c>
      <c r="AH292" t="b">
        <f t="shared" si="67"/>
        <v>1</v>
      </c>
      <c r="AI292" t="b">
        <f t="shared" si="68"/>
        <v>1</v>
      </c>
      <c r="AJ292">
        <f>LOOKUP(A292,'Over to underbark'!$A$47:$A$48,'Over to underbark'!E$47:E$48)*M292</f>
        <v>321.34199999999998</v>
      </c>
      <c r="AK292" s="22">
        <f>LOOKUP(A292,'Over to underbark'!$A$47:$A$48,'Over to underbark'!$B$47:$B$48)*AJ292</f>
        <v>109.25628</v>
      </c>
      <c r="AL292" s="22">
        <f>LOOKUP(A292,'Over to underbark'!$A$47:$A$48,'Over to underbark'!C$47:C$48)*AJ292</f>
        <v>112.46969999999999</v>
      </c>
      <c r="AM292" s="22">
        <f t="shared" si="69"/>
        <v>430.59827999999999</v>
      </c>
      <c r="AN292" s="36">
        <v>1025.23</v>
      </c>
      <c r="AO292" s="23">
        <f t="shared" si="70"/>
        <v>861.19655999999998</v>
      </c>
      <c r="AQ292">
        <f t="shared" si="71"/>
        <v>0.67164179104477617</v>
      </c>
    </row>
    <row r="293" spans="1:43" x14ac:dyDescent="0.35">
      <c r="A293" t="s">
        <v>41</v>
      </c>
      <c r="B293">
        <v>10</v>
      </c>
      <c r="C293">
        <v>2</v>
      </c>
      <c r="D293" t="s">
        <v>42</v>
      </c>
      <c r="E293">
        <v>2</v>
      </c>
      <c r="F293">
        <v>1</v>
      </c>
      <c r="G293" s="12">
        <v>99</v>
      </c>
      <c r="H293" s="12">
        <v>26.068000000000001</v>
      </c>
      <c r="I293" s="12">
        <v>778</v>
      </c>
      <c r="J293" s="12">
        <v>34.81</v>
      </c>
      <c r="K293" s="12">
        <v>74.072999999999993</v>
      </c>
      <c r="L293" s="12">
        <v>0.98799999999999999</v>
      </c>
      <c r="M293" s="19">
        <v>768.9</v>
      </c>
      <c r="N293" s="12">
        <v>13.624000000000001</v>
      </c>
      <c r="O293" s="13">
        <v>7.7670000000000003</v>
      </c>
      <c r="P293" s="14">
        <v>99</v>
      </c>
      <c r="Q293" s="14">
        <v>34.81</v>
      </c>
      <c r="R293" s="14">
        <v>78.617000000000004</v>
      </c>
      <c r="S293" s="14">
        <v>690.28300000000002</v>
      </c>
      <c r="T293" s="10" t="b">
        <f t="shared" si="72"/>
        <v>1</v>
      </c>
      <c r="U293" s="10" t="b">
        <f t="shared" si="73"/>
        <v>1</v>
      </c>
      <c r="V293" s="11">
        <f>VLOOKUP(IF(J293&lt;10, 10, IF(J293&gt;50,50,J293)),'Over to underbark'!$A$3:$C$43,IF(A293="Scots pine",3,IF(A293="Sitka spruce",2, "error")),TRUE)/100</f>
        <v>0.85</v>
      </c>
      <c r="W293">
        <f t="shared" si="60"/>
        <v>60.142005000000005</v>
      </c>
      <c r="X293">
        <f t="shared" si="61"/>
        <v>528.06649500000003</v>
      </c>
      <c r="Y293">
        <f t="shared" si="62"/>
        <v>103.80150000000002</v>
      </c>
      <c r="Z293">
        <f t="shared" si="63"/>
        <v>253.88140419675</v>
      </c>
      <c r="AA293">
        <f t="shared" si="64"/>
        <v>58.516370550000012</v>
      </c>
      <c r="AB293">
        <f t="shared" si="65"/>
        <v>88.119520013249996</v>
      </c>
      <c r="AC293">
        <f t="shared" si="66"/>
        <v>291.49270524000002</v>
      </c>
      <c r="AD293">
        <f>LOOKUP($A293,'Over to underbark'!$A$47:$A$48,'Over to underbark'!E$47:E$48)*Z293</f>
        <v>106.630189762635</v>
      </c>
      <c r="AE293">
        <f>LOOKUP($A293,'Over to underbark'!$A$47:$A$48,'Over to underbark'!E$47:E$48)*AA293</f>
        <v>24.576875631000004</v>
      </c>
      <c r="AF293">
        <f>LOOKUP($A293,'Over to underbark'!$A$47:$A$48,'Over to underbark'!E$47:E$48)*AB293</f>
        <v>37.010198405564999</v>
      </c>
      <c r="AG293">
        <f>LOOKUP($A293,'Over to underbark'!$A$47:$A$48,'Over to underbark'!E$47:E$48)*AC293</f>
        <v>122.4269362008</v>
      </c>
      <c r="AH293" t="b">
        <f t="shared" si="67"/>
        <v>1</v>
      </c>
      <c r="AI293" t="b">
        <f t="shared" si="68"/>
        <v>1</v>
      </c>
      <c r="AJ293">
        <f>LOOKUP(A293,'Over to underbark'!$A$47:$A$48,'Over to underbark'!E$47:E$48)*M293</f>
        <v>322.93799999999999</v>
      </c>
      <c r="AK293" s="22">
        <f>LOOKUP(A293,'Over to underbark'!$A$47:$A$48,'Over to underbark'!$B$47:$B$48)*AJ293</f>
        <v>109.79892000000001</v>
      </c>
      <c r="AL293" s="22">
        <f>LOOKUP(A293,'Over to underbark'!$A$47:$A$48,'Over to underbark'!C$47:C$48)*AJ293</f>
        <v>113.02829999999999</v>
      </c>
      <c r="AM293" s="22">
        <f t="shared" si="69"/>
        <v>432.73692</v>
      </c>
      <c r="AN293" s="36">
        <v>1030.33</v>
      </c>
      <c r="AO293" s="23">
        <f t="shared" si="70"/>
        <v>865.47384</v>
      </c>
      <c r="AQ293">
        <f t="shared" si="71"/>
        <v>0.67164179104477617</v>
      </c>
    </row>
    <row r="294" spans="1:43" x14ac:dyDescent="0.35">
      <c r="A294" t="s">
        <v>41</v>
      </c>
      <c r="B294">
        <v>10</v>
      </c>
      <c r="C294">
        <v>2</v>
      </c>
      <c r="D294" t="s">
        <v>42</v>
      </c>
      <c r="E294">
        <v>2</v>
      </c>
      <c r="F294">
        <v>1</v>
      </c>
      <c r="G294" s="12">
        <v>100</v>
      </c>
      <c r="H294" s="12">
        <v>26.141999999999999</v>
      </c>
      <c r="I294" s="12">
        <v>775</v>
      </c>
      <c r="J294" s="12">
        <v>34.945999999999998</v>
      </c>
      <c r="K294" s="12">
        <v>74.290000000000006</v>
      </c>
      <c r="L294" s="12">
        <v>0.998</v>
      </c>
      <c r="M294" s="19">
        <v>772.7</v>
      </c>
      <c r="N294" s="12">
        <v>13.686</v>
      </c>
      <c r="O294" s="13">
        <v>7.7270000000000003</v>
      </c>
      <c r="P294" s="14">
        <v>100</v>
      </c>
      <c r="Q294" s="14">
        <v>34.945999999999998</v>
      </c>
      <c r="R294" s="14">
        <v>77.656000000000006</v>
      </c>
      <c r="S294" s="14">
        <v>695.04399999999998</v>
      </c>
      <c r="T294" s="10" t="b">
        <f t="shared" si="72"/>
        <v>1</v>
      </c>
      <c r="U294" s="10" t="b">
        <f t="shared" si="73"/>
        <v>1</v>
      </c>
      <c r="V294" s="11">
        <f>VLOOKUP(IF(J294&lt;10, 10, IF(J294&gt;50,50,J294)),'Over to underbark'!$A$3:$C$43,IF(A294="Scots pine",3,IF(A294="Sitka spruce",2, "error")),TRUE)/100</f>
        <v>0.85</v>
      </c>
      <c r="W294">
        <f t="shared" si="60"/>
        <v>59.40684000000001</v>
      </c>
      <c r="X294">
        <f t="shared" si="61"/>
        <v>531.7086599999999</v>
      </c>
      <c r="Y294">
        <f t="shared" si="62"/>
        <v>104.31450000000002</v>
      </c>
      <c r="Z294">
        <f t="shared" si="63"/>
        <v>254.93031005399996</v>
      </c>
      <c r="AA294">
        <f t="shared" si="64"/>
        <v>58.692002400000014</v>
      </c>
      <c r="AB294">
        <f t="shared" si="65"/>
        <v>88.304507225999984</v>
      </c>
      <c r="AC294">
        <f t="shared" si="66"/>
        <v>293.50318031999996</v>
      </c>
      <c r="AD294">
        <f>LOOKUP($A294,'Over to underbark'!$A$47:$A$48,'Over to underbark'!E$47:E$48)*Z294</f>
        <v>107.07073022267998</v>
      </c>
      <c r="AE294">
        <f>LOOKUP($A294,'Over to underbark'!$A$47:$A$48,'Over to underbark'!E$47:E$48)*AA294</f>
        <v>24.650641008000004</v>
      </c>
      <c r="AF294">
        <f>LOOKUP($A294,'Over to underbark'!$A$47:$A$48,'Over to underbark'!E$47:E$48)*AB294</f>
        <v>37.087893034919993</v>
      </c>
      <c r="AG294">
        <f>LOOKUP($A294,'Over to underbark'!$A$47:$A$48,'Over to underbark'!E$47:E$48)*AC294</f>
        <v>123.27133573439998</v>
      </c>
      <c r="AH294" t="b">
        <f t="shared" si="67"/>
        <v>1</v>
      </c>
      <c r="AI294" t="b">
        <f t="shared" si="68"/>
        <v>1</v>
      </c>
      <c r="AJ294">
        <f>LOOKUP(A294,'Over to underbark'!$A$47:$A$48,'Over to underbark'!E$47:E$48)*M294</f>
        <v>324.53399999999999</v>
      </c>
      <c r="AK294" s="22">
        <f>LOOKUP(A294,'Over to underbark'!$A$47:$A$48,'Over to underbark'!$B$47:$B$48)*AJ294</f>
        <v>110.34156</v>
      </c>
      <c r="AL294" s="22">
        <f>LOOKUP(A294,'Over to underbark'!$A$47:$A$48,'Over to underbark'!C$47:C$48)*AJ294</f>
        <v>113.58689999999999</v>
      </c>
      <c r="AM294" s="22">
        <f t="shared" si="69"/>
        <v>434.87556000000001</v>
      </c>
      <c r="AN294" s="36">
        <v>1035.42</v>
      </c>
      <c r="AO294" s="23">
        <f t="shared" si="70"/>
        <v>869.75112000000001</v>
      </c>
      <c r="AQ294">
        <f t="shared" si="71"/>
        <v>0.67164179104477595</v>
      </c>
    </row>
    <row r="295" spans="1:43" x14ac:dyDescent="0.35">
      <c r="A295" t="s">
        <v>41</v>
      </c>
      <c r="B295">
        <v>10</v>
      </c>
      <c r="C295">
        <v>2</v>
      </c>
      <c r="D295" t="s">
        <v>42</v>
      </c>
      <c r="E295">
        <v>2</v>
      </c>
      <c r="F295">
        <v>1</v>
      </c>
      <c r="G295" s="12">
        <v>101</v>
      </c>
      <c r="H295" s="12">
        <v>26.216000000000001</v>
      </c>
      <c r="I295" s="12">
        <v>771</v>
      </c>
      <c r="J295" s="12">
        <v>35.082000000000001</v>
      </c>
      <c r="K295" s="12">
        <v>74.507000000000005</v>
      </c>
      <c r="L295" s="12">
        <v>1.0069999999999999</v>
      </c>
      <c r="M295" s="19">
        <v>776.5</v>
      </c>
      <c r="N295" s="12">
        <v>13.747</v>
      </c>
      <c r="O295" s="13">
        <v>7.6879999999999997</v>
      </c>
      <c r="P295" s="14">
        <v>101</v>
      </c>
      <c r="Q295" s="14">
        <v>35.082000000000001</v>
      </c>
      <c r="R295" s="14">
        <v>76.704999999999998</v>
      </c>
      <c r="S295" s="14">
        <v>699.79499999999996</v>
      </c>
      <c r="T295" s="10" t="b">
        <f t="shared" si="72"/>
        <v>1</v>
      </c>
      <c r="U295" s="10" t="b">
        <f t="shared" si="73"/>
        <v>1</v>
      </c>
      <c r="V295" s="11">
        <f>VLOOKUP(IF(J295&lt;10, 10, IF(J295&gt;50,50,J295)),'Over to underbark'!$A$3:$C$43,IF(A295="Scots pine",3,IF(A295="Sitka spruce",2, "error")),TRUE)/100</f>
        <v>0.85</v>
      </c>
      <c r="W295">
        <f t="shared" si="60"/>
        <v>58.679324999999992</v>
      </c>
      <c r="X295">
        <f t="shared" si="61"/>
        <v>535.34317499999997</v>
      </c>
      <c r="Y295">
        <f t="shared" si="62"/>
        <v>104.82750000000001</v>
      </c>
      <c r="Z295">
        <f t="shared" si="63"/>
        <v>255.98074093874999</v>
      </c>
      <c r="AA295">
        <f t="shared" si="64"/>
        <v>58.868475750000009</v>
      </c>
      <c r="AB295">
        <f t="shared" si="65"/>
        <v>88.491350711249993</v>
      </c>
      <c r="AC295">
        <f t="shared" si="66"/>
        <v>295.50943259999997</v>
      </c>
      <c r="AD295">
        <f>LOOKUP($A295,'Over to underbark'!$A$47:$A$48,'Over to underbark'!E$47:E$48)*Z295</f>
        <v>107.51191119427499</v>
      </c>
      <c r="AE295">
        <f>LOOKUP($A295,'Over to underbark'!$A$47:$A$48,'Over to underbark'!E$47:E$48)*AA295</f>
        <v>24.724759815000002</v>
      </c>
      <c r="AF295">
        <f>LOOKUP($A295,'Over to underbark'!$A$47:$A$48,'Over to underbark'!E$47:E$48)*AB295</f>
        <v>37.166367298724992</v>
      </c>
      <c r="AG295">
        <f>LOOKUP($A295,'Over to underbark'!$A$47:$A$48,'Over to underbark'!E$47:E$48)*AC295</f>
        <v>124.11396169199998</v>
      </c>
      <c r="AH295" t="b">
        <f t="shared" si="67"/>
        <v>1</v>
      </c>
      <c r="AI295" t="b">
        <f t="shared" si="68"/>
        <v>1</v>
      </c>
      <c r="AJ295">
        <f>LOOKUP(A295,'Over to underbark'!$A$47:$A$48,'Over to underbark'!E$47:E$48)*M295</f>
        <v>326.13</v>
      </c>
      <c r="AK295" s="22">
        <f>LOOKUP(A295,'Over to underbark'!$A$47:$A$48,'Over to underbark'!$B$47:$B$48)*AJ295</f>
        <v>110.88420000000001</v>
      </c>
      <c r="AL295" s="22">
        <f>LOOKUP(A295,'Over to underbark'!$A$47:$A$48,'Over to underbark'!C$47:C$48)*AJ295</f>
        <v>114.14549999999998</v>
      </c>
      <c r="AM295" s="22">
        <f t="shared" si="69"/>
        <v>437.01420000000002</v>
      </c>
      <c r="AN295" s="36">
        <v>1040.51</v>
      </c>
      <c r="AO295" s="23">
        <f t="shared" si="70"/>
        <v>874.02840000000003</v>
      </c>
      <c r="AQ295">
        <f t="shared" si="71"/>
        <v>0.67164179104477595</v>
      </c>
    </row>
    <row r="296" spans="1:43" x14ac:dyDescent="0.35">
      <c r="A296" t="s">
        <v>41</v>
      </c>
      <c r="B296">
        <v>10</v>
      </c>
      <c r="C296">
        <v>2</v>
      </c>
      <c r="D296" t="s">
        <v>42</v>
      </c>
      <c r="E296">
        <v>2</v>
      </c>
      <c r="F296">
        <v>1</v>
      </c>
      <c r="G296" s="12">
        <v>102</v>
      </c>
      <c r="H296" s="12">
        <v>26.29</v>
      </c>
      <c r="I296" s="12">
        <v>767</v>
      </c>
      <c r="J296" s="12">
        <v>35.22</v>
      </c>
      <c r="K296" s="12">
        <v>74.724999999999994</v>
      </c>
      <c r="L296" s="12">
        <v>1.0169999999999999</v>
      </c>
      <c r="M296" s="19">
        <v>780.3</v>
      </c>
      <c r="N296" s="12">
        <v>13.808</v>
      </c>
      <c r="O296" s="13">
        <v>7.65</v>
      </c>
      <c r="P296" s="14">
        <v>102</v>
      </c>
      <c r="Q296" s="14">
        <v>35.22</v>
      </c>
      <c r="R296" s="14">
        <v>75.742999999999995</v>
      </c>
      <c r="S296" s="14">
        <v>704.55700000000002</v>
      </c>
      <c r="T296" s="10" t="b">
        <f t="shared" si="72"/>
        <v>1</v>
      </c>
      <c r="U296" s="10" t="b">
        <f t="shared" si="73"/>
        <v>1</v>
      </c>
      <c r="V296" s="11">
        <f>VLOOKUP(IF(J296&lt;10, 10, IF(J296&gt;50,50,J296)),'Over to underbark'!$A$3:$C$43,IF(A296="Scots pine",3,IF(A296="Sitka spruce",2, "error")),TRUE)/100</f>
        <v>0.85</v>
      </c>
      <c r="W296">
        <f t="shared" si="60"/>
        <v>57.943395000000002</v>
      </c>
      <c r="X296">
        <f t="shared" si="61"/>
        <v>538.98610500000007</v>
      </c>
      <c r="Y296">
        <f t="shared" si="62"/>
        <v>105.34050000000001</v>
      </c>
      <c r="Z296">
        <f t="shared" si="63"/>
        <v>257.02949429325002</v>
      </c>
      <c r="AA296">
        <f t="shared" si="64"/>
        <v>59.044023450000005</v>
      </c>
      <c r="AB296">
        <f t="shared" si="65"/>
        <v>88.676152296750004</v>
      </c>
      <c r="AC296">
        <f t="shared" si="66"/>
        <v>297.52032996000008</v>
      </c>
      <c r="AD296">
        <f>LOOKUP($A296,'Over to underbark'!$A$47:$A$48,'Over to underbark'!E$47:E$48)*Z296</f>
        <v>107.95238760316501</v>
      </c>
      <c r="AE296">
        <f>LOOKUP($A296,'Over to underbark'!$A$47:$A$48,'Over to underbark'!E$47:E$48)*AA296</f>
        <v>24.798489849000003</v>
      </c>
      <c r="AF296">
        <f>LOOKUP($A296,'Over to underbark'!$A$47:$A$48,'Over to underbark'!E$47:E$48)*AB296</f>
        <v>37.243983964634999</v>
      </c>
      <c r="AG296">
        <f>LOOKUP($A296,'Over to underbark'!$A$47:$A$48,'Over to underbark'!E$47:E$48)*AC296</f>
        <v>124.95853858320002</v>
      </c>
      <c r="AH296" t="b">
        <f t="shared" si="67"/>
        <v>1</v>
      </c>
      <c r="AI296" t="b">
        <f t="shared" si="68"/>
        <v>1</v>
      </c>
      <c r="AJ296">
        <f>LOOKUP(A296,'Over to underbark'!$A$47:$A$48,'Over to underbark'!E$47:E$48)*M296</f>
        <v>327.72599999999994</v>
      </c>
      <c r="AK296" s="22">
        <f>LOOKUP(A296,'Over to underbark'!$A$47:$A$48,'Over to underbark'!$B$47:$B$48)*AJ296</f>
        <v>111.42683999999998</v>
      </c>
      <c r="AL296" s="22">
        <f>LOOKUP(A296,'Over to underbark'!$A$47:$A$48,'Over to underbark'!C$47:C$48)*AJ296</f>
        <v>114.70409999999997</v>
      </c>
      <c r="AM296" s="22">
        <f t="shared" si="69"/>
        <v>439.15283999999991</v>
      </c>
      <c r="AN296" s="36">
        <v>1045.5999999999999</v>
      </c>
      <c r="AO296" s="23">
        <f t="shared" si="70"/>
        <v>878.30567999999982</v>
      </c>
      <c r="AQ296">
        <f t="shared" si="71"/>
        <v>0.67164179104477639</v>
      </c>
    </row>
    <row r="297" spans="1:43" x14ac:dyDescent="0.35">
      <c r="A297" t="s">
        <v>41</v>
      </c>
      <c r="B297">
        <v>12</v>
      </c>
      <c r="C297">
        <v>2</v>
      </c>
      <c r="D297" t="s">
        <v>42</v>
      </c>
      <c r="E297">
        <v>2</v>
      </c>
      <c r="F297">
        <v>1</v>
      </c>
      <c r="G297" s="30">
        <v>19</v>
      </c>
      <c r="H297" s="30">
        <v>8.73</v>
      </c>
      <c r="I297" s="30">
        <v>2164</v>
      </c>
      <c r="J297" s="30">
        <v>11.47</v>
      </c>
      <c r="K297" s="30">
        <v>22.36</v>
      </c>
      <c r="L297" s="30">
        <v>3.3000000000000002E-2</v>
      </c>
      <c r="M297" s="32">
        <v>72.099999999999994</v>
      </c>
      <c r="N297" s="30">
        <v>0</v>
      </c>
      <c r="O297" s="29">
        <v>3.7949999999999999</v>
      </c>
      <c r="P297" s="31">
        <v>19</v>
      </c>
      <c r="Q297" s="31">
        <v>11.47</v>
      </c>
      <c r="R297" s="31">
        <v>72.099999999999994</v>
      </c>
      <c r="S297" s="31">
        <v>0</v>
      </c>
      <c r="T297" s="10" t="b">
        <f t="shared" ref="T297:T360" si="74">G297=P297</f>
        <v>1</v>
      </c>
      <c r="U297" s="10" t="b">
        <f t="shared" ref="U297:U360" si="75">J297=Q297</f>
        <v>1</v>
      </c>
      <c r="V297" s="11">
        <f>VLOOKUP(IF(J297&lt;10, 10, IF(J297&gt;50,50,J297)),'Over to underbark'!$A$3:$C$43,IF(A297="Scots pine",3,IF(A297="Sitka spruce",2, "error")),TRUE)/100</f>
        <v>0.66</v>
      </c>
      <c r="W297">
        <f t="shared" ref="W297:W360" si="76">R297*0.9*V297</f>
        <v>42.827400000000004</v>
      </c>
      <c r="X297">
        <f t="shared" ref="X297:X360" si="77">S297*0.9*V297</f>
        <v>0</v>
      </c>
      <c r="Y297">
        <f t="shared" ref="Y297:Y360" si="78">(R297+S297)*0.9*(100%-V297)</f>
        <v>22.0626</v>
      </c>
      <c r="Z297">
        <f t="shared" ref="Z297:Z360" si="79">(50%*Y297)+(46%*W297)+(15%*X297)+(43%*W297*10%)+(43%*W297*90%*5%)+(25%*X297*50%)+(60%*X297*8%)</f>
        <v>33.402192390000003</v>
      </c>
      <c r="AA297">
        <f t="shared" ref="AA297:AA360" si="80">(50%*Y297)+(11%*W297)</f>
        <v>15.742314</v>
      </c>
      <c r="AB297">
        <f t="shared" ref="AB297:AB360" si="81">(43%*W297*90%*95%)+(25%*X297*50%)</f>
        <v>15.745493609999999</v>
      </c>
      <c r="AC297">
        <f t="shared" ref="AC297:AC360" si="82">60%*X297*92%</f>
        <v>0</v>
      </c>
      <c r="AD297">
        <f>LOOKUP($A297,'Over to underbark'!$A$47:$A$48,'Over to underbark'!E$47:E$48)*Z297</f>
        <v>14.0289208038</v>
      </c>
      <c r="AE297">
        <f>LOOKUP($A297,'Over to underbark'!$A$47:$A$48,'Over to underbark'!E$47:E$48)*AA297</f>
        <v>6.61177188</v>
      </c>
      <c r="AF297">
        <f>LOOKUP($A297,'Over to underbark'!$A$47:$A$48,'Over to underbark'!E$47:E$48)*AB297</f>
        <v>6.6131073161999989</v>
      </c>
      <c r="AG297">
        <f>LOOKUP($A297,'Over to underbark'!$A$47:$A$48,'Over to underbark'!E$47:E$48)*AC297</f>
        <v>0</v>
      </c>
      <c r="AH297" t="b">
        <f t="shared" ref="AH297:AH360" si="83">SUM(W297:Y297)=SUM(Z297:AC297)</f>
        <v>1</v>
      </c>
      <c r="AI297" t="b">
        <f t="shared" ref="AI297:AI360" si="84">SUM(R297:S297)*0.9 = SUM(W297:Y297)</f>
        <v>1</v>
      </c>
      <c r="AJ297">
        <f>LOOKUP(A297,'Over to underbark'!$A$47:$A$48,'Over to underbark'!E$47:E$48)*M297</f>
        <v>30.281999999999996</v>
      </c>
      <c r="AK297" s="22">
        <f>LOOKUP(A297,'Over to underbark'!$A$47:$A$48,'Over to underbark'!$B$47:$B$48)*AJ297</f>
        <v>10.29588</v>
      </c>
      <c r="AL297" s="22">
        <f>LOOKUP(A297,'Over to underbark'!$A$47:$A$48,'Over to underbark'!C$47:C$48)*AJ297</f>
        <v>10.598699999999997</v>
      </c>
      <c r="AM297" s="22">
        <f t="shared" ref="AM297:AM360" si="85">AJ297+AK297</f>
        <v>40.577879999999993</v>
      </c>
      <c r="AN297" s="36">
        <v>1046.5999999999999</v>
      </c>
      <c r="AO297" s="23">
        <f t="shared" ref="AO297:AO360" si="86">AM297*2</f>
        <v>81.155759999999987</v>
      </c>
      <c r="AQ297">
        <f t="shared" si="71"/>
        <v>0.67164179104477617</v>
      </c>
    </row>
    <row r="298" spans="1:43" x14ac:dyDescent="0.35">
      <c r="A298" t="s">
        <v>41</v>
      </c>
      <c r="B298">
        <v>12</v>
      </c>
      <c r="C298">
        <v>2</v>
      </c>
      <c r="D298" t="s">
        <v>42</v>
      </c>
      <c r="E298">
        <v>2</v>
      </c>
      <c r="F298">
        <v>1</v>
      </c>
      <c r="G298" s="30">
        <v>20</v>
      </c>
      <c r="H298" s="30">
        <v>9.1959999999999997</v>
      </c>
      <c r="I298" s="30">
        <v>2137</v>
      </c>
      <c r="J298" s="30">
        <v>11.936</v>
      </c>
      <c r="K298" s="30">
        <v>23.914000000000001</v>
      </c>
      <c r="L298" s="30">
        <v>3.9E-2</v>
      </c>
      <c r="M298" s="32">
        <v>83.74</v>
      </c>
      <c r="N298" s="30">
        <v>0</v>
      </c>
      <c r="O298" s="29">
        <v>4.1870000000000003</v>
      </c>
      <c r="P298" s="31">
        <v>20</v>
      </c>
      <c r="Q298" s="31">
        <v>11.936</v>
      </c>
      <c r="R298" s="31">
        <v>83.74</v>
      </c>
      <c r="S298" s="31">
        <v>0</v>
      </c>
      <c r="T298" s="10" t="b">
        <f t="shared" si="74"/>
        <v>1</v>
      </c>
      <c r="U298" s="10" t="b">
        <f t="shared" si="75"/>
        <v>1</v>
      </c>
      <c r="V298" s="11">
        <f>VLOOKUP(IF(J298&lt;10, 10, IF(J298&gt;50,50,J298)),'Over to underbark'!$A$3:$C$43,IF(A298="Scots pine",3,IF(A298="Sitka spruce",2, "error")),TRUE)/100</f>
        <v>0.66</v>
      </c>
      <c r="W298">
        <f t="shared" si="76"/>
        <v>49.74156</v>
      </c>
      <c r="X298">
        <f t="shared" si="77"/>
        <v>0</v>
      </c>
      <c r="Y298">
        <f t="shared" si="78"/>
        <v>25.624439999999996</v>
      </c>
      <c r="Z298">
        <f t="shared" si="79"/>
        <v>38.794723865999998</v>
      </c>
      <c r="AA298">
        <f t="shared" si="80"/>
        <v>18.283791599999997</v>
      </c>
      <c r="AB298">
        <f t="shared" si="81"/>
        <v>18.287484533999997</v>
      </c>
      <c r="AC298">
        <f t="shared" si="82"/>
        <v>0</v>
      </c>
      <c r="AD298">
        <f>LOOKUP($A298,'Over to underbark'!$A$47:$A$48,'Over to underbark'!E$47:E$48)*Z298</f>
        <v>16.293784023719997</v>
      </c>
      <c r="AE298">
        <f>LOOKUP($A298,'Over to underbark'!$A$47:$A$48,'Over to underbark'!E$47:E$48)*AA298</f>
        <v>7.6791924719999987</v>
      </c>
      <c r="AF298">
        <f>LOOKUP($A298,'Over to underbark'!$A$47:$A$48,'Over to underbark'!E$47:E$48)*AB298</f>
        <v>7.6807435042799987</v>
      </c>
      <c r="AG298">
        <f>LOOKUP($A298,'Over to underbark'!$A$47:$A$48,'Over to underbark'!E$47:E$48)*AC298</f>
        <v>0</v>
      </c>
      <c r="AH298" t="b">
        <f t="shared" si="83"/>
        <v>1</v>
      </c>
      <c r="AI298" t="b">
        <f t="shared" si="84"/>
        <v>1</v>
      </c>
      <c r="AJ298">
        <f>LOOKUP(A298,'Over to underbark'!$A$47:$A$48,'Over to underbark'!E$47:E$48)*M298</f>
        <v>35.1708</v>
      </c>
      <c r="AK298" s="22">
        <f>LOOKUP(A298,'Over to underbark'!$A$47:$A$48,'Over to underbark'!$B$47:$B$48)*AJ298</f>
        <v>11.958072000000001</v>
      </c>
      <c r="AL298" s="22">
        <f>LOOKUP(A298,'Over to underbark'!$A$47:$A$48,'Over to underbark'!C$47:C$48)*AJ298</f>
        <v>12.30978</v>
      </c>
      <c r="AM298" s="22">
        <f t="shared" si="85"/>
        <v>47.128872000000001</v>
      </c>
      <c r="AN298" s="36">
        <v>1047.5999999999999</v>
      </c>
      <c r="AO298" s="23">
        <f t="shared" si="86"/>
        <v>94.257744000000002</v>
      </c>
      <c r="AQ298">
        <f t="shared" si="71"/>
        <v>0.67164179104477606</v>
      </c>
    </row>
    <row r="299" spans="1:43" x14ac:dyDescent="0.35">
      <c r="A299" t="s">
        <v>41</v>
      </c>
      <c r="B299">
        <v>12</v>
      </c>
      <c r="C299">
        <v>2</v>
      </c>
      <c r="D299" t="s">
        <v>42</v>
      </c>
      <c r="E299">
        <v>2</v>
      </c>
      <c r="F299">
        <v>1</v>
      </c>
      <c r="G299" s="30">
        <v>21</v>
      </c>
      <c r="H299" s="30">
        <v>9.6620000000000008</v>
      </c>
      <c r="I299" s="30">
        <v>2110</v>
      </c>
      <c r="J299" s="30">
        <v>12.397</v>
      </c>
      <c r="K299" s="30">
        <v>25.466999999999999</v>
      </c>
      <c r="L299" s="30">
        <v>4.4999999999999998E-2</v>
      </c>
      <c r="M299" s="32">
        <v>95.38</v>
      </c>
      <c r="N299" s="30">
        <v>0</v>
      </c>
      <c r="O299" s="29">
        <v>4.5419999999999998</v>
      </c>
      <c r="P299" s="31">
        <v>21</v>
      </c>
      <c r="Q299" s="31">
        <v>12.397</v>
      </c>
      <c r="R299" s="31">
        <v>95.38</v>
      </c>
      <c r="S299" s="31">
        <v>0</v>
      </c>
      <c r="T299" s="10" t="b">
        <f t="shared" si="74"/>
        <v>1</v>
      </c>
      <c r="U299" s="10" t="b">
        <f t="shared" si="75"/>
        <v>1</v>
      </c>
      <c r="V299" s="11">
        <f>VLOOKUP(IF(J299&lt;10, 10, IF(J299&gt;50,50,J299)),'Over to underbark'!$A$3:$C$43,IF(A299="Scots pine",3,IF(A299="Sitka spruce",2, "error")),TRUE)/100</f>
        <v>0.74</v>
      </c>
      <c r="W299">
        <f t="shared" si="76"/>
        <v>63.52308</v>
      </c>
      <c r="X299">
        <f t="shared" si="77"/>
        <v>0</v>
      </c>
      <c r="Y299">
        <f t="shared" si="78"/>
        <v>22.318920000000002</v>
      </c>
      <c r="Z299">
        <f t="shared" si="79"/>
        <v>44.340740838000009</v>
      </c>
      <c r="AA299">
        <f t="shared" si="80"/>
        <v>18.146998800000002</v>
      </c>
      <c r="AB299">
        <f t="shared" si="81"/>
        <v>23.354260361999998</v>
      </c>
      <c r="AC299">
        <f t="shared" si="82"/>
        <v>0</v>
      </c>
      <c r="AD299">
        <f>LOOKUP($A299,'Over to underbark'!$A$47:$A$48,'Over to underbark'!E$47:E$48)*Z299</f>
        <v>18.623111151960003</v>
      </c>
      <c r="AE299">
        <f>LOOKUP($A299,'Over to underbark'!$A$47:$A$48,'Over to underbark'!E$47:E$48)*AA299</f>
        <v>7.6217394960000009</v>
      </c>
      <c r="AF299">
        <f>LOOKUP($A299,'Over to underbark'!$A$47:$A$48,'Over to underbark'!E$47:E$48)*AB299</f>
        <v>9.808789352039998</v>
      </c>
      <c r="AG299">
        <f>LOOKUP($A299,'Over to underbark'!$A$47:$A$48,'Over to underbark'!E$47:E$48)*AC299</f>
        <v>0</v>
      </c>
      <c r="AH299" t="b">
        <f t="shared" si="83"/>
        <v>1</v>
      </c>
      <c r="AI299" t="b">
        <f t="shared" si="84"/>
        <v>1</v>
      </c>
      <c r="AJ299">
        <f>LOOKUP(A299,'Over to underbark'!$A$47:$A$48,'Over to underbark'!E$47:E$48)*M299</f>
        <v>40.059599999999996</v>
      </c>
      <c r="AK299" s="22">
        <f>LOOKUP(A299,'Over to underbark'!$A$47:$A$48,'Over to underbark'!$B$47:$B$48)*AJ299</f>
        <v>13.620263999999999</v>
      </c>
      <c r="AL299" s="22">
        <f>LOOKUP(A299,'Over to underbark'!$A$47:$A$48,'Over to underbark'!C$47:C$48)*AJ299</f>
        <v>14.020859999999997</v>
      </c>
      <c r="AM299" s="22">
        <f t="shared" si="85"/>
        <v>53.679863999999995</v>
      </c>
      <c r="AN299" s="36">
        <v>1048.5999999999999</v>
      </c>
      <c r="AO299" s="23">
        <f t="shared" si="86"/>
        <v>107.35972799999999</v>
      </c>
      <c r="AQ299">
        <f t="shared" si="71"/>
        <v>0.67164179104477617</v>
      </c>
    </row>
    <row r="300" spans="1:43" x14ac:dyDescent="0.35">
      <c r="A300" t="s">
        <v>41</v>
      </c>
      <c r="B300">
        <v>12</v>
      </c>
      <c r="C300">
        <v>2</v>
      </c>
      <c r="D300" t="s">
        <v>42</v>
      </c>
      <c r="E300">
        <v>2</v>
      </c>
      <c r="F300">
        <v>1</v>
      </c>
      <c r="G300" s="30">
        <v>22</v>
      </c>
      <c r="H300" s="30">
        <v>10.128</v>
      </c>
      <c r="I300" s="30">
        <v>2083</v>
      </c>
      <c r="J300" s="30">
        <v>12.852</v>
      </c>
      <c r="K300" s="30">
        <v>27.021000000000001</v>
      </c>
      <c r="L300" s="30">
        <v>5.0999999999999997E-2</v>
      </c>
      <c r="M300" s="32">
        <v>107.02</v>
      </c>
      <c r="N300" s="30">
        <v>0</v>
      </c>
      <c r="O300" s="29">
        <v>4.8650000000000002</v>
      </c>
      <c r="P300" s="31">
        <v>22</v>
      </c>
      <c r="Q300" s="31">
        <v>12.852</v>
      </c>
      <c r="R300" s="31">
        <v>106.06</v>
      </c>
      <c r="S300" s="31">
        <v>0.96</v>
      </c>
      <c r="T300" s="10" t="b">
        <f t="shared" si="74"/>
        <v>1</v>
      </c>
      <c r="U300" s="10" t="b">
        <f t="shared" si="75"/>
        <v>1</v>
      </c>
      <c r="V300" s="11">
        <f>VLOOKUP(IF(J300&lt;10, 10, IF(J300&gt;50,50,J300)),'Over to underbark'!$A$3:$C$43,IF(A300="Scots pine",3,IF(A300="Sitka spruce",2, "error")),TRUE)/100</f>
        <v>0.74</v>
      </c>
      <c r="W300">
        <f t="shared" si="76"/>
        <v>70.635960000000011</v>
      </c>
      <c r="X300">
        <f t="shared" si="77"/>
        <v>0.63936000000000004</v>
      </c>
      <c r="Y300">
        <f t="shared" si="78"/>
        <v>25.042680000000001</v>
      </c>
      <c r="Z300">
        <f t="shared" si="79"/>
        <v>49.624546986000006</v>
      </c>
      <c r="AA300">
        <f t="shared" si="80"/>
        <v>20.291295600000002</v>
      </c>
      <c r="AB300">
        <f t="shared" si="81"/>
        <v>26.049230694000006</v>
      </c>
      <c r="AC300">
        <f t="shared" si="82"/>
        <v>0.35292672000000003</v>
      </c>
      <c r="AD300">
        <f>LOOKUP($A300,'Over to underbark'!$A$47:$A$48,'Over to underbark'!E$47:E$48)*Z300</f>
        <v>20.842309734120001</v>
      </c>
      <c r="AE300">
        <f>LOOKUP($A300,'Over to underbark'!$A$47:$A$48,'Over to underbark'!E$47:E$48)*AA300</f>
        <v>8.5223441520000005</v>
      </c>
      <c r="AF300">
        <f>LOOKUP($A300,'Over to underbark'!$A$47:$A$48,'Over to underbark'!E$47:E$48)*AB300</f>
        <v>10.940676891480003</v>
      </c>
      <c r="AG300">
        <f>LOOKUP($A300,'Over to underbark'!$A$47:$A$48,'Over to underbark'!E$47:E$48)*AC300</f>
        <v>0.1482292224</v>
      </c>
      <c r="AH300" t="b">
        <f t="shared" si="83"/>
        <v>1</v>
      </c>
      <c r="AI300" t="b">
        <f t="shared" si="84"/>
        <v>1</v>
      </c>
      <c r="AJ300">
        <f>LOOKUP(A300,'Over to underbark'!$A$47:$A$48,'Over to underbark'!E$47:E$48)*M300</f>
        <v>44.948399999999999</v>
      </c>
      <c r="AK300" s="22">
        <f>LOOKUP(A300,'Over to underbark'!$A$47:$A$48,'Over to underbark'!$B$47:$B$48)*AJ300</f>
        <v>15.282456000000002</v>
      </c>
      <c r="AL300" s="22">
        <f>LOOKUP(A300,'Over to underbark'!$A$47:$A$48,'Over to underbark'!C$47:C$48)*AJ300</f>
        <v>15.731939999999998</v>
      </c>
      <c r="AM300" s="22">
        <f t="shared" si="85"/>
        <v>60.230856000000003</v>
      </c>
      <c r="AN300" s="36">
        <v>1049.5999999999999</v>
      </c>
      <c r="AO300" s="23">
        <f t="shared" si="86"/>
        <v>120.46171200000001</v>
      </c>
      <c r="AQ300">
        <f t="shared" si="71"/>
        <v>0.67164179104477617</v>
      </c>
    </row>
    <row r="301" spans="1:43" x14ac:dyDescent="0.35">
      <c r="A301" t="s">
        <v>41</v>
      </c>
      <c r="B301">
        <v>12</v>
      </c>
      <c r="C301">
        <v>2</v>
      </c>
      <c r="D301" t="s">
        <v>42</v>
      </c>
      <c r="E301">
        <v>2</v>
      </c>
      <c r="F301">
        <v>1</v>
      </c>
      <c r="G301" s="30">
        <v>23</v>
      </c>
      <c r="H301" s="30">
        <v>10.593999999999999</v>
      </c>
      <c r="I301" s="30">
        <v>2056</v>
      </c>
      <c r="J301" s="30">
        <v>13.303000000000001</v>
      </c>
      <c r="K301" s="30">
        <v>28.574999999999999</v>
      </c>
      <c r="L301" s="30">
        <v>5.8000000000000003E-2</v>
      </c>
      <c r="M301" s="32">
        <v>118.66</v>
      </c>
      <c r="N301" s="30">
        <v>0</v>
      </c>
      <c r="O301" s="29">
        <v>5.1589999999999998</v>
      </c>
      <c r="P301" s="31">
        <v>23</v>
      </c>
      <c r="Q301" s="31">
        <v>13.303000000000001</v>
      </c>
      <c r="R301" s="31">
        <v>114.59399999999999</v>
      </c>
      <c r="S301" s="31">
        <v>4.0659999999999998</v>
      </c>
      <c r="T301" s="10" t="b">
        <f t="shared" si="74"/>
        <v>1</v>
      </c>
      <c r="U301" s="10" t="b">
        <f t="shared" si="75"/>
        <v>1</v>
      </c>
      <c r="V301" s="11">
        <f>VLOOKUP(IF(J301&lt;10, 10, IF(J301&gt;50,50,J301)),'Over to underbark'!$A$3:$C$43,IF(A301="Scots pine",3,IF(A301="Sitka spruce",2, "error")),TRUE)/100</f>
        <v>0.79</v>
      </c>
      <c r="W301">
        <f t="shared" si="76"/>
        <v>81.476333999999994</v>
      </c>
      <c r="X301">
        <f t="shared" si="77"/>
        <v>2.8909259999999999</v>
      </c>
      <c r="Y301">
        <f t="shared" si="78"/>
        <v>22.426739999999995</v>
      </c>
      <c r="Z301">
        <f t="shared" si="79"/>
        <v>54.706302162899995</v>
      </c>
      <c r="AA301">
        <f t="shared" si="80"/>
        <v>20.175766739999997</v>
      </c>
      <c r="AB301">
        <f t="shared" si="81"/>
        <v>30.316139945099998</v>
      </c>
      <c r="AC301">
        <f t="shared" si="82"/>
        <v>1.5957911520000001</v>
      </c>
      <c r="AD301">
        <f>LOOKUP($A301,'Over to underbark'!$A$47:$A$48,'Over to underbark'!E$47:E$48)*Z301</f>
        <v>22.976646908417997</v>
      </c>
      <c r="AE301">
        <f>LOOKUP($A301,'Over to underbark'!$A$47:$A$48,'Over to underbark'!E$47:E$48)*AA301</f>
        <v>8.4738220307999992</v>
      </c>
      <c r="AF301">
        <f>LOOKUP($A301,'Over to underbark'!$A$47:$A$48,'Over to underbark'!E$47:E$48)*AB301</f>
        <v>12.732778776941998</v>
      </c>
      <c r="AG301">
        <f>LOOKUP($A301,'Over to underbark'!$A$47:$A$48,'Over to underbark'!E$47:E$48)*AC301</f>
        <v>0.67023228384</v>
      </c>
      <c r="AH301" t="b">
        <f t="shared" si="83"/>
        <v>1</v>
      </c>
      <c r="AI301" t="b">
        <f t="shared" si="84"/>
        <v>1</v>
      </c>
      <c r="AJ301">
        <f>LOOKUP(A301,'Over to underbark'!$A$47:$A$48,'Over to underbark'!E$47:E$48)*M301</f>
        <v>49.837199999999996</v>
      </c>
      <c r="AK301" s="22">
        <f>LOOKUP(A301,'Over to underbark'!$A$47:$A$48,'Over to underbark'!$B$47:$B$48)*AJ301</f>
        <v>16.944648000000001</v>
      </c>
      <c r="AL301" s="22">
        <f>LOOKUP(A301,'Over to underbark'!$A$47:$A$48,'Over to underbark'!C$47:C$48)*AJ301</f>
        <v>17.443019999999997</v>
      </c>
      <c r="AM301" s="22">
        <f t="shared" si="85"/>
        <v>66.781847999999997</v>
      </c>
      <c r="AN301" s="36">
        <v>1050.5999999999999</v>
      </c>
      <c r="AO301" s="23">
        <f t="shared" si="86"/>
        <v>133.56369599999999</v>
      </c>
      <c r="AQ301">
        <f t="shared" si="71"/>
        <v>0.67164179104477617</v>
      </c>
    </row>
    <row r="302" spans="1:43" x14ac:dyDescent="0.35">
      <c r="A302" t="s">
        <v>41</v>
      </c>
      <c r="B302">
        <v>12</v>
      </c>
      <c r="C302">
        <v>2</v>
      </c>
      <c r="D302" t="s">
        <v>42</v>
      </c>
      <c r="E302">
        <v>2</v>
      </c>
      <c r="F302">
        <v>1</v>
      </c>
      <c r="G302" s="30">
        <v>24</v>
      </c>
      <c r="H302" s="30">
        <v>11.06</v>
      </c>
      <c r="I302" s="30">
        <v>2029</v>
      </c>
      <c r="J302" s="30">
        <v>13.75</v>
      </c>
      <c r="K302" s="30">
        <v>30.128</v>
      </c>
      <c r="L302" s="30">
        <v>6.4000000000000001E-2</v>
      </c>
      <c r="M302" s="32">
        <v>130.30000000000001</v>
      </c>
      <c r="N302" s="30">
        <v>0</v>
      </c>
      <c r="O302" s="29">
        <v>5.4290000000000003</v>
      </c>
      <c r="P302" s="31">
        <v>24</v>
      </c>
      <c r="Q302" s="31">
        <v>13.75</v>
      </c>
      <c r="R302" s="31">
        <v>122.482</v>
      </c>
      <c r="S302" s="31">
        <v>7.8179999999999996</v>
      </c>
      <c r="T302" s="10" t="b">
        <f t="shared" si="74"/>
        <v>1</v>
      </c>
      <c r="U302" s="10" t="b">
        <f t="shared" si="75"/>
        <v>1</v>
      </c>
      <c r="V302" s="11">
        <f>VLOOKUP(IF(J302&lt;10, 10, IF(J302&gt;50,50,J302)),'Over to underbark'!$A$3:$C$43,IF(A302="Scots pine",3,IF(A302="Sitka spruce",2, "error")),TRUE)/100</f>
        <v>0.79</v>
      </c>
      <c r="W302">
        <f t="shared" si="76"/>
        <v>87.084702000000007</v>
      </c>
      <c r="X302">
        <f t="shared" si="77"/>
        <v>5.5585979999999999</v>
      </c>
      <c r="Y302">
        <f t="shared" si="78"/>
        <v>24.6267</v>
      </c>
      <c r="Z302">
        <f t="shared" si="79"/>
        <v>59.597471243700006</v>
      </c>
      <c r="AA302">
        <f t="shared" si="80"/>
        <v>21.89266722</v>
      </c>
      <c r="AB302">
        <f t="shared" si="81"/>
        <v>32.711515440300005</v>
      </c>
      <c r="AC302">
        <f t="shared" si="82"/>
        <v>3.068346096</v>
      </c>
      <c r="AD302">
        <f>LOOKUP($A302,'Over to underbark'!$A$47:$A$48,'Over to underbark'!E$47:E$48)*Z302</f>
        <v>25.030937922354003</v>
      </c>
      <c r="AE302">
        <f>LOOKUP($A302,'Over to underbark'!$A$47:$A$48,'Over to underbark'!E$47:E$48)*AA302</f>
        <v>9.1949202323999994</v>
      </c>
      <c r="AF302">
        <f>LOOKUP($A302,'Over to underbark'!$A$47:$A$48,'Over to underbark'!E$47:E$48)*AB302</f>
        <v>13.738836484926001</v>
      </c>
      <c r="AG302">
        <f>LOOKUP($A302,'Over to underbark'!$A$47:$A$48,'Over to underbark'!E$47:E$48)*AC302</f>
        <v>1.28870536032</v>
      </c>
      <c r="AH302" t="b">
        <f t="shared" si="83"/>
        <v>1</v>
      </c>
      <c r="AI302" t="b">
        <f t="shared" si="84"/>
        <v>1</v>
      </c>
      <c r="AJ302">
        <f>LOOKUP(A302,'Over to underbark'!$A$47:$A$48,'Over to underbark'!E$47:E$48)*M302</f>
        <v>54.726000000000006</v>
      </c>
      <c r="AK302" s="22">
        <f>LOOKUP(A302,'Over to underbark'!$A$47:$A$48,'Over to underbark'!$B$47:$B$48)*AJ302</f>
        <v>18.606840000000002</v>
      </c>
      <c r="AL302" s="22">
        <f>LOOKUP(A302,'Over to underbark'!$A$47:$A$48,'Over to underbark'!C$47:C$48)*AJ302</f>
        <v>19.1541</v>
      </c>
      <c r="AM302" s="22">
        <f t="shared" si="85"/>
        <v>73.332840000000004</v>
      </c>
      <c r="AN302" s="36">
        <v>1051.5999999999999</v>
      </c>
      <c r="AO302" s="23">
        <f t="shared" si="86"/>
        <v>146.66568000000001</v>
      </c>
      <c r="AQ302">
        <f t="shared" si="71"/>
        <v>0.67164179104477617</v>
      </c>
    </row>
    <row r="303" spans="1:43" x14ac:dyDescent="0.35">
      <c r="A303" t="s">
        <v>41</v>
      </c>
      <c r="B303">
        <v>12</v>
      </c>
      <c r="C303">
        <v>2</v>
      </c>
      <c r="D303" t="s">
        <v>42</v>
      </c>
      <c r="E303">
        <v>2</v>
      </c>
      <c r="F303">
        <v>1</v>
      </c>
      <c r="G303" s="30">
        <v>25</v>
      </c>
      <c r="H303" s="30">
        <v>11.476000000000001</v>
      </c>
      <c r="I303" s="30">
        <v>1989</v>
      </c>
      <c r="J303" s="30">
        <v>14.196999999999999</v>
      </c>
      <c r="K303" s="30">
        <v>31.484000000000002</v>
      </c>
      <c r="L303" s="30">
        <v>7.1999999999999995E-2</v>
      </c>
      <c r="M303" s="32">
        <v>143.80000000000001</v>
      </c>
      <c r="N303" s="30">
        <v>0.34699999999999998</v>
      </c>
      <c r="O303" s="29">
        <v>5.7519999999999998</v>
      </c>
      <c r="P303" s="31">
        <v>25</v>
      </c>
      <c r="Q303" s="31">
        <v>14.196999999999999</v>
      </c>
      <c r="R303" s="31">
        <v>131.392</v>
      </c>
      <c r="S303" s="31">
        <v>12.407999999999999</v>
      </c>
      <c r="T303" s="10" t="b">
        <f t="shared" si="74"/>
        <v>1</v>
      </c>
      <c r="U303" s="10" t="b">
        <f t="shared" si="75"/>
        <v>1</v>
      </c>
      <c r="V303" s="11">
        <f>VLOOKUP(IF(J303&lt;10, 10, IF(J303&gt;50,50,J303)),'Over to underbark'!$A$3:$C$43,IF(A303="Scots pine",3,IF(A303="Sitka spruce",2, "error")),TRUE)/100</f>
        <v>0.82</v>
      </c>
      <c r="W303">
        <f t="shared" si="76"/>
        <v>96.96729599999999</v>
      </c>
      <c r="X303">
        <f t="shared" si="77"/>
        <v>9.1571039999999986</v>
      </c>
      <c r="Y303">
        <f t="shared" si="78"/>
        <v>23.295600000000004</v>
      </c>
      <c r="Z303">
        <f t="shared" si="79"/>
        <v>65.256411657600012</v>
      </c>
      <c r="AA303">
        <f t="shared" si="80"/>
        <v>22.314202560000002</v>
      </c>
      <c r="AB303">
        <f t="shared" si="81"/>
        <v>36.7946643744</v>
      </c>
      <c r="AC303">
        <f t="shared" si="82"/>
        <v>5.0547214079999998</v>
      </c>
      <c r="AD303">
        <f>LOOKUP($A303,'Over to underbark'!$A$47:$A$48,'Over to underbark'!E$47:E$48)*Z303</f>
        <v>27.407692896192003</v>
      </c>
      <c r="AE303">
        <f>LOOKUP($A303,'Over to underbark'!$A$47:$A$48,'Over to underbark'!E$47:E$48)*AA303</f>
        <v>9.3719650752000003</v>
      </c>
      <c r="AF303">
        <f>LOOKUP($A303,'Over to underbark'!$A$47:$A$48,'Over to underbark'!E$47:E$48)*AB303</f>
        <v>15.453759037248</v>
      </c>
      <c r="AG303">
        <f>LOOKUP($A303,'Over to underbark'!$A$47:$A$48,'Over to underbark'!E$47:E$48)*AC303</f>
        <v>2.1229829913599998</v>
      </c>
      <c r="AH303" t="b">
        <f t="shared" si="83"/>
        <v>1</v>
      </c>
      <c r="AI303" t="b">
        <f t="shared" si="84"/>
        <v>1</v>
      </c>
      <c r="AJ303">
        <f>LOOKUP(A303,'Over to underbark'!$A$47:$A$48,'Over to underbark'!E$47:E$48)*M303</f>
        <v>60.396000000000001</v>
      </c>
      <c r="AK303" s="22">
        <f>LOOKUP(A303,'Over to underbark'!$A$47:$A$48,'Over to underbark'!$B$47:$B$48)*AJ303</f>
        <v>20.534640000000003</v>
      </c>
      <c r="AL303" s="22">
        <f>LOOKUP(A303,'Over to underbark'!$A$47:$A$48,'Over to underbark'!C$47:C$48)*AJ303</f>
        <v>21.1386</v>
      </c>
      <c r="AM303" s="22">
        <f t="shared" si="85"/>
        <v>80.930640000000011</v>
      </c>
      <c r="AN303" s="36">
        <v>1052.5999999999999</v>
      </c>
      <c r="AO303" s="23">
        <f t="shared" si="86"/>
        <v>161.86128000000002</v>
      </c>
      <c r="AQ303">
        <f t="shared" si="71"/>
        <v>0.67164179104477606</v>
      </c>
    </row>
    <row r="304" spans="1:43" x14ac:dyDescent="0.35">
      <c r="A304" t="s">
        <v>41</v>
      </c>
      <c r="B304">
        <v>12</v>
      </c>
      <c r="C304">
        <v>2</v>
      </c>
      <c r="D304" t="s">
        <v>42</v>
      </c>
      <c r="E304">
        <v>2</v>
      </c>
      <c r="F304">
        <v>1</v>
      </c>
      <c r="G304" s="30">
        <v>26</v>
      </c>
      <c r="H304" s="30">
        <v>11.891999999999999</v>
      </c>
      <c r="I304" s="30">
        <v>1949</v>
      </c>
      <c r="J304" s="30">
        <v>14.647</v>
      </c>
      <c r="K304" s="30">
        <v>32.840000000000003</v>
      </c>
      <c r="L304" s="30">
        <v>8.1000000000000003E-2</v>
      </c>
      <c r="M304" s="32">
        <v>157.30000000000001</v>
      </c>
      <c r="N304" s="30">
        <v>0.63200000000000001</v>
      </c>
      <c r="O304" s="29">
        <v>6.05</v>
      </c>
      <c r="P304" s="31">
        <v>26</v>
      </c>
      <c r="Q304" s="31">
        <v>14.647</v>
      </c>
      <c r="R304" s="31">
        <v>139.49299999999999</v>
      </c>
      <c r="S304" s="31">
        <v>17.806999999999999</v>
      </c>
      <c r="T304" s="10" t="b">
        <f t="shared" si="74"/>
        <v>1</v>
      </c>
      <c r="U304" s="10" t="b">
        <f t="shared" si="75"/>
        <v>1</v>
      </c>
      <c r="V304" s="11">
        <f>VLOOKUP(IF(J304&lt;10, 10, IF(J304&gt;50,50,J304)),'Over to underbark'!$A$3:$C$43,IF(A304="Scots pine",3,IF(A304="Sitka spruce",2, "error")),TRUE)/100</f>
        <v>0.82</v>
      </c>
      <c r="W304">
        <f t="shared" si="76"/>
        <v>102.94583399999999</v>
      </c>
      <c r="X304">
        <f t="shared" si="77"/>
        <v>13.141565999999999</v>
      </c>
      <c r="Y304">
        <f t="shared" si="78"/>
        <v>25.482600000000005</v>
      </c>
      <c r="Z304">
        <f t="shared" si="79"/>
        <v>70.759782207900003</v>
      </c>
      <c r="AA304">
        <f t="shared" si="80"/>
        <v>24.065341740000001</v>
      </c>
      <c r="AB304">
        <f t="shared" si="81"/>
        <v>39.490731620099993</v>
      </c>
      <c r="AC304">
        <f t="shared" si="82"/>
        <v>7.2541444319999995</v>
      </c>
      <c r="AD304">
        <f>LOOKUP($A304,'Over to underbark'!$A$47:$A$48,'Over to underbark'!E$47:E$48)*Z304</f>
        <v>29.719108527317999</v>
      </c>
      <c r="AE304">
        <f>LOOKUP($A304,'Over to underbark'!$A$47:$A$48,'Over to underbark'!E$47:E$48)*AA304</f>
        <v>10.107443530799999</v>
      </c>
      <c r="AF304">
        <f>LOOKUP($A304,'Over to underbark'!$A$47:$A$48,'Over to underbark'!E$47:E$48)*AB304</f>
        <v>16.586107280441997</v>
      </c>
      <c r="AG304">
        <f>LOOKUP($A304,'Over to underbark'!$A$47:$A$48,'Over to underbark'!E$47:E$48)*AC304</f>
        <v>3.0467406614399999</v>
      </c>
      <c r="AH304" t="b">
        <f t="shared" si="83"/>
        <v>1</v>
      </c>
      <c r="AI304" t="b">
        <f t="shared" si="84"/>
        <v>1</v>
      </c>
      <c r="AJ304">
        <f>LOOKUP(A304,'Over to underbark'!$A$47:$A$48,'Over to underbark'!E$47:E$48)*M304</f>
        <v>66.066000000000003</v>
      </c>
      <c r="AK304" s="22">
        <f>LOOKUP(A304,'Over to underbark'!$A$47:$A$48,'Over to underbark'!$B$47:$B$48)*AJ304</f>
        <v>22.462440000000001</v>
      </c>
      <c r="AL304" s="22">
        <f>LOOKUP(A304,'Over to underbark'!$A$47:$A$48,'Over to underbark'!C$47:C$48)*AJ304</f>
        <v>23.123100000000001</v>
      </c>
      <c r="AM304" s="22">
        <f t="shared" si="85"/>
        <v>88.528440000000003</v>
      </c>
      <c r="AN304" s="36">
        <v>1053.5999999999999</v>
      </c>
      <c r="AO304" s="23">
        <f t="shared" si="86"/>
        <v>177.05688000000001</v>
      </c>
      <c r="AQ304">
        <f t="shared" si="71"/>
        <v>0.67164179104477595</v>
      </c>
    </row>
    <row r="305" spans="1:43" x14ac:dyDescent="0.35">
      <c r="A305" t="s">
        <v>41</v>
      </c>
      <c r="B305">
        <v>12</v>
      </c>
      <c r="C305">
        <v>2</v>
      </c>
      <c r="D305" t="s">
        <v>42</v>
      </c>
      <c r="E305">
        <v>2</v>
      </c>
      <c r="F305">
        <v>1</v>
      </c>
      <c r="G305" s="30">
        <v>27</v>
      </c>
      <c r="H305" s="30">
        <v>12.308</v>
      </c>
      <c r="I305" s="30">
        <v>1910</v>
      </c>
      <c r="J305" s="30">
        <v>15.098000000000001</v>
      </c>
      <c r="K305" s="30">
        <v>34.195</v>
      </c>
      <c r="L305" s="30">
        <v>8.8999999999999996E-2</v>
      </c>
      <c r="M305" s="32">
        <v>170.8</v>
      </c>
      <c r="N305" s="30">
        <v>0.871</v>
      </c>
      <c r="O305" s="29">
        <v>6.3259999999999996</v>
      </c>
      <c r="P305" s="31">
        <v>27</v>
      </c>
      <c r="Q305" s="31">
        <v>15.098000000000001</v>
      </c>
      <c r="R305" s="31">
        <v>146.80000000000001</v>
      </c>
      <c r="S305" s="31">
        <v>24</v>
      </c>
      <c r="T305" s="10" t="b">
        <f t="shared" si="74"/>
        <v>1</v>
      </c>
      <c r="U305" s="10" t="b">
        <f t="shared" si="75"/>
        <v>1</v>
      </c>
      <c r="V305" s="11">
        <f>VLOOKUP(IF(J305&lt;10, 10, IF(J305&gt;50,50,J305)),'Over to underbark'!$A$3:$C$43,IF(A305="Scots pine",3,IF(A305="Sitka spruce",2, "error")),TRUE)/100</f>
        <v>0.84</v>
      </c>
      <c r="W305">
        <f t="shared" si="76"/>
        <v>110.9808</v>
      </c>
      <c r="X305">
        <f t="shared" si="77"/>
        <v>18.144000000000002</v>
      </c>
      <c r="Y305">
        <f t="shared" si="78"/>
        <v>24.595200000000009</v>
      </c>
      <c r="Z305">
        <f t="shared" si="79"/>
        <v>76.128932880000008</v>
      </c>
      <c r="AA305">
        <f t="shared" si="80"/>
        <v>24.505488000000007</v>
      </c>
      <c r="AB305">
        <f t="shared" si="81"/>
        <v>43.070091120000001</v>
      </c>
      <c r="AC305">
        <f t="shared" si="82"/>
        <v>10.015488000000001</v>
      </c>
      <c r="AD305">
        <f>LOOKUP($A305,'Over to underbark'!$A$47:$A$48,'Over to underbark'!E$47:E$48)*Z305</f>
        <v>31.974151809600002</v>
      </c>
      <c r="AE305">
        <f>LOOKUP($A305,'Over to underbark'!$A$47:$A$48,'Over to underbark'!E$47:E$48)*AA305</f>
        <v>10.292304960000003</v>
      </c>
      <c r="AF305">
        <f>LOOKUP($A305,'Over to underbark'!$A$47:$A$48,'Over to underbark'!E$47:E$48)*AB305</f>
        <v>18.089438270399999</v>
      </c>
      <c r="AG305">
        <f>LOOKUP($A305,'Over to underbark'!$A$47:$A$48,'Over to underbark'!E$47:E$48)*AC305</f>
        <v>4.2065049600000002</v>
      </c>
      <c r="AH305" t="b">
        <f t="shared" si="83"/>
        <v>1</v>
      </c>
      <c r="AI305" t="b">
        <f t="shared" si="84"/>
        <v>1</v>
      </c>
      <c r="AJ305">
        <f>LOOKUP(A305,'Over to underbark'!$A$47:$A$48,'Over to underbark'!E$47:E$48)*M305</f>
        <v>71.736000000000004</v>
      </c>
      <c r="AK305" s="22">
        <f>LOOKUP(A305,'Over to underbark'!$A$47:$A$48,'Over to underbark'!$B$47:$B$48)*AJ305</f>
        <v>24.390240000000002</v>
      </c>
      <c r="AL305" s="22">
        <f>LOOKUP(A305,'Over to underbark'!$A$47:$A$48,'Over to underbark'!C$47:C$48)*AJ305</f>
        <v>25.107600000000001</v>
      </c>
      <c r="AM305" s="22">
        <f t="shared" si="85"/>
        <v>96.12624000000001</v>
      </c>
      <c r="AN305" s="36">
        <v>1054.5999999999999</v>
      </c>
      <c r="AO305" s="23">
        <f t="shared" si="86"/>
        <v>192.25248000000002</v>
      </c>
      <c r="AQ305">
        <f t="shared" si="71"/>
        <v>0.67164179104477617</v>
      </c>
    </row>
    <row r="306" spans="1:43" x14ac:dyDescent="0.35">
      <c r="A306" t="s">
        <v>41</v>
      </c>
      <c r="B306">
        <v>12</v>
      </c>
      <c r="C306">
        <v>2</v>
      </c>
      <c r="D306" t="s">
        <v>42</v>
      </c>
      <c r="E306">
        <v>2</v>
      </c>
      <c r="F306">
        <v>1</v>
      </c>
      <c r="G306" s="30">
        <v>28</v>
      </c>
      <c r="H306" s="30">
        <v>12.724</v>
      </c>
      <c r="I306" s="30">
        <v>1870</v>
      </c>
      <c r="J306" s="30">
        <v>15.558</v>
      </c>
      <c r="K306" s="30">
        <v>35.551000000000002</v>
      </c>
      <c r="L306" s="30">
        <v>9.9000000000000005E-2</v>
      </c>
      <c r="M306" s="32">
        <v>184.3</v>
      </c>
      <c r="N306" s="30">
        <v>1.0740000000000001</v>
      </c>
      <c r="O306" s="29">
        <v>6.5819999999999999</v>
      </c>
      <c r="P306" s="31">
        <v>28</v>
      </c>
      <c r="Q306" s="31">
        <v>15.558</v>
      </c>
      <c r="R306" s="31">
        <v>153.22499999999999</v>
      </c>
      <c r="S306" s="31">
        <v>31.074999999999999</v>
      </c>
      <c r="T306" s="10" t="b">
        <f t="shared" si="74"/>
        <v>1</v>
      </c>
      <c r="U306" s="10" t="b">
        <f t="shared" si="75"/>
        <v>1</v>
      </c>
      <c r="V306" s="11">
        <f>VLOOKUP(IF(J306&lt;10, 10, IF(J306&gt;50,50,J306)),'Over to underbark'!$A$3:$C$43,IF(A306="Scots pine",3,IF(A306="Sitka spruce",2, "error")),TRUE)/100</f>
        <v>0.84</v>
      </c>
      <c r="W306">
        <f t="shared" si="76"/>
        <v>115.8381</v>
      </c>
      <c r="X306">
        <f t="shared" si="77"/>
        <v>23.492699999999999</v>
      </c>
      <c r="Y306">
        <f t="shared" si="78"/>
        <v>26.539200000000001</v>
      </c>
      <c r="Z306">
        <f t="shared" si="79"/>
        <v>81.365773634999996</v>
      </c>
      <c r="AA306">
        <f t="shared" si="80"/>
        <v>26.011791000000002</v>
      </c>
      <c r="AB306">
        <f t="shared" si="81"/>
        <v>45.524464964999993</v>
      </c>
      <c r="AC306">
        <f t="shared" si="82"/>
        <v>12.967970399999999</v>
      </c>
      <c r="AD306">
        <f>LOOKUP($A306,'Over to underbark'!$A$47:$A$48,'Over to underbark'!E$47:E$48)*Z306</f>
        <v>34.173624926700001</v>
      </c>
      <c r="AE306">
        <f>LOOKUP($A306,'Over to underbark'!$A$47:$A$48,'Over to underbark'!E$47:E$48)*AA306</f>
        <v>10.92495222</v>
      </c>
      <c r="AF306">
        <f>LOOKUP($A306,'Over to underbark'!$A$47:$A$48,'Over to underbark'!E$47:E$48)*AB306</f>
        <v>19.120275285299996</v>
      </c>
      <c r="AG306">
        <f>LOOKUP($A306,'Over to underbark'!$A$47:$A$48,'Over to underbark'!E$47:E$48)*AC306</f>
        <v>5.4465475679999988</v>
      </c>
      <c r="AH306" t="b">
        <f t="shared" si="83"/>
        <v>1</v>
      </c>
      <c r="AI306" t="b">
        <f t="shared" si="84"/>
        <v>1</v>
      </c>
      <c r="AJ306">
        <f>LOOKUP(A306,'Over to underbark'!$A$47:$A$48,'Over to underbark'!E$47:E$48)*M306</f>
        <v>77.406000000000006</v>
      </c>
      <c r="AK306" s="22">
        <f>LOOKUP(A306,'Over to underbark'!$A$47:$A$48,'Over to underbark'!$B$47:$B$48)*AJ306</f>
        <v>26.318040000000003</v>
      </c>
      <c r="AL306" s="22">
        <f>LOOKUP(A306,'Over to underbark'!$A$47:$A$48,'Over to underbark'!C$47:C$48)*AJ306</f>
        <v>27.092100000000002</v>
      </c>
      <c r="AM306" s="22">
        <f t="shared" si="85"/>
        <v>103.72404</v>
      </c>
      <c r="AN306" s="36">
        <v>1055.5999999999999</v>
      </c>
      <c r="AO306" s="23">
        <f t="shared" si="86"/>
        <v>207.44808</v>
      </c>
      <c r="AQ306">
        <f t="shared" si="71"/>
        <v>0.67164179104477617</v>
      </c>
    </row>
    <row r="307" spans="1:43" x14ac:dyDescent="0.35">
      <c r="A307" t="s">
        <v>41</v>
      </c>
      <c r="B307">
        <v>12</v>
      </c>
      <c r="C307">
        <v>2</v>
      </c>
      <c r="D307" t="s">
        <v>42</v>
      </c>
      <c r="E307">
        <v>2</v>
      </c>
      <c r="F307">
        <v>1</v>
      </c>
      <c r="G307" s="30">
        <v>29</v>
      </c>
      <c r="H307" s="30">
        <v>13.14</v>
      </c>
      <c r="I307" s="30">
        <v>1831</v>
      </c>
      <c r="J307" s="30">
        <v>16.02</v>
      </c>
      <c r="K307" s="30">
        <v>36.906999999999996</v>
      </c>
      <c r="L307" s="30">
        <v>0.108</v>
      </c>
      <c r="M307" s="32">
        <v>197.8</v>
      </c>
      <c r="N307" s="30">
        <v>1.248</v>
      </c>
      <c r="O307" s="29">
        <v>6.8209999999999997</v>
      </c>
      <c r="P307" s="31">
        <v>29</v>
      </c>
      <c r="Q307" s="31">
        <v>16.02</v>
      </c>
      <c r="R307" s="31">
        <v>158.84299999999999</v>
      </c>
      <c r="S307" s="31">
        <v>38.957000000000001</v>
      </c>
      <c r="T307" s="10" t="b">
        <f t="shared" si="74"/>
        <v>1</v>
      </c>
      <c r="U307" s="10" t="b">
        <f t="shared" si="75"/>
        <v>1</v>
      </c>
      <c r="V307" s="11">
        <f>VLOOKUP(IF(J307&lt;10, 10, IF(J307&gt;50,50,J307)),'Over to underbark'!$A$3:$C$43,IF(A307="Scots pine",3,IF(A307="Sitka spruce",2, "error")),TRUE)/100</f>
        <v>0.84</v>
      </c>
      <c r="W307">
        <f t="shared" si="76"/>
        <v>120.08530799999998</v>
      </c>
      <c r="X307">
        <f t="shared" si="77"/>
        <v>29.451492000000002</v>
      </c>
      <c r="Y307">
        <f t="shared" si="78"/>
        <v>28.483200000000004</v>
      </c>
      <c r="Z307">
        <f t="shared" si="79"/>
        <v>86.480992549800021</v>
      </c>
      <c r="AA307">
        <f t="shared" si="80"/>
        <v>27.450983880000003</v>
      </c>
      <c r="AB307">
        <f t="shared" si="81"/>
        <v>47.830799986199992</v>
      </c>
      <c r="AC307">
        <f t="shared" si="82"/>
        <v>16.257223584000002</v>
      </c>
      <c r="AD307">
        <f>LOOKUP($A307,'Over to underbark'!$A$47:$A$48,'Over to underbark'!E$47:E$48)*Z307</f>
        <v>36.322016870916009</v>
      </c>
      <c r="AE307">
        <f>LOOKUP($A307,'Over to underbark'!$A$47:$A$48,'Over to underbark'!E$47:E$48)*AA307</f>
        <v>11.529413229600001</v>
      </c>
      <c r="AF307">
        <f>LOOKUP($A307,'Over to underbark'!$A$47:$A$48,'Over to underbark'!E$47:E$48)*AB307</f>
        <v>20.088935994203997</v>
      </c>
      <c r="AG307">
        <f>LOOKUP($A307,'Over to underbark'!$A$47:$A$48,'Over to underbark'!E$47:E$48)*AC307</f>
        <v>6.8280339052800008</v>
      </c>
      <c r="AH307" t="b">
        <f t="shared" si="83"/>
        <v>1</v>
      </c>
      <c r="AI307" t="b">
        <f t="shared" si="84"/>
        <v>1</v>
      </c>
      <c r="AJ307">
        <f>LOOKUP(A307,'Over to underbark'!$A$47:$A$48,'Over to underbark'!E$47:E$48)*M307</f>
        <v>83.076000000000008</v>
      </c>
      <c r="AK307" s="22">
        <f>LOOKUP(A307,'Over to underbark'!$A$47:$A$48,'Over to underbark'!$B$47:$B$48)*AJ307</f>
        <v>28.245840000000005</v>
      </c>
      <c r="AL307" s="22">
        <f>LOOKUP(A307,'Over to underbark'!$A$47:$A$48,'Over to underbark'!C$47:C$48)*AJ307</f>
        <v>29.076599999999999</v>
      </c>
      <c r="AM307" s="22">
        <f t="shared" si="85"/>
        <v>111.32184000000001</v>
      </c>
      <c r="AN307" s="36">
        <v>1056.5999999999999</v>
      </c>
      <c r="AO307" s="23">
        <f t="shared" si="86"/>
        <v>222.64368000000002</v>
      </c>
      <c r="AQ307">
        <f t="shared" si="71"/>
        <v>0.67164179104477606</v>
      </c>
    </row>
    <row r="308" spans="1:43" x14ac:dyDescent="0.35">
      <c r="A308" t="s">
        <v>41</v>
      </c>
      <c r="B308">
        <v>12</v>
      </c>
      <c r="C308">
        <v>2</v>
      </c>
      <c r="D308" t="s">
        <v>42</v>
      </c>
      <c r="E308">
        <v>2</v>
      </c>
      <c r="F308">
        <v>1</v>
      </c>
      <c r="G308" s="30">
        <v>30</v>
      </c>
      <c r="H308" s="30">
        <v>13.522</v>
      </c>
      <c r="I308" s="30">
        <v>1795</v>
      </c>
      <c r="J308" s="30">
        <v>16.46</v>
      </c>
      <c r="K308" s="30">
        <v>38.195999999999998</v>
      </c>
      <c r="L308" s="30">
        <v>0.11799999999999999</v>
      </c>
      <c r="M308" s="32">
        <v>212.34</v>
      </c>
      <c r="N308" s="30">
        <v>1.5760000000000001</v>
      </c>
      <c r="O308" s="29">
        <v>7.0780000000000003</v>
      </c>
      <c r="P308" s="31">
        <v>30</v>
      </c>
      <c r="Q308" s="31">
        <v>16.46</v>
      </c>
      <c r="R308" s="31">
        <v>164.785</v>
      </c>
      <c r="S308" s="31">
        <v>47.555</v>
      </c>
      <c r="T308" s="10" t="b">
        <f t="shared" si="74"/>
        <v>1</v>
      </c>
      <c r="U308" s="10" t="b">
        <f t="shared" si="75"/>
        <v>1</v>
      </c>
      <c r="V308" s="11">
        <f>VLOOKUP(IF(J308&lt;10, 10, IF(J308&gt;50,50,J308)),'Over to underbark'!$A$3:$C$43,IF(A308="Scots pine",3,IF(A308="Sitka spruce",2, "error")),TRUE)/100</f>
        <v>0.84</v>
      </c>
      <c r="W308">
        <f t="shared" si="76"/>
        <v>124.57746</v>
      </c>
      <c r="X308">
        <f t="shared" si="77"/>
        <v>35.95158</v>
      </c>
      <c r="Y308">
        <f t="shared" si="78"/>
        <v>30.576960000000007</v>
      </c>
      <c r="Z308">
        <f t="shared" si="79"/>
        <v>91.973876570999991</v>
      </c>
      <c r="AA308">
        <f t="shared" si="80"/>
        <v>28.992000600000004</v>
      </c>
      <c r="AB308">
        <f t="shared" si="81"/>
        <v>50.294850668999999</v>
      </c>
      <c r="AC308">
        <f t="shared" si="82"/>
        <v>19.84527216</v>
      </c>
      <c r="AD308">
        <f>LOOKUP($A308,'Over to underbark'!$A$47:$A$48,'Over to underbark'!E$47:E$48)*Z308</f>
        <v>38.629028159819995</v>
      </c>
      <c r="AE308">
        <f>LOOKUP($A308,'Over to underbark'!$A$47:$A$48,'Over to underbark'!E$47:E$48)*AA308</f>
        <v>12.176640252000002</v>
      </c>
      <c r="AF308">
        <f>LOOKUP($A308,'Over to underbark'!$A$47:$A$48,'Over to underbark'!E$47:E$48)*AB308</f>
        <v>21.123837280979998</v>
      </c>
      <c r="AG308">
        <f>LOOKUP($A308,'Over to underbark'!$A$47:$A$48,'Over to underbark'!E$47:E$48)*AC308</f>
        <v>8.3350143071999998</v>
      </c>
      <c r="AH308" t="b">
        <f t="shared" si="83"/>
        <v>1</v>
      </c>
      <c r="AI308" t="b">
        <f t="shared" si="84"/>
        <v>1</v>
      </c>
      <c r="AJ308">
        <f>LOOKUP(A308,'Over to underbark'!$A$47:$A$48,'Over to underbark'!E$47:E$48)*M308</f>
        <v>89.1828</v>
      </c>
      <c r="AK308" s="22">
        <f>LOOKUP(A308,'Over to underbark'!$A$47:$A$48,'Over to underbark'!$B$47:$B$48)*AJ308</f>
        <v>30.322152000000003</v>
      </c>
      <c r="AL308" s="22">
        <f>LOOKUP(A308,'Over to underbark'!$A$47:$A$48,'Over to underbark'!C$47:C$48)*AJ308</f>
        <v>31.213979999999999</v>
      </c>
      <c r="AM308" s="22">
        <f t="shared" si="85"/>
        <v>119.504952</v>
      </c>
      <c r="AN308" s="36">
        <v>1057.5999999999999</v>
      </c>
      <c r="AO308" s="23">
        <f t="shared" si="86"/>
        <v>239.00990400000001</v>
      </c>
      <c r="AQ308">
        <f t="shared" si="71"/>
        <v>0.67164179104477606</v>
      </c>
    </row>
    <row r="309" spans="1:43" x14ac:dyDescent="0.35">
      <c r="A309" t="s">
        <v>41</v>
      </c>
      <c r="B309">
        <v>12</v>
      </c>
      <c r="C309">
        <v>2</v>
      </c>
      <c r="D309" t="s">
        <v>42</v>
      </c>
      <c r="E309">
        <v>2</v>
      </c>
      <c r="F309">
        <v>1</v>
      </c>
      <c r="G309" s="30">
        <v>31</v>
      </c>
      <c r="H309" s="30">
        <v>13.904</v>
      </c>
      <c r="I309" s="30">
        <v>1759</v>
      </c>
      <c r="J309" s="30">
        <v>16.905999999999999</v>
      </c>
      <c r="K309" s="30">
        <v>39.485999999999997</v>
      </c>
      <c r="L309" s="30">
        <v>0.129</v>
      </c>
      <c r="M309" s="32">
        <v>226.88</v>
      </c>
      <c r="N309" s="30">
        <v>1.86</v>
      </c>
      <c r="O309" s="29">
        <v>7.319</v>
      </c>
      <c r="P309" s="31">
        <v>31</v>
      </c>
      <c r="Q309" s="31">
        <v>16.905999999999999</v>
      </c>
      <c r="R309" s="31">
        <v>169.874</v>
      </c>
      <c r="S309" s="31">
        <v>57.006</v>
      </c>
      <c r="T309" s="10" t="b">
        <f t="shared" si="74"/>
        <v>1</v>
      </c>
      <c r="U309" s="10" t="b">
        <f t="shared" si="75"/>
        <v>1</v>
      </c>
      <c r="V309" s="11">
        <f>VLOOKUP(IF(J309&lt;10, 10, IF(J309&gt;50,50,J309)),'Over to underbark'!$A$3:$C$43,IF(A309="Scots pine",3,IF(A309="Sitka spruce",2, "error")),TRUE)/100</f>
        <v>0.84</v>
      </c>
      <c r="W309">
        <f t="shared" si="76"/>
        <v>128.42474399999998</v>
      </c>
      <c r="X309">
        <f t="shared" si="77"/>
        <v>43.096536</v>
      </c>
      <c r="Y309">
        <f t="shared" si="78"/>
        <v>32.67072000000001</v>
      </c>
      <c r="Z309">
        <f t="shared" si="79"/>
        <v>97.338206156399977</v>
      </c>
      <c r="AA309">
        <f t="shared" si="80"/>
        <v>30.462081840000003</v>
      </c>
      <c r="AB309">
        <f t="shared" si="81"/>
        <v>52.602424131599996</v>
      </c>
      <c r="AC309">
        <f t="shared" si="82"/>
        <v>23.789287872000003</v>
      </c>
      <c r="AD309">
        <f>LOOKUP($A309,'Over to underbark'!$A$47:$A$48,'Over to underbark'!E$47:E$48)*Z309</f>
        <v>40.882046585687988</v>
      </c>
      <c r="AE309">
        <f>LOOKUP($A309,'Over to underbark'!$A$47:$A$48,'Over to underbark'!E$47:E$48)*AA309</f>
        <v>12.794074372800001</v>
      </c>
      <c r="AF309">
        <f>LOOKUP($A309,'Over to underbark'!$A$47:$A$48,'Over to underbark'!E$47:E$48)*AB309</f>
        <v>22.093018135271997</v>
      </c>
      <c r="AG309">
        <f>LOOKUP($A309,'Over to underbark'!$A$47:$A$48,'Over to underbark'!E$47:E$48)*AC309</f>
        <v>9.9915009062400006</v>
      </c>
      <c r="AH309" t="b">
        <f t="shared" si="83"/>
        <v>1</v>
      </c>
      <c r="AI309" t="b">
        <f t="shared" si="84"/>
        <v>1</v>
      </c>
      <c r="AJ309">
        <f>LOOKUP(A309,'Over to underbark'!$A$47:$A$48,'Over to underbark'!E$47:E$48)*M309</f>
        <v>95.289599999999993</v>
      </c>
      <c r="AK309" s="22">
        <f>LOOKUP(A309,'Over to underbark'!$A$47:$A$48,'Over to underbark'!$B$47:$B$48)*AJ309</f>
        <v>32.398463999999997</v>
      </c>
      <c r="AL309" s="22">
        <f>LOOKUP(A309,'Over to underbark'!$A$47:$A$48,'Over to underbark'!C$47:C$48)*AJ309</f>
        <v>33.351359999999993</v>
      </c>
      <c r="AM309" s="22">
        <f t="shared" si="85"/>
        <v>127.688064</v>
      </c>
      <c r="AN309" s="36">
        <v>1058.5999999999999</v>
      </c>
      <c r="AO309" s="23">
        <f t="shared" si="86"/>
        <v>255.37612799999999</v>
      </c>
      <c r="AQ309">
        <f t="shared" si="71"/>
        <v>0.67164179104477595</v>
      </c>
    </row>
    <row r="310" spans="1:43" x14ac:dyDescent="0.35">
      <c r="A310" t="s">
        <v>41</v>
      </c>
      <c r="B310">
        <v>12</v>
      </c>
      <c r="C310">
        <v>2</v>
      </c>
      <c r="D310" t="s">
        <v>42</v>
      </c>
      <c r="E310">
        <v>2</v>
      </c>
      <c r="F310">
        <v>1</v>
      </c>
      <c r="G310" s="30">
        <v>32</v>
      </c>
      <c r="H310" s="30">
        <v>14.286</v>
      </c>
      <c r="I310" s="30">
        <v>1723</v>
      </c>
      <c r="J310" s="30">
        <v>17.359000000000002</v>
      </c>
      <c r="K310" s="30">
        <v>40.776000000000003</v>
      </c>
      <c r="L310" s="30">
        <v>0.14000000000000001</v>
      </c>
      <c r="M310" s="32">
        <v>241.42</v>
      </c>
      <c r="N310" s="30">
        <v>2.109</v>
      </c>
      <c r="O310" s="29">
        <v>7.5439999999999996</v>
      </c>
      <c r="P310" s="31">
        <v>32</v>
      </c>
      <c r="Q310" s="31">
        <v>17.359000000000002</v>
      </c>
      <c r="R310" s="31">
        <v>174.108</v>
      </c>
      <c r="S310" s="31">
        <v>67.311999999999998</v>
      </c>
      <c r="T310" s="10" t="b">
        <f t="shared" si="74"/>
        <v>1</v>
      </c>
      <c r="U310" s="10" t="b">
        <f t="shared" si="75"/>
        <v>1</v>
      </c>
      <c r="V310" s="11">
        <f>VLOOKUP(IF(J310&lt;10, 10, IF(J310&gt;50,50,J310)),'Over to underbark'!$A$3:$C$43,IF(A310="Scots pine",3,IF(A310="Sitka spruce",2, "error")),TRUE)/100</f>
        <v>0.84</v>
      </c>
      <c r="W310">
        <f t="shared" si="76"/>
        <v>131.62564800000001</v>
      </c>
      <c r="X310">
        <f t="shared" si="77"/>
        <v>50.887871999999994</v>
      </c>
      <c r="Y310">
        <f t="shared" si="78"/>
        <v>34.764480000000013</v>
      </c>
      <c r="Z310">
        <f t="shared" si="79"/>
        <v>102.57367988880003</v>
      </c>
      <c r="AA310">
        <f t="shared" si="80"/>
        <v>31.861061280000008</v>
      </c>
      <c r="AB310">
        <f t="shared" si="81"/>
        <v>54.753153487200002</v>
      </c>
      <c r="AC310">
        <f t="shared" si="82"/>
        <v>28.090105343999998</v>
      </c>
      <c r="AD310">
        <f>LOOKUP($A310,'Over to underbark'!$A$47:$A$48,'Over to underbark'!E$47:E$48)*Z310</f>
        <v>43.080945553296011</v>
      </c>
      <c r="AE310">
        <f>LOOKUP($A310,'Over to underbark'!$A$47:$A$48,'Over to underbark'!E$47:E$48)*AA310</f>
        <v>13.381645737600003</v>
      </c>
      <c r="AF310">
        <f>LOOKUP($A310,'Over to underbark'!$A$47:$A$48,'Over to underbark'!E$47:E$48)*AB310</f>
        <v>22.996324464623999</v>
      </c>
      <c r="AG310">
        <f>LOOKUP($A310,'Over to underbark'!$A$47:$A$48,'Over to underbark'!E$47:E$48)*AC310</f>
        <v>11.797844244479998</v>
      </c>
      <c r="AH310" t="b">
        <f t="shared" si="83"/>
        <v>1</v>
      </c>
      <c r="AI310" t="b">
        <f t="shared" si="84"/>
        <v>1</v>
      </c>
      <c r="AJ310">
        <f>LOOKUP(A310,'Over to underbark'!$A$47:$A$48,'Over to underbark'!E$47:E$48)*M310</f>
        <v>101.39639999999999</v>
      </c>
      <c r="AK310" s="22">
        <f>LOOKUP(A310,'Over to underbark'!$A$47:$A$48,'Over to underbark'!$B$47:$B$48)*AJ310</f>
        <v>34.474775999999999</v>
      </c>
      <c r="AL310" s="22">
        <f>LOOKUP(A310,'Over to underbark'!$A$47:$A$48,'Over to underbark'!C$47:C$48)*AJ310</f>
        <v>35.488739999999993</v>
      </c>
      <c r="AM310" s="22">
        <f t="shared" si="85"/>
        <v>135.87117599999999</v>
      </c>
      <c r="AN310" s="36">
        <v>1059.5999999999999</v>
      </c>
      <c r="AO310" s="23">
        <f t="shared" si="86"/>
        <v>271.74235199999998</v>
      </c>
      <c r="AQ310">
        <f t="shared" si="71"/>
        <v>0.67164179104477628</v>
      </c>
    </row>
    <row r="311" spans="1:43" x14ac:dyDescent="0.35">
      <c r="A311" t="s">
        <v>41</v>
      </c>
      <c r="B311">
        <v>12</v>
      </c>
      <c r="C311">
        <v>2</v>
      </c>
      <c r="D311" t="s">
        <v>42</v>
      </c>
      <c r="E311">
        <v>2</v>
      </c>
      <c r="F311">
        <v>1</v>
      </c>
      <c r="G311" s="30">
        <v>33</v>
      </c>
      <c r="H311" s="30">
        <v>14.667999999999999</v>
      </c>
      <c r="I311" s="30">
        <v>1687</v>
      </c>
      <c r="J311" s="30">
        <v>17.818000000000001</v>
      </c>
      <c r="K311" s="30">
        <v>42.066000000000003</v>
      </c>
      <c r="L311" s="30">
        <v>0.152</v>
      </c>
      <c r="M311" s="32">
        <v>255.96</v>
      </c>
      <c r="N311" s="30">
        <v>2.3279999999999998</v>
      </c>
      <c r="O311" s="29">
        <v>7.7560000000000002</v>
      </c>
      <c r="P311" s="31">
        <v>33</v>
      </c>
      <c r="Q311" s="31">
        <v>17.818000000000001</v>
      </c>
      <c r="R311" s="31">
        <v>177.512</v>
      </c>
      <c r="S311" s="31">
        <v>78.447999999999993</v>
      </c>
      <c r="T311" s="10" t="b">
        <f t="shared" si="74"/>
        <v>1</v>
      </c>
      <c r="U311" s="10" t="b">
        <f t="shared" si="75"/>
        <v>1</v>
      </c>
      <c r="V311" s="11">
        <f>VLOOKUP(IF(J311&lt;10, 10, IF(J311&gt;50,50,J311)),'Over to underbark'!$A$3:$C$43,IF(A311="Scots pine",3,IF(A311="Sitka spruce",2, "error")),TRUE)/100</f>
        <v>0.84</v>
      </c>
      <c r="W311">
        <f t="shared" si="76"/>
        <v>134.199072</v>
      </c>
      <c r="X311">
        <f t="shared" si="77"/>
        <v>59.306688000000001</v>
      </c>
      <c r="Y311">
        <f t="shared" si="78"/>
        <v>36.858240000000002</v>
      </c>
      <c r="Z311">
        <f t="shared" si="79"/>
        <v>107.6840654832</v>
      </c>
      <c r="AA311">
        <f t="shared" si="80"/>
        <v>33.19101792</v>
      </c>
      <c r="AB311">
        <f t="shared" si="81"/>
        <v>56.751624820799996</v>
      </c>
      <c r="AC311">
        <f t="shared" si="82"/>
        <v>32.737291775999999</v>
      </c>
      <c r="AD311">
        <f>LOOKUP($A311,'Over to underbark'!$A$47:$A$48,'Over to underbark'!E$47:E$48)*Z311</f>
        <v>45.227307502944001</v>
      </c>
      <c r="AE311">
        <f>LOOKUP($A311,'Over to underbark'!$A$47:$A$48,'Over to underbark'!E$47:E$48)*AA311</f>
        <v>13.940227526399999</v>
      </c>
      <c r="AF311">
        <f>LOOKUP($A311,'Over to underbark'!$A$47:$A$48,'Over to underbark'!E$47:E$48)*AB311</f>
        <v>23.835682424735996</v>
      </c>
      <c r="AG311">
        <f>LOOKUP($A311,'Over to underbark'!$A$47:$A$48,'Over to underbark'!E$47:E$48)*AC311</f>
        <v>13.74966254592</v>
      </c>
      <c r="AH311" t="b">
        <f t="shared" si="83"/>
        <v>1</v>
      </c>
      <c r="AI311" t="b">
        <f t="shared" si="84"/>
        <v>1</v>
      </c>
      <c r="AJ311">
        <f>LOOKUP(A311,'Over to underbark'!$A$47:$A$48,'Over to underbark'!E$47:E$48)*M311</f>
        <v>107.50319999999999</v>
      </c>
      <c r="AK311" s="22">
        <f>LOOKUP(A311,'Over to underbark'!$A$47:$A$48,'Over to underbark'!$B$47:$B$48)*AJ311</f>
        <v>36.551088</v>
      </c>
      <c r="AL311" s="22">
        <f>LOOKUP(A311,'Over to underbark'!$A$47:$A$48,'Over to underbark'!C$47:C$48)*AJ311</f>
        <v>37.626119999999993</v>
      </c>
      <c r="AM311" s="22">
        <f t="shared" si="85"/>
        <v>144.05428799999999</v>
      </c>
      <c r="AN311" s="36">
        <v>1060.5999999999999</v>
      </c>
      <c r="AO311" s="23">
        <f t="shared" si="86"/>
        <v>288.10857599999997</v>
      </c>
      <c r="AQ311">
        <f t="shared" si="71"/>
        <v>0.67164179104477617</v>
      </c>
    </row>
    <row r="312" spans="1:43" x14ac:dyDescent="0.35">
      <c r="A312" t="s">
        <v>41</v>
      </c>
      <c r="B312">
        <v>12</v>
      </c>
      <c r="C312">
        <v>2</v>
      </c>
      <c r="D312" t="s">
        <v>42</v>
      </c>
      <c r="E312">
        <v>2</v>
      </c>
      <c r="F312">
        <v>1</v>
      </c>
      <c r="G312" s="30">
        <v>34</v>
      </c>
      <c r="H312" s="30">
        <v>15.05</v>
      </c>
      <c r="I312" s="30">
        <v>1652</v>
      </c>
      <c r="J312" s="30">
        <v>18.28</v>
      </c>
      <c r="K312" s="30">
        <v>43.356000000000002</v>
      </c>
      <c r="L312" s="30">
        <v>0.16400000000000001</v>
      </c>
      <c r="M312" s="32">
        <v>270.5</v>
      </c>
      <c r="N312" s="30">
        <v>2.5230000000000001</v>
      </c>
      <c r="O312" s="29">
        <v>7.9560000000000004</v>
      </c>
      <c r="P312" s="31">
        <v>34</v>
      </c>
      <c r="Q312" s="31">
        <v>18.28</v>
      </c>
      <c r="R312" s="31">
        <v>180.15600000000001</v>
      </c>
      <c r="S312" s="31">
        <v>90.343999999999994</v>
      </c>
      <c r="T312" s="10" t="b">
        <f t="shared" si="74"/>
        <v>1</v>
      </c>
      <c r="U312" s="10" t="b">
        <f t="shared" si="75"/>
        <v>1</v>
      </c>
      <c r="V312" s="11">
        <f>VLOOKUP(IF(J312&lt;10, 10, IF(J312&gt;50,50,J312)),'Over to underbark'!$A$3:$C$43,IF(A312="Scots pine",3,IF(A312="Sitka spruce",2, "error")),TRUE)/100</f>
        <v>0.84</v>
      </c>
      <c r="W312">
        <f t="shared" si="76"/>
        <v>136.197936</v>
      </c>
      <c r="X312">
        <f t="shared" si="77"/>
        <v>68.300064000000006</v>
      </c>
      <c r="Y312">
        <f t="shared" si="78"/>
        <v>38.952000000000012</v>
      </c>
      <c r="Z312">
        <f t="shared" si="79"/>
        <v>112.67991254160003</v>
      </c>
      <c r="AA312">
        <f t="shared" si="80"/>
        <v>34.457772960000007</v>
      </c>
      <c r="AB312">
        <f t="shared" si="81"/>
        <v>58.610679170399997</v>
      </c>
      <c r="AC312">
        <f t="shared" si="82"/>
        <v>37.701635328000009</v>
      </c>
      <c r="AD312">
        <f>LOOKUP($A312,'Over to underbark'!$A$47:$A$48,'Over to underbark'!E$47:E$48)*Z312</f>
        <v>47.325563267472013</v>
      </c>
      <c r="AE312">
        <f>LOOKUP($A312,'Over to underbark'!$A$47:$A$48,'Over to underbark'!E$47:E$48)*AA312</f>
        <v>14.472264643200003</v>
      </c>
      <c r="AF312">
        <f>LOOKUP($A312,'Over to underbark'!$A$47:$A$48,'Over to underbark'!E$47:E$48)*AB312</f>
        <v>24.616485251567997</v>
      </c>
      <c r="AG312">
        <f>LOOKUP($A312,'Over to underbark'!$A$47:$A$48,'Over to underbark'!E$47:E$48)*AC312</f>
        <v>15.834686837760003</v>
      </c>
      <c r="AH312" t="b">
        <f t="shared" si="83"/>
        <v>1</v>
      </c>
      <c r="AI312" t="b">
        <f t="shared" si="84"/>
        <v>1</v>
      </c>
      <c r="AJ312">
        <f>LOOKUP(A312,'Over to underbark'!$A$47:$A$48,'Over to underbark'!E$47:E$48)*M312</f>
        <v>113.61</v>
      </c>
      <c r="AK312" s="22">
        <f>LOOKUP(A312,'Over to underbark'!$A$47:$A$48,'Over to underbark'!$B$47:$B$48)*AJ312</f>
        <v>38.627400000000002</v>
      </c>
      <c r="AL312" s="22">
        <f>LOOKUP(A312,'Over to underbark'!$A$47:$A$48,'Over to underbark'!C$47:C$48)*AJ312</f>
        <v>39.763500000000001</v>
      </c>
      <c r="AM312" s="22">
        <f t="shared" si="85"/>
        <v>152.23740000000001</v>
      </c>
      <c r="AN312" s="36">
        <v>1061.5999999999999</v>
      </c>
      <c r="AO312" s="23">
        <f t="shared" si="86"/>
        <v>304.47480000000002</v>
      </c>
      <c r="AQ312">
        <f t="shared" si="71"/>
        <v>0.67164179104477617</v>
      </c>
    </row>
    <row r="313" spans="1:43" x14ac:dyDescent="0.35">
      <c r="A313" t="s">
        <v>41</v>
      </c>
      <c r="B313">
        <v>12</v>
      </c>
      <c r="C313">
        <v>2</v>
      </c>
      <c r="D313" t="s">
        <v>42</v>
      </c>
      <c r="E313">
        <v>2</v>
      </c>
      <c r="F313">
        <v>1</v>
      </c>
      <c r="G313" s="30">
        <v>35</v>
      </c>
      <c r="H313" s="30">
        <v>15.401999999999999</v>
      </c>
      <c r="I313" s="30">
        <v>1618</v>
      </c>
      <c r="J313" s="30">
        <v>18.713999999999999</v>
      </c>
      <c r="K313" s="30">
        <v>44.503</v>
      </c>
      <c r="L313" s="30">
        <v>0.17599999999999999</v>
      </c>
      <c r="M313" s="32">
        <v>285.24</v>
      </c>
      <c r="N313" s="30">
        <v>2.9140000000000001</v>
      </c>
      <c r="O313" s="29">
        <v>8.15</v>
      </c>
      <c r="P313" s="31">
        <v>35</v>
      </c>
      <c r="Q313" s="31">
        <v>18.713999999999999</v>
      </c>
      <c r="R313" s="31">
        <v>182.71100000000001</v>
      </c>
      <c r="S313" s="31">
        <v>102.529</v>
      </c>
      <c r="T313" s="10" t="b">
        <f t="shared" si="74"/>
        <v>1</v>
      </c>
      <c r="U313" s="10" t="b">
        <f t="shared" si="75"/>
        <v>1</v>
      </c>
      <c r="V313" s="11">
        <f>VLOOKUP(IF(J313&lt;10, 10, IF(J313&gt;50,50,J313)),'Over to underbark'!$A$3:$C$43,IF(A313="Scots pine",3,IF(A313="Sitka spruce",2, "error")),TRUE)/100</f>
        <v>0.84</v>
      </c>
      <c r="W313">
        <f t="shared" si="76"/>
        <v>138.12951600000002</v>
      </c>
      <c r="X313">
        <f t="shared" si="77"/>
        <v>77.511923999999993</v>
      </c>
      <c r="Y313">
        <f t="shared" si="78"/>
        <v>41.074560000000012</v>
      </c>
      <c r="Z313">
        <f t="shared" si="79"/>
        <v>117.72558413460003</v>
      </c>
      <c r="AA313">
        <f t="shared" si="80"/>
        <v>35.731526760000008</v>
      </c>
      <c r="AB313">
        <f t="shared" si="81"/>
        <v>60.472307057400002</v>
      </c>
      <c r="AC313">
        <f t="shared" si="82"/>
        <v>42.786582048</v>
      </c>
      <c r="AD313">
        <f>LOOKUP($A313,'Over to underbark'!$A$47:$A$48,'Over to underbark'!E$47:E$48)*Z313</f>
        <v>49.444745336532009</v>
      </c>
      <c r="AE313">
        <f>LOOKUP($A313,'Over to underbark'!$A$47:$A$48,'Over to underbark'!E$47:E$48)*AA313</f>
        <v>15.007241239200003</v>
      </c>
      <c r="AF313">
        <f>LOOKUP($A313,'Over to underbark'!$A$47:$A$48,'Over to underbark'!E$47:E$48)*AB313</f>
        <v>25.398368964107998</v>
      </c>
      <c r="AG313">
        <f>LOOKUP($A313,'Over to underbark'!$A$47:$A$48,'Over to underbark'!E$47:E$48)*AC313</f>
        <v>17.970364460159999</v>
      </c>
      <c r="AH313" t="b">
        <f t="shared" si="83"/>
        <v>1</v>
      </c>
      <c r="AI313" t="b">
        <f t="shared" si="84"/>
        <v>1</v>
      </c>
      <c r="AJ313">
        <f>LOOKUP(A313,'Over to underbark'!$A$47:$A$48,'Over to underbark'!E$47:E$48)*M313</f>
        <v>119.8008</v>
      </c>
      <c r="AK313" s="22">
        <f>LOOKUP(A313,'Over to underbark'!$A$47:$A$48,'Over to underbark'!$B$47:$B$48)*AJ313</f>
        <v>40.732272000000002</v>
      </c>
      <c r="AL313" s="22">
        <f>LOOKUP(A313,'Over to underbark'!$A$47:$A$48,'Over to underbark'!C$47:C$48)*AJ313</f>
        <v>41.930279999999996</v>
      </c>
      <c r="AM313" s="22">
        <f t="shared" si="85"/>
        <v>160.533072</v>
      </c>
      <c r="AN313" s="36">
        <v>1062.5999999999999</v>
      </c>
      <c r="AO313" s="23">
        <f t="shared" si="86"/>
        <v>321.06614400000001</v>
      </c>
      <c r="AQ313">
        <f t="shared" si="71"/>
        <v>0.67164179104477617</v>
      </c>
    </row>
    <row r="314" spans="1:43" x14ac:dyDescent="0.35">
      <c r="A314" t="s">
        <v>41</v>
      </c>
      <c r="B314">
        <v>12</v>
      </c>
      <c r="C314">
        <v>2</v>
      </c>
      <c r="D314" t="s">
        <v>42</v>
      </c>
      <c r="E314">
        <v>2</v>
      </c>
      <c r="F314">
        <v>1</v>
      </c>
      <c r="G314" s="30">
        <v>36</v>
      </c>
      <c r="H314" s="30">
        <v>15.754</v>
      </c>
      <c r="I314" s="30">
        <v>1584</v>
      </c>
      <c r="J314" s="30">
        <v>19.155999999999999</v>
      </c>
      <c r="K314" s="30">
        <v>45.651000000000003</v>
      </c>
      <c r="L314" s="30">
        <v>0.189</v>
      </c>
      <c r="M314" s="32">
        <v>299.98</v>
      </c>
      <c r="N314" s="30">
        <v>3.2629999999999999</v>
      </c>
      <c r="O314" s="29">
        <v>8.3330000000000002</v>
      </c>
      <c r="P314" s="31">
        <v>36</v>
      </c>
      <c r="Q314" s="31">
        <v>19.155999999999999</v>
      </c>
      <c r="R314" s="31">
        <v>184.506</v>
      </c>
      <c r="S314" s="31">
        <v>115.474</v>
      </c>
      <c r="T314" s="10" t="b">
        <f t="shared" si="74"/>
        <v>1</v>
      </c>
      <c r="U314" s="10" t="b">
        <f t="shared" si="75"/>
        <v>1</v>
      </c>
      <c r="V314" s="11">
        <f>VLOOKUP(IF(J314&lt;10, 10, IF(J314&gt;50,50,J314)),'Over to underbark'!$A$3:$C$43,IF(A314="Scots pine",3,IF(A314="Sitka spruce",2, "error")),TRUE)/100</f>
        <v>0.84</v>
      </c>
      <c r="W314">
        <f t="shared" si="76"/>
        <v>139.486536</v>
      </c>
      <c r="X314">
        <f t="shared" si="77"/>
        <v>87.298344</v>
      </c>
      <c r="Y314">
        <f t="shared" si="78"/>
        <v>43.197120000000012</v>
      </c>
      <c r="Z314">
        <f t="shared" si="79"/>
        <v>122.65671719159999</v>
      </c>
      <c r="AA314">
        <f t="shared" si="80"/>
        <v>36.942078960000003</v>
      </c>
      <c r="AB314">
        <f t="shared" si="81"/>
        <v>62.194517960399992</v>
      </c>
      <c r="AC314">
        <f t="shared" si="82"/>
        <v>48.188685888000002</v>
      </c>
      <c r="AD314">
        <f>LOOKUP($A314,'Over to underbark'!$A$47:$A$48,'Over to underbark'!E$47:E$48)*Z314</f>
        <v>51.515821220471999</v>
      </c>
      <c r="AE314">
        <f>LOOKUP($A314,'Over to underbark'!$A$47:$A$48,'Over to underbark'!E$47:E$48)*AA314</f>
        <v>15.515673163200001</v>
      </c>
      <c r="AF314">
        <f>LOOKUP($A314,'Over to underbark'!$A$47:$A$48,'Over to underbark'!E$47:E$48)*AB314</f>
        <v>26.121697543367997</v>
      </c>
      <c r="AG314">
        <f>LOOKUP($A314,'Over to underbark'!$A$47:$A$48,'Over to underbark'!E$47:E$48)*AC314</f>
        <v>20.239248072959999</v>
      </c>
      <c r="AH314" t="b">
        <f t="shared" si="83"/>
        <v>1</v>
      </c>
      <c r="AI314" t="b">
        <f t="shared" si="84"/>
        <v>1</v>
      </c>
      <c r="AJ314">
        <f>LOOKUP(A314,'Over to underbark'!$A$47:$A$48,'Over to underbark'!E$47:E$48)*M314</f>
        <v>125.99160000000001</v>
      </c>
      <c r="AK314" s="22">
        <f>LOOKUP(A314,'Over to underbark'!$A$47:$A$48,'Over to underbark'!$B$47:$B$48)*AJ314</f>
        <v>42.837144000000002</v>
      </c>
      <c r="AL314" s="22">
        <f>LOOKUP(A314,'Over to underbark'!$A$47:$A$48,'Over to underbark'!C$47:C$48)*AJ314</f>
        <v>44.097059999999999</v>
      </c>
      <c r="AM314" s="22">
        <f t="shared" si="85"/>
        <v>168.828744</v>
      </c>
      <c r="AN314" s="36">
        <v>1063.5999999999999</v>
      </c>
      <c r="AO314" s="23">
        <f t="shared" si="86"/>
        <v>337.657488</v>
      </c>
      <c r="AQ314">
        <f t="shared" si="71"/>
        <v>0.67164179104477606</v>
      </c>
    </row>
    <row r="315" spans="1:43" x14ac:dyDescent="0.35">
      <c r="A315" t="s">
        <v>41</v>
      </c>
      <c r="B315">
        <v>12</v>
      </c>
      <c r="C315">
        <v>2</v>
      </c>
      <c r="D315" t="s">
        <v>42</v>
      </c>
      <c r="E315">
        <v>2</v>
      </c>
      <c r="F315">
        <v>1</v>
      </c>
      <c r="G315" s="30">
        <v>37</v>
      </c>
      <c r="H315" s="30">
        <v>16.106000000000002</v>
      </c>
      <c r="I315" s="30">
        <v>1550</v>
      </c>
      <c r="J315" s="30">
        <v>19.606999999999999</v>
      </c>
      <c r="K315" s="30">
        <v>46.798000000000002</v>
      </c>
      <c r="L315" s="30">
        <v>0.20300000000000001</v>
      </c>
      <c r="M315" s="32">
        <v>314.72000000000003</v>
      </c>
      <c r="N315" s="30">
        <v>3.5779999999999998</v>
      </c>
      <c r="O315" s="29">
        <v>8.5060000000000002</v>
      </c>
      <c r="P315" s="31">
        <v>37</v>
      </c>
      <c r="Q315" s="31">
        <v>19.606999999999999</v>
      </c>
      <c r="R315" s="31">
        <v>185.54599999999999</v>
      </c>
      <c r="S315" s="31">
        <v>129.17400000000001</v>
      </c>
      <c r="T315" s="10" t="b">
        <f t="shared" si="74"/>
        <v>1</v>
      </c>
      <c r="U315" s="10" t="b">
        <f t="shared" si="75"/>
        <v>1</v>
      </c>
      <c r="V315" s="11">
        <f>VLOOKUP(IF(J315&lt;10, 10, IF(J315&gt;50,50,J315)),'Over to underbark'!$A$3:$C$43,IF(A315="Scots pine",3,IF(A315="Sitka spruce",2, "error")),TRUE)/100</f>
        <v>0.84</v>
      </c>
      <c r="W315">
        <f t="shared" si="76"/>
        <v>140.27277599999999</v>
      </c>
      <c r="X315">
        <f t="shared" si="77"/>
        <v>97.655544000000006</v>
      </c>
      <c r="Y315">
        <f t="shared" si="78"/>
        <v>45.31968000000002</v>
      </c>
      <c r="Z315">
        <f t="shared" si="79"/>
        <v>127.47406525560002</v>
      </c>
      <c r="AA315">
        <f t="shared" si="80"/>
        <v>38.089845360000012</v>
      </c>
      <c r="AB315">
        <f t="shared" si="81"/>
        <v>63.778229096399997</v>
      </c>
      <c r="AC315">
        <f t="shared" si="82"/>
        <v>53.905860288000007</v>
      </c>
      <c r="AD315">
        <f>LOOKUP($A315,'Over to underbark'!$A$47:$A$48,'Over to underbark'!E$47:E$48)*Z315</f>
        <v>53.539107407352006</v>
      </c>
      <c r="AE315">
        <f>LOOKUP($A315,'Over to underbark'!$A$47:$A$48,'Over to underbark'!E$47:E$48)*AA315</f>
        <v>15.997735051200005</v>
      </c>
      <c r="AF315">
        <f>LOOKUP($A315,'Over to underbark'!$A$47:$A$48,'Over to underbark'!E$47:E$48)*AB315</f>
        <v>26.786856220487998</v>
      </c>
      <c r="AG315">
        <f>LOOKUP($A315,'Over to underbark'!$A$47:$A$48,'Over to underbark'!E$47:E$48)*AC315</f>
        <v>22.640461320960004</v>
      </c>
      <c r="AH315" t="b">
        <f t="shared" si="83"/>
        <v>1</v>
      </c>
      <c r="AI315" t="b">
        <f t="shared" si="84"/>
        <v>1</v>
      </c>
      <c r="AJ315">
        <f>LOOKUP(A315,'Over to underbark'!$A$47:$A$48,'Over to underbark'!E$47:E$48)*M315</f>
        <v>132.1824</v>
      </c>
      <c r="AK315" s="22">
        <f>LOOKUP(A315,'Over to underbark'!$A$47:$A$48,'Over to underbark'!$B$47:$B$48)*AJ315</f>
        <v>44.942016000000002</v>
      </c>
      <c r="AL315" s="22">
        <f>LOOKUP(A315,'Over to underbark'!$A$47:$A$48,'Over to underbark'!C$47:C$48)*AJ315</f>
        <v>46.263839999999995</v>
      </c>
      <c r="AM315" s="22">
        <f t="shared" si="85"/>
        <v>177.124416</v>
      </c>
      <c r="AN315" s="36">
        <v>1064.5999999999999</v>
      </c>
      <c r="AO315" s="23">
        <f t="shared" si="86"/>
        <v>354.24883199999999</v>
      </c>
      <c r="AQ315">
        <f t="shared" si="71"/>
        <v>0.67164179104477617</v>
      </c>
    </row>
    <row r="316" spans="1:43" x14ac:dyDescent="0.35">
      <c r="A316" t="s">
        <v>41</v>
      </c>
      <c r="B316">
        <v>12</v>
      </c>
      <c r="C316">
        <v>2</v>
      </c>
      <c r="D316" t="s">
        <v>42</v>
      </c>
      <c r="E316">
        <v>2</v>
      </c>
      <c r="F316">
        <v>1</v>
      </c>
      <c r="G316" s="30">
        <v>38</v>
      </c>
      <c r="H316" s="30">
        <v>16.457999999999998</v>
      </c>
      <c r="I316" s="30">
        <v>1516</v>
      </c>
      <c r="J316" s="30">
        <v>20.067</v>
      </c>
      <c r="K316" s="30">
        <v>47.945</v>
      </c>
      <c r="L316" s="30">
        <v>0.217</v>
      </c>
      <c r="M316" s="32">
        <v>329.46</v>
      </c>
      <c r="N316" s="30">
        <v>3.863</v>
      </c>
      <c r="O316" s="29">
        <v>8.67</v>
      </c>
      <c r="P316" s="31">
        <v>38</v>
      </c>
      <c r="Q316" s="31">
        <v>20.067</v>
      </c>
      <c r="R316" s="31">
        <v>185.85499999999999</v>
      </c>
      <c r="S316" s="31">
        <v>143.60499999999999</v>
      </c>
      <c r="T316" s="10" t="b">
        <f t="shared" si="74"/>
        <v>1</v>
      </c>
      <c r="U316" s="10" t="b">
        <f t="shared" si="75"/>
        <v>1</v>
      </c>
      <c r="V316" s="11">
        <f>VLOOKUP(IF(J316&lt;10, 10, IF(J316&gt;50,50,J316)),'Over to underbark'!$A$3:$C$43,IF(A316="Scots pine",3,IF(A316="Sitka spruce",2, "error")),TRUE)/100</f>
        <v>0.84</v>
      </c>
      <c r="W316">
        <f t="shared" si="76"/>
        <v>140.50637999999998</v>
      </c>
      <c r="X316">
        <f t="shared" si="77"/>
        <v>108.56537999999999</v>
      </c>
      <c r="Y316">
        <f t="shared" si="78"/>
        <v>47.442240000000012</v>
      </c>
      <c r="Z316">
        <f t="shared" si="79"/>
        <v>132.18124533300002</v>
      </c>
      <c r="AA316">
        <f t="shared" si="80"/>
        <v>39.176821800000006</v>
      </c>
      <c r="AB316">
        <f t="shared" si="81"/>
        <v>65.227843106999984</v>
      </c>
      <c r="AC316">
        <f t="shared" si="82"/>
        <v>59.928089759999992</v>
      </c>
      <c r="AD316">
        <f>LOOKUP($A316,'Over to underbark'!$A$47:$A$48,'Over to underbark'!E$47:E$48)*Z316</f>
        <v>55.516123039860005</v>
      </c>
      <c r="AE316">
        <f>LOOKUP($A316,'Over to underbark'!$A$47:$A$48,'Over to underbark'!E$47:E$48)*AA316</f>
        <v>16.454265156000002</v>
      </c>
      <c r="AF316">
        <f>LOOKUP($A316,'Over to underbark'!$A$47:$A$48,'Over to underbark'!E$47:E$48)*AB316</f>
        <v>27.395694104939992</v>
      </c>
      <c r="AG316">
        <f>LOOKUP($A316,'Over to underbark'!$A$47:$A$48,'Over to underbark'!E$47:E$48)*AC316</f>
        <v>25.169797699199997</v>
      </c>
      <c r="AH316" t="b">
        <f t="shared" si="83"/>
        <v>1</v>
      </c>
      <c r="AI316" t="b">
        <f t="shared" si="84"/>
        <v>1</v>
      </c>
      <c r="AJ316">
        <f>LOOKUP(A316,'Over to underbark'!$A$47:$A$48,'Over to underbark'!E$47:E$48)*M316</f>
        <v>138.3732</v>
      </c>
      <c r="AK316" s="22">
        <f>LOOKUP(A316,'Over to underbark'!$A$47:$A$48,'Over to underbark'!$B$47:$B$48)*AJ316</f>
        <v>47.046888000000003</v>
      </c>
      <c r="AL316" s="22">
        <f>LOOKUP(A316,'Over to underbark'!$A$47:$A$48,'Over to underbark'!C$47:C$48)*AJ316</f>
        <v>48.430619999999998</v>
      </c>
      <c r="AM316" s="22">
        <f t="shared" si="85"/>
        <v>185.42008799999999</v>
      </c>
      <c r="AN316" s="36">
        <v>1065.5999999999999</v>
      </c>
      <c r="AO316" s="23">
        <f t="shared" si="86"/>
        <v>370.84017599999999</v>
      </c>
      <c r="AQ316">
        <f t="shared" si="71"/>
        <v>0.67164179104477606</v>
      </c>
    </row>
    <row r="317" spans="1:43" x14ac:dyDescent="0.35">
      <c r="A317" t="s">
        <v>41</v>
      </c>
      <c r="B317">
        <v>12</v>
      </c>
      <c r="C317">
        <v>2</v>
      </c>
      <c r="D317" t="s">
        <v>42</v>
      </c>
      <c r="E317">
        <v>2</v>
      </c>
      <c r="F317">
        <v>1</v>
      </c>
      <c r="G317" s="30">
        <v>39</v>
      </c>
      <c r="H317" s="30">
        <v>16.809999999999999</v>
      </c>
      <c r="I317" s="30">
        <v>1483</v>
      </c>
      <c r="J317" s="30">
        <v>20.53</v>
      </c>
      <c r="K317" s="30">
        <v>49.091999999999999</v>
      </c>
      <c r="L317" s="30">
        <v>0.23200000000000001</v>
      </c>
      <c r="M317" s="32">
        <v>344.2</v>
      </c>
      <c r="N317" s="30">
        <v>4.1230000000000002</v>
      </c>
      <c r="O317" s="29">
        <v>8.8260000000000005</v>
      </c>
      <c r="P317" s="31">
        <v>39</v>
      </c>
      <c r="Q317" s="31">
        <v>20.53</v>
      </c>
      <c r="R317" s="31">
        <v>185.57400000000001</v>
      </c>
      <c r="S317" s="31">
        <v>158.626</v>
      </c>
      <c r="T317" s="10" t="b">
        <f t="shared" si="74"/>
        <v>1</v>
      </c>
      <c r="U317" s="10" t="b">
        <f t="shared" si="75"/>
        <v>1</v>
      </c>
      <c r="V317" s="11">
        <f>VLOOKUP(IF(J317&lt;10, 10, IF(J317&gt;50,50,J317)),'Over to underbark'!$A$3:$C$43,IF(A317="Scots pine",3,IF(A317="Sitka spruce",2, "error")),TRUE)/100</f>
        <v>0.84</v>
      </c>
      <c r="W317">
        <f t="shared" si="76"/>
        <v>140.29394400000001</v>
      </c>
      <c r="X317">
        <f t="shared" si="77"/>
        <v>119.92125600000001</v>
      </c>
      <c r="Y317">
        <f t="shared" si="78"/>
        <v>49.564800000000012</v>
      </c>
      <c r="Z317">
        <f t="shared" si="79"/>
        <v>136.79950733640001</v>
      </c>
      <c r="AA317">
        <f t="shared" si="80"/>
        <v>40.214733840000008</v>
      </c>
      <c r="AB317">
        <f t="shared" si="81"/>
        <v>66.569225511599996</v>
      </c>
      <c r="AC317">
        <f t="shared" si="82"/>
        <v>66.196533312000014</v>
      </c>
      <c r="AD317">
        <f>LOOKUP($A317,'Over to underbark'!$A$47:$A$48,'Over to underbark'!E$47:E$48)*Z317</f>
        <v>57.455793081288</v>
      </c>
      <c r="AE317">
        <f>LOOKUP($A317,'Over to underbark'!$A$47:$A$48,'Over to underbark'!E$47:E$48)*AA317</f>
        <v>16.890188212800002</v>
      </c>
      <c r="AF317">
        <f>LOOKUP($A317,'Over to underbark'!$A$47:$A$48,'Over to underbark'!E$47:E$48)*AB317</f>
        <v>27.959074714871996</v>
      </c>
      <c r="AG317">
        <f>LOOKUP($A317,'Over to underbark'!$A$47:$A$48,'Over to underbark'!E$47:E$48)*AC317</f>
        <v>27.802543991040004</v>
      </c>
      <c r="AH317" t="b">
        <f t="shared" si="83"/>
        <v>1</v>
      </c>
      <c r="AI317" t="b">
        <f t="shared" si="84"/>
        <v>1</v>
      </c>
      <c r="AJ317">
        <f>LOOKUP(A317,'Over to underbark'!$A$47:$A$48,'Over to underbark'!E$47:E$48)*M317</f>
        <v>144.56399999999999</v>
      </c>
      <c r="AK317" s="22">
        <f>LOOKUP(A317,'Over to underbark'!$A$47:$A$48,'Over to underbark'!$B$47:$B$48)*AJ317</f>
        <v>49.151760000000003</v>
      </c>
      <c r="AL317" s="22">
        <f>LOOKUP(A317,'Over to underbark'!$A$47:$A$48,'Over to underbark'!C$47:C$48)*AJ317</f>
        <v>50.597399999999993</v>
      </c>
      <c r="AM317" s="22">
        <f t="shared" si="85"/>
        <v>193.71575999999999</v>
      </c>
      <c r="AN317" s="36">
        <v>1066.5999999999999</v>
      </c>
      <c r="AO317" s="23">
        <f t="shared" si="86"/>
        <v>387.43151999999998</v>
      </c>
      <c r="AQ317">
        <f t="shared" si="71"/>
        <v>0.67164179104477628</v>
      </c>
    </row>
    <row r="318" spans="1:43" x14ac:dyDescent="0.35">
      <c r="A318" t="s">
        <v>41</v>
      </c>
      <c r="B318">
        <v>12</v>
      </c>
      <c r="C318">
        <v>2</v>
      </c>
      <c r="D318" t="s">
        <v>42</v>
      </c>
      <c r="E318">
        <v>2</v>
      </c>
      <c r="F318">
        <v>1</v>
      </c>
      <c r="G318" s="30">
        <v>40</v>
      </c>
      <c r="H318" s="30">
        <v>17.138000000000002</v>
      </c>
      <c r="I318" s="30">
        <v>1451</v>
      </c>
      <c r="J318" s="30">
        <v>20.960999999999999</v>
      </c>
      <c r="K318" s="30">
        <v>50.073</v>
      </c>
      <c r="L318" s="30">
        <v>0.247</v>
      </c>
      <c r="M318" s="32">
        <v>358.44</v>
      </c>
      <c r="N318" s="30">
        <v>4.5590000000000002</v>
      </c>
      <c r="O318" s="29">
        <v>8.9610000000000003</v>
      </c>
      <c r="P318" s="31">
        <v>40</v>
      </c>
      <c r="Q318" s="31">
        <v>20.960999999999999</v>
      </c>
      <c r="R318" s="31">
        <v>185.13399999999999</v>
      </c>
      <c r="S318" s="31">
        <v>173.30600000000001</v>
      </c>
      <c r="T318" s="10" t="b">
        <f t="shared" si="74"/>
        <v>1</v>
      </c>
      <c r="U318" s="10" t="b">
        <f t="shared" si="75"/>
        <v>1</v>
      </c>
      <c r="V318" s="11">
        <f>VLOOKUP(IF(J318&lt;10, 10, IF(J318&gt;50,50,J318)),'Over to underbark'!$A$3:$C$43,IF(A318="Scots pine",3,IF(A318="Sitka spruce",2, "error")),TRUE)/100</f>
        <v>0.84</v>
      </c>
      <c r="W318">
        <f t="shared" si="76"/>
        <v>139.96130399999998</v>
      </c>
      <c r="X318">
        <f t="shared" si="77"/>
        <v>131.01933600000001</v>
      </c>
      <c r="Y318">
        <f t="shared" si="78"/>
        <v>51.61536000000001</v>
      </c>
      <c r="Z318">
        <f t="shared" si="79"/>
        <v>141.23571267240001</v>
      </c>
      <c r="AA318">
        <f t="shared" si="80"/>
        <v>41.203423440000002</v>
      </c>
      <c r="AB318">
        <f t="shared" si="81"/>
        <v>67.834190415599991</v>
      </c>
      <c r="AC318">
        <f t="shared" si="82"/>
        <v>72.322673472000005</v>
      </c>
      <c r="AD318">
        <f>LOOKUP($A318,'Over to underbark'!$A$47:$A$48,'Over to underbark'!E$47:E$48)*Z318</f>
        <v>59.318999322408004</v>
      </c>
      <c r="AE318">
        <f>LOOKUP($A318,'Over to underbark'!$A$47:$A$48,'Over to underbark'!E$47:E$48)*AA318</f>
        <v>17.3054378448</v>
      </c>
      <c r="AF318">
        <f>LOOKUP($A318,'Over to underbark'!$A$47:$A$48,'Over to underbark'!E$47:E$48)*AB318</f>
        <v>28.490359974551996</v>
      </c>
      <c r="AG318">
        <f>LOOKUP($A318,'Over to underbark'!$A$47:$A$48,'Over to underbark'!E$47:E$48)*AC318</f>
        <v>30.37552285824</v>
      </c>
      <c r="AH318" t="b">
        <f t="shared" si="83"/>
        <v>1</v>
      </c>
      <c r="AI318" t="b">
        <f t="shared" si="84"/>
        <v>1</v>
      </c>
      <c r="AJ318">
        <f>LOOKUP(A318,'Over to underbark'!$A$47:$A$48,'Over to underbark'!E$47:E$48)*M318</f>
        <v>150.54479999999998</v>
      </c>
      <c r="AK318" s="22">
        <f>LOOKUP(A318,'Over to underbark'!$A$47:$A$48,'Over to underbark'!$B$47:$B$48)*AJ318</f>
        <v>51.185231999999999</v>
      </c>
      <c r="AL318" s="22">
        <f>LOOKUP(A318,'Over to underbark'!$A$47:$A$48,'Over to underbark'!C$47:C$48)*AJ318</f>
        <v>52.690679999999993</v>
      </c>
      <c r="AM318" s="22">
        <f t="shared" si="85"/>
        <v>201.73003199999999</v>
      </c>
      <c r="AN318" s="36">
        <v>1067.5999999999999</v>
      </c>
      <c r="AO318" s="23">
        <f t="shared" si="86"/>
        <v>403.46006399999999</v>
      </c>
      <c r="AQ318">
        <f t="shared" si="71"/>
        <v>0.67164179104477617</v>
      </c>
    </row>
    <row r="319" spans="1:43" x14ac:dyDescent="0.35">
      <c r="A319" t="s">
        <v>41</v>
      </c>
      <c r="B319">
        <v>12</v>
      </c>
      <c r="C319">
        <v>2</v>
      </c>
      <c r="D319" t="s">
        <v>42</v>
      </c>
      <c r="E319">
        <v>2</v>
      </c>
      <c r="F319">
        <v>1</v>
      </c>
      <c r="G319" s="30">
        <v>41</v>
      </c>
      <c r="H319" s="30">
        <v>17.466000000000001</v>
      </c>
      <c r="I319" s="30">
        <v>1420</v>
      </c>
      <c r="J319" s="30">
        <v>21.396000000000001</v>
      </c>
      <c r="K319" s="30">
        <v>51.052999999999997</v>
      </c>
      <c r="L319" s="30">
        <v>0.26200000000000001</v>
      </c>
      <c r="M319" s="32">
        <v>372.68</v>
      </c>
      <c r="N319" s="30">
        <v>4.9580000000000002</v>
      </c>
      <c r="O319" s="29">
        <v>9.09</v>
      </c>
      <c r="P319" s="31">
        <v>41</v>
      </c>
      <c r="Q319" s="31">
        <v>21.396000000000001</v>
      </c>
      <c r="R319" s="31">
        <v>184.19800000000001</v>
      </c>
      <c r="S319" s="31">
        <v>188.482</v>
      </c>
      <c r="T319" s="10" t="b">
        <f t="shared" si="74"/>
        <v>1</v>
      </c>
      <c r="U319" s="10" t="b">
        <f t="shared" si="75"/>
        <v>1</v>
      </c>
      <c r="V319" s="11">
        <f>VLOOKUP(IF(J319&lt;10, 10, IF(J319&gt;50,50,J319)),'Over to underbark'!$A$3:$C$43,IF(A319="Scots pine",3,IF(A319="Sitka spruce",2, "error")),TRUE)/100</f>
        <v>0.84</v>
      </c>
      <c r="W319">
        <f t="shared" si="76"/>
        <v>139.25368799999998</v>
      </c>
      <c r="X319">
        <f t="shared" si="77"/>
        <v>142.492392</v>
      </c>
      <c r="Y319">
        <f t="shared" si="78"/>
        <v>53.665920000000014</v>
      </c>
      <c r="Z319">
        <f t="shared" si="79"/>
        <v>145.59716654279998</v>
      </c>
      <c r="AA319">
        <f t="shared" si="80"/>
        <v>42.150865680000003</v>
      </c>
      <c r="AB319">
        <f t="shared" si="81"/>
        <v>69.008167393199997</v>
      </c>
      <c r="AC319">
        <f t="shared" si="82"/>
        <v>78.655800383999988</v>
      </c>
      <c r="AD319">
        <f>LOOKUP($A319,'Over to underbark'!$A$47:$A$48,'Over to underbark'!E$47:E$48)*Z319</f>
        <v>61.150809947975993</v>
      </c>
      <c r="AE319">
        <f>LOOKUP($A319,'Over to underbark'!$A$47:$A$48,'Over to underbark'!E$47:E$48)*AA319</f>
        <v>17.703363585600002</v>
      </c>
      <c r="AF319">
        <f>LOOKUP($A319,'Over to underbark'!$A$47:$A$48,'Over to underbark'!E$47:E$48)*AB319</f>
        <v>28.983430305143997</v>
      </c>
      <c r="AG319">
        <f>LOOKUP($A319,'Over to underbark'!$A$47:$A$48,'Over to underbark'!E$47:E$48)*AC319</f>
        <v>33.035436161279996</v>
      </c>
      <c r="AH319" t="b">
        <f t="shared" si="83"/>
        <v>1</v>
      </c>
      <c r="AI319" t="b">
        <f t="shared" si="84"/>
        <v>1</v>
      </c>
      <c r="AJ319">
        <f>LOOKUP(A319,'Over to underbark'!$A$47:$A$48,'Over to underbark'!E$47:E$48)*M319</f>
        <v>156.5256</v>
      </c>
      <c r="AK319" s="22">
        <f>LOOKUP(A319,'Over to underbark'!$A$47:$A$48,'Over to underbark'!$B$47:$B$48)*AJ319</f>
        <v>53.218704000000002</v>
      </c>
      <c r="AL319" s="22">
        <f>LOOKUP(A319,'Over to underbark'!$A$47:$A$48,'Over to underbark'!C$47:C$48)*AJ319</f>
        <v>54.783959999999993</v>
      </c>
      <c r="AM319" s="22">
        <f t="shared" si="85"/>
        <v>209.744304</v>
      </c>
      <c r="AN319" s="36">
        <v>1068.5999999999999</v>
      </c>
      <c r="AO319" s="23">
        <f t="shared" si="86"/>
        <v>419.488608</v>
      </c>
      <c r="AQ319">
        <f t="shared" si="71"/>
        <v>0.67164179104477595</v>
      </c>
    </row>
    <row r="320" spans="1:43" x14ac:dyDescent="0.35">
      <c r="A320" t="s">
        <v>41</v>
      </c>
      <c r="B320">
        <v>12</v>
      </c>
      <c r="C320">
        <v>2</v>
      </c>
      <c r="D320" t="s">
        <v>42</v>
      </c>
      <c r="E320">
        <v>2</v>
      </c>
      <c r="F320">
        <v>1</v>
      </c>
      <c r="G320" s="30">
        <v>42</v>
      </c>
      <c r="H320" s="30">
        <v>17.794</v>
      </c>
      <c r="I320" s="30">
        <v>1388</v>
      </c>
      <c r="J320" s="30">
        <v>21.847999999999999</v>
      </c>
      <c r="K320" s="30">
        <v>52.033999999999999</v>
      </c>
      <c r="L320" s="30">
        <v>0.27900000000000003</v>
      </c>
      <c r="M320" s="32">
        <v>386.92</v>
      </c>
      <c r="N320" s="30">
        <v>5.3239999999999998</v>
      </c>
      <c r="O320" s="29">
        <v>9.2119999999999997</v>
      </c>
      <c r="P320" s="31">
        <v>42</v>
      </c>
      <c r="Q320" s="31">
        <v>21.847999999999999</v>
      </c>
      <c r="R320" s="31">
        <v>182.55199999999999</v>
      </c>
      <c r="S320" s="31">
        <v>204.36799999999999</v>
      </c>
      <c r="T320" s="10" t="b">
        <f t="shared" si="74"/>
        <v>1</v>
      </c>
      <c r="U320" s="10" t="b">
        <f t="shared" si="75"/>
        <v>1</v>
      </c>
      <c r="V320" s="11">
        <f>VLOOKUP(IF(J320&lt;10, 10, IF(J320&gt;50,50,J320)),'Over to underbark'!$A$3:$C$43,IF(A320="Scots pine",3,IF(A320="Sitka spruce",2, "error")),TRUE)/100</f>
        <v>0.84</v>
      </c>
      <c r="W320">
        <f t="shared" si="76"/>
        <v>138.00931199999999</v>
      </c>
      <c r="X320">
        <f t="shared" si="77"/>
        <v>154.502208</v>
      </c>
      <c r="Y320">
        <f t="shared" si="78"/>
        <v>55.716480000000004</v>
      </c>
      <c r="Z320">
        <f t="shared" si="79"/>
        <v>149.8516173072</v>
      </c>
      <c r="AA320">
        <f t="shared" si="80"/>
        <v>43.039264320000001</v>
      </c>
      <c r="AB320">
        <f t="shared" si="81"/>
        <v>70.051899556800009</v>
      </c>
      <c r="AC320">
        <f t="shared" si="82"/>
        <v>85.285218815999997</v>
      </c>
      <c r="AD320">
        <f>LOOKUP($A320,'Over to underbark'!$A$47:$A$48,'Over to underbark'!E$47:E$48)*Z320</f>
        <v>62.937679269023995</v>
      </c>
      <c r="AE320">
        <f>LOOKUP($A320,'Over to underbark'!$A$47:$A$48,'Over to underbark'!E$47:E$48)*AA320</f>
        <v>18.076491014399998</v>
      </c>
      <c r="AF320">
        <f>LOOKUP($A320,'Over to underbark'!$A$47:$A$48,'Over to underbark'!E$47:E$48)*AB320</f>
        <v>29.421797813856003</v>
      </c>
      <c r="AG320">
        <f>LOOKUP($A320,'Over to underbark'!$A$47:$A$48,'Over to underbark'!E$47:E$48)*AC320</f>
        <v>35.819791902719999</v>
      </c>
      <c r="AH320" t="b">
        <f t="shared" si="83"/>
        <v>1</v>
      </c>
      <c r="AI320" t="b">
        <f t="shared" si="84"/>
        <v>1</v>
      </c>
      <c r="AJ320">
        <f>LOOKUP(A320,'Over to underbark'!$A$47:$A$48,'Over to underbark'!E$47:E$48)*M320</f>
        <v>162.50640000000001</v>
      </c>
      <c r="AK320" s="22">
        <f>LOOKUP(A320,'Over to underbark'!$A$47:$A$48,'Over to underbark'!$B$47:$B$48)*AJ320</f>
        <v>55.252176000000006</v>
      </c>
      <c r="AL320" s="22">
        <f>LOOKUP(A320,'Over to underbark'!$A$47:$A$48,'Over to underbark'!C$47:C$48)*AJ320</f>
        <v>56.87724</v>
      </c>
      <c r="AM320" s="22">
        <f t="shared" si="85"/>
        <v>217.75857600000001</v>
      </c>
      <c r="AN320" s="36">
        <v>1069.5999999999999</v>
      </c>
      <c r="AO320" s="23">
        <f t="shared" si="86"/>
        <v>435.51715200000001</v>
      </c>
      <c r="AQ320">
        <f t="shared" si="71"/>
        <v>0.67164179104477617</v>
      </c>
    </row>
    <row r="321" spans="1:43" x14ac:dyDescent="0.35">
      <c r="A321" t="s">
        <v>41</v>
      </c>
      <c r="B321">
        <v>12</v>
      </c>
      <c r="C321">
        <v>2</v>
      </c>
      <c r="D321" t="s">
        <v>42</v>
      </c>
      <c r="E321">
        <v>2</v>
      </c>
      <c r="F321">
        <v>1</v>
      </c>
      <c r="G321" s="30">
        <v>43</v>
      </c>
      <c r="H321" s="30">
        <v>18.122</v>
      </c>
      <c r="I321" s="30">
        <v>1357</v>
      </c>
      <c r="J321" s="30">
        <v>22.303000000000001</v>
      </c>
      <c r="K321" s="30">
        <v>53.015000000000001</v>
      </c>
      <c r="L321" s="30">
        <v>0.29599999999999999</v>
      </c>
      <c r="M321" s="32">
        <v>401.16</v>
      </c>
      <c r="N321" s="30">
        <v>5.6630000000000003</v>
      </c>
      <c r="O321" s="29">
        <v>9.3290000000000006</v>
      </c>
      <c r="P321" s="31">
        <v>43</v>
      </c>
      <c r="Q321" s="31">
        <v>22.303000000000001</v>
      </c>
      <c r="R321" s="31">
        <v>180.49199999999999</v>
      </c>
      <c r="S321" s="31">
        <v>220.66800000000001</v>
      </c>
      <c r="T321" s="10" t="b">
        <f t="shared" si="74"/>
        <v>1</v>
      </c>
      <c r="U321" s="10" t="b">
        <f t="shared" si="75"/>
        <v>1</v>
      </c>
      <c r="V321" s="11">
        <f>VLOOKUP(IF(J321&lt;10, 10, IF(J321&gt;50,50,J321)),'Over to underbark'!$A$3:$C$43,IF(A321="Scots pine",3,IF(A321="Sitka spruce",2, "error")),TRUE)/100</f>
        <v>0.84</v>
      </c>
      <c r="W321">
        <f t="shared" si="76"/>
        <v>136.45195200000001</v>
      </c>
      <c r="X321">
        <f t="shared" si="77"/>
        <v>166.825008</v>
      </c>
      <c r="Y321">
        <f t="shared" si="78"/>
        <v>57.767040000000009</v>
      </c>
      <c r="Z321">
        <f t="shared" si="79"/>
        <v>154.0436747112</v>
      </c>
      <c r="AA321">
        <f t="shared" si="80"/>
        <v>43.893234720000002</v>
      </c>
      <c r="AB321">
        <f t="shared" si="81"/>
        <v>71.019686152800006</v>
      </c>
      <c r="AC321">
        <f t="shared" si="82"/>
        <v>92.087404415999998</v>
      </c>
      <c r="AD321">
        <f>LOOKUP($A321,'Over to underbark'!$A$47:$A$48,'Over to underbark'!E$47:E$48)*Z321</f>
        <v>64.698343378703996</v>
      </c>
      <c r="AE321">
        <f>LOOKUP($A321,'Over to underbark'!$A$47:$A$48,'Over to underbark'!E$47:E$48)*AA321</f>
        <v>18.4351585824</v>
      </c>
      <c r="AF321">
        <f>LOOKUP($A321,'Over to underbark'!$A$47:$A$48,'Over to underbark'!E$47:E$48)*AB321</f>
        <v>29.828268184176</v>
      </c>
      <c r="AG321">
        <f>LOOKUP($A321,'Over to underbark'!$A$47:$A$48,'Over to underbark'!E$47:E$48)*AC321</f>
        <v>38.676709854719995</v>
      </c>
      <c r="AH321" t="b">
        <f t="shared" si="83"/>
        <v>1</v>
      </c>
      <c r="AI321" t="b">
        <f t="shared" si="84"/>
        <v>1</v>
      </c>
      <c r="AJ321">
        <f>LOOKUP(A321,'Over to underbark'!$A$47:$A$48,'Over to underbark'!E$47:E$48)*M321</f>
        <v>168.4872</v>
      </c>
      <c r="AK321" s="22">
        <f>LOOKUP(A321,'Over to underbark'!$A$47:$A$48,'Over to underbark'!$B$47:$B$48)*AJ321</f>
        <v>57.285648000000002</v>
      </c>
      <c r="AL321" s="22">
        <f>LOOKUP(A321,'Over to underbark'!$A$47:$A$48,'Over to underbark'!C$47:C$48)*AJ321</f>
        <v>58.970519999999993</v>
      </c>
      <c r="AM321" s="22">
        <f t="shared" si="85"/>
        <v>225.77284800000001</v>
      </c>
      <c r="AN321" s="36">
        <v>1070.5999999999999</v>
      </c>
      <c r="AO321" s="23">
        <f t="shared" si="86"/>
        <v>451.54569600000002</v>
      </c>
      <c r="AQ321">
        <f t="shared" si="71"/>
        <v>0.67164179104477606</v>
      </c>
    </row>
    <row r="322" spans="1:43" x14ac:dyDescent="0.35">
      <c r="A322" t="s">
        <v>41</v>
      </c>
      <c r="B322">
        <v>12</v>
      </c>
      <c r="C322">
        <v>2</v>
      </c>
      <c r="D322" t="s">
        <v>42</v>
      </c>
      <c r="E322">
        <v>2</v>
      </c>
      <c r="F322">
        <v>1</v>
      </c>
      <c r="G322" s="30">
        <v>44</v>
      </c>
      <c r="H322" s="30">
        <v>18.45</v>
      </c>
      <c r="I322" s="30">
        <v>1326</v>
      </c>
      <c r="J322" s="30">
        <v>22.77</v>
      </c>
      <c r="K322" s="30">
        <v>53.996000000000002</v>
      </c>
      <c r="L322" s="30">
        <v>0.313</v>
      </c>
      <c r="M322" s="32">
        <v>415.4</v>
      </c>
      <c r="N322" s="30">
        <v>5.976</v>
      </c>
      <c r="O322" s="29">
        <v>9.4410000000000007</v>
      </c>
      <c r="P322" s="31">
        <v>44</v>
      </c>
      <c r="Q322" s="31">
        <v>22.77</v>
      </c>
      <c r="R322" s="31">
        <v>177.88200000000001</v>
      </c>
      <c r="S322" s="31">
        <v>237.518</v>
      </c>
      <c r="T322" s="10" t="b">
        <f t="shared" si="74"/>
        <v>1</v>
      </c>
      <c r="U322" s="10" t="b">
        <f t="shared" si="75"/>
        <v>1</v>
      </c>
      <c r="V322" s="11">
        <f>VLOOKUP(IF(J322&lt;10, 10, IF(J322&gt;50,50,J322)),'Over to underbark'!$A$3:$C$43,IF(A322="Scots pine",3,IF(A322="Sitka spruce",2, "error")),TRUE)/100</f>
        <v>0.84</v>
      </c>
      <c r="W322">
        <f t="shared" si="76"/>
        <v>134.478792</v>
      </c>
      <c r="X322">
        <f t="shared" si="77"/>
        <v>179.56360799999999</v>
      </c>
      <c r="Y322">
        <f t="shared" si="78"/>
        <v>59.817600000000013</v>
      </c>
      <c r="Z322">
        <f t="shared" si="79"/>
        <v>158.15284238519999</v>
      </c>
      <c r="AA322">
        <f t="shared" si="80"/>
        <v>44.701467120000004</v>
      </c>
      <c r="AB322">
        <f t="shared" si="81"/>
        <v>71.886578878799995</v>
      </c>
      <c r="AC322">
        <f t="shared" si="82"/>
        <v>99.119111615999998</v>
      </c>
      <c r="AD322">
        <f>LOOKUP($A322,'Over to underbark'!$A$47:$A$48,'Over to underbark'!E$47:E$48)*Z322</f>
        <v>66.424193801784</v>
      </c>
      <c r="AE322">
        <f>LOOKUP($A322,'Over to underbark'!$A$47:$A$48,'Over to underbark'!E$47:E$48)*AA322</f>
        <v>18.7746161904</v>
      </c>
      <c r="AF322">
        <f>LOOKUP($A322,'Over to underbark'!$A$47:$A$48,'Over to underbark'!E$47:E$48)*AB322</f>
        <v>30.192363129095998</v>
      </c>
      <c r="AG322">
        <f>LOOKUP($A322,'Over to underbark'!$A$47:$A$48,'Over to underbark'!E$47:E$48)*AC322</f>
        <v>41.630026878719995</v>
      </c>
      <c r="AH322" t="b">
        <f t="shared" si="83"/>
        <v>1</v>
      </c>
      <c r="AI322" t="b">
        <f t="shared" si="84"/>
        <v>1</v>
      </c>
      <c r="AJ322">
        <f>LOOKUP(A322,'Over to underbark'!$A$47:$A$48,'Over to underbark'!E$47:E$48)*M322</f>
        <v>174.46799999999999</v>
      </c>
      <c r="AK322" s="22">
        <f>LOOKUP(A322,'Over to underbark'!$A$47:$A$48,'Over to underbark'!$B$47:$B$48)*AJ322</f>
        <v>59.319119999999998</v>
      </c>
      <c r="AL322" s="22">
        <f>LOOKUP(A322,'Over to underbark'!$A$47:$A$48,'Over to underbark'!C$47:C$48)*AJ322</f>
        <v>61.063799999999993</v>
      </c>
      <c r="AM322" s="22">
        <f t="shared" si="85"/>
        <v>233.78711999999999</v>
      </c>
      <c r="AN322" s="36">
        <v>1071.5999999999999</v>
      </c>
      <c r="AO322" s="23">
        <f t="shared" si="86"/>
        <v>467.57423999999997</v>
      </c>
      <c r="AQ322">
        <f t="shared" si="71"/>
        <v>0.67164179104477617</v>
      </c>
    </row>
    <row r="323" spans="1:43" x14ac:dyDescent="0.35">
      <c r="A323" t="s">
        <v>41</v>
      </c>
      <c r="B323">
        <v>12</v>
      </c>
      <c r="C323">
        <v>2</v>
      </c>
      <c r="D323" t="s">
        <v>42</v>
      </c>
      <c r="E323">
        <v>2</v>
      </c>
      <c r="F323">
        <v>1</v>
      </c>
      <c r="G323" s="30">
        <v>45</v>
      </c>
      <c r="H323" s="30">
        <v>18.754000000000001</v>
      </c>
      <c r="I323" s="30">
        <v>1298</v>
      </c>
      <c r="J323" s="30">
        <v>23.19</v>
      </c>
      <c r="K323" s="30">
        <v>54.822000000000003</v>
      </c>
      <c r="L323" s="30">
        <v>0.33</v>
      </c>
      <c r="M323" s="32">
        <v>428.6</v>
      </c>
      <c r="N323" s="30">
        <v>6.431</v>
      </c>
      <c r="O323" s="29">
        <v>9.5239999999999991</v>
      </c>
      <c r="P323" s="31">
        <v>45</v>
      </c>
      <c r="Q323" s="31">
        <v>23.19</v>
      </c>
      <c r="R323" s="31">
        <v>175.44900000000001</v>
      </c>
      <c r="S323" s="31">
        <v>253.15100000000001</v>
      </c>
      <c r="T323" s="10" t="b">
        <f t="shared" si="74"/>
        <v>1</v>
      </c>
      <c r="U323" s="10" t="b">
        <f t="shared" si="75"/>
        <v>1</v>
      </c>
      <c r="V323" s="11">
        <f>VLOOKUP(IF(J323&lt;10, 10, IF(J323&gt;50,50,J323)),'Over to underbark'!$A$3:$C$43,IF(A323="Scots pine",3,IF(A323="Sitka spruce",2, "error")),TRUE)/100</f>
        <v>0.84</v>
      </c>
      <c r="W323">
        <f t="shared" si="76"/>
        <v>132.63944400000003</v>
      </c>
      <c r="X323">
        <f t="shared" si="77"/>
        <v>191.38215600000001</v>
      </c>
      <c r="Y323">
        <f t="shared" si="78"/>
        <v>61.718400000000017</v>
      </c>
      <c r="Z323">
        <f t="shared" si="79"/>
        <v>161.95984996140001</v>
      </c>
      <c r="AA323">
        <f t="shared" si="80"/>
        <v>45.44953884000001</v>
      </c>
      <c r="AB323">
        <f t="shared" si="81"/>
        <v>72.687661086600002</v>
      </c>
      <c r="AC323">
        <f t="shared" si="82"/>
        <v>105.64295011200001</v>
      </c>
      <c r="AD323">
        <f>LOOKUP($A323,'Over to underbark'!$A$47:$A$48,'Over to underbark'!E$47:E$48)*Z323</f>
        <v>68.023136983788007</v>
      </c>
      <c r="AE323">
        <f>LOOKUP($A323,'Over to underbark'!$A$47:$A$48,'Over to underbark'!E$47:E$48)*AA323</f>
        <v>19.088806312800003</v>
      </c>
      <c r="AF323">
        <f>LOOKUP($A323,'Over to underbark'!$A$47:$A$48,'Over to underbark'!E$47:E$48)*AB323</f>
        <v>30.528817656371999</v>
      </c>
      <c r="AG323">
        <f>LOOKUP($A323,'Over to underbark'!$A$47:$A$48,'Over to underbark'!E$47:E$48)*AC323</f>
        <v>44.370039047040002</v>
      </c>
      <c r="AH323" t="b">
        <f t="shared" si="83"/>
        <v>1</v>
      </c>
      <c r="AI323" t="b">
        <f t="shared" si="84"/>
        <v>1</v>
      </c>
      <c r="AJ323">
        <f>LOOKUP(A323,'Over to underbark'!$A$47:$A$48,'Over to underbark'!E$47:E$48)*M323</f>
        <v>180.012</v>
      </c>
      <c r="AK323" s="22">
        <f>LOOKUP(A323,'Over to underbark'!$A$47:$A$48,'Over to underbark'!$B$47:$B$48)*AJ323</f>
        <v>61.204080000000005</v>
      </c>
      <c r="AL323" s="22">
        <f>LOOKUP(A323,'Over to underbark'!$A$47:$A$48,'Over to underbark'!C$47:C$48)*AJ323</f>
        <v>63.004199999999997</v>
      </c>
      <c r="AM323" s="22">
        <f t="shared" si="85"/>
        <v>241.21608000000001</v>
      </c>
      <c r="AN323" s="36">
        <v>1072.5999999999999</v>
      </c>
      <c r="AO323" s="23">
        <f t="shared" si="86"/>
        <v>482.43216000000001</v>
      </c>
      <c r="AQ323">
        <f t="shared" si="71"/>
        <v>0.67164179104477617</v>
      </c>
    </row>
    <row r="324" spans="1:43" x14ac:dyDescent="0.35">
      <c r="A324" t="s">
        <v>41</v>
      </c>
      <c r="B324">
        <v>12</v>
      </c>
      <c r="C324">
        <v>2</v>
      </c>
      <c r="D324" t="s">
        <v>42</v>
      </c>
      <c r="E324">
        <v>2</v>
      </c>
      <c r="F324">
        <v>1</v>
      </c>
      <c r="G324" s="30">
        <v>46</v>
      </c>
      <c r="H324" s="30">
        <v>19.058</v>
      </c>
      <c r="I324" s="30">
        <v>1270</v>
      </c>
      <c r="J324" s="30">
        <v>23.62</v>
      </c>
      <c r="K324" s="30">
        <v>55.648000000000003</v>
      </c>
      <c r="L324" s="30">
        <v>0.34799999999999998</v>
      </c>
      <c r="M324" s="32">
        <v>441.8</v>
      </c>
      <c r="N324" s="30">
        <v>6.8559999999999999</v>
      </c>
      <c r="O324" s="29">
        <v>9.6039999999999992</v>
      </c>
      <c r="P324" s="31">
        <v>46</v>
      </c>
      <c r="Q324" s="31">
        <v>23.62</v>
      </c>
      <c r="R324" s="31">
        <v>172.60599999999999</v>
      </c>
      <c r="S324" s="31">
        <v>269.19400000000002</v>
      </c>
      <c r="T324" s="10" t="b">
        <f t="shared" si="74"/>
        <v>1</v>
      </c>
      <c r="U324" s="10" t="b">
        <f t="shared" si="75"/>
        <v>1</v>
      </c>
      <c r="V324" s="11">
        <f>VLOOKUP(IF(J324&lt;10, 10, IF(J324&gt;50,50,J324)),'Over to underbark'!$A$3:$C$43,IF(A324="Scots pine",3,IF(A324="Sitka spruce",2, "error")),TRUE)/100</f>
        <v>0.84</v>
      </c>
      <c r="W324">
        <f t="shared" si="76"/>
        <v>130.49013600000001</v>
      </c>
      <c r="X324">
        <f t="shared" si="77"/>
        <v>203.51066400000002</v>
      </c>
      <c r="Y324">
        <f t="shared" si="78"/>
        <v>63.619200000000014</v>
      </c>
      <c r="Z324">
        <f t="shared" si="79"/>
        <v>165.70506701159999</v>
      </c>
      <c r="AA324">
        <f t="shared" si="80"/>
        <v>46.163514960000008</v>
      </c>
      <c r="AB324">
        <f t="shared" si="81"/>
        <v>73.413531500400012</v>
      </c>
      <c r="AC324">
        <f t="shared" si="82"/>
        <v>112.33788652800001</v>
      </c>
      <c r="AD324">
        <f>LOOKUP($A324,'Over to underbark'!$A$47:$A$48,'Over to underbark'!E$47:E$48)*Z324</f>
        <v>69.596128144871997</v>
      </c>
      <c r="AE324">
        <f>LOOKUP($A324,'Over to underbark'!$A$47:$A$48,'Over to underbark'!E$47:E$48)*AA324</f>
        <v>19.388676283200002</v>
      </c>
      <c r="AF324">
        <f>LOOKUP($A324,'Over to underbark'!$A$47:$A$48,'Over to underbark'!E$47:E$48)*AB324</f>
        <v>30.833683230168003</v>
      </c>
      <c r="AG324">
        <f>LOOKUP($A324,'Over to underbark'!$A$47:$A$48,'Over to underbark'!E$47:E$48)*AC324</f>
        <v>47.181912341760004</v>
      </c>
      <c r="AH324" t="b">
        <f t="shared" si="83"/>
        <v>1</v>
      </c>
      <c r="AI324" t="b">
        <f t="shared" si="84"/>
        <v>1</v>
      </c>
      <c r="AJ324">
        <f>LOOKUP(A324,'Over to underbark'!$A$47:$A$48,'Over to underbark'!E$47:E$48)*M324</f>
        <v>185.55600000000001</v>
      </c>
      <c r="AK324" s="22">
        <f>LOOKUP(A324,'Over to underbark'!$A$47:$A$48,'Over to underbark'!$B$47:$B$48)*AJ324</f>
        <v>63.089040000000011</v>
      </c>
      <c r="AL324" s="22">
        <f>LOOKUP(A324,'Over to underbark'!$A$47:$A$48,'Over to underbark'!C$47:C$48)*AJ324</f>
        <v>64.944599999999994</v>
      </c>
      <c r="AM324" s="22">
        <f t="shared" si="85"/>
        <v>248.64504000000002</v>
      </c>
      <c r="AN324" s="36">
        <v>1073.5999999999999</v>
      </c>
      <c r="AO324" s="23">
        <f t="shared" si="86"/>
        <v>497.29008000000005</v>
      </c>
      <c r="AQ324">
        <f t="shared" ref="AQ324:AQ387" si="87">(AD324+AE324+AF324+AG324)/AM324</f>
        <v>0.67164179104477606</v>
      </c>
    </row>
    <row r="325" spans="1:43" x14ac:dyDescent="0.35">
      <c r="A325" t="s">
        <v>41</v>
      </c>
      <c r="B325">
        <v>12</v>
      </c>
      <c r="C325">
        <v>2</v>
      </c>
      <c r="D325" t="s">
        <v>42</v>
      </c>
      <c r="E325">
        <v>2</v>
      </c>
      <c r="F325">
        <v>1</v>
      </c>
      <c r="G325" s="30">
        <v>47</v>
      </c>
      <c r="H325" s="30">
        <v>19.361999999999998</v>
      </c>
      <c r="I325" s="30">
        <v>1242</v>
      </c>
      <c r="J325" s="30">
        <v>24.061</v>
      </c>
      <c r="K325" s="30">
        <v>56.473999999999997</v>
      </c>
      <c r="L325" s="30">
        <v>0.36599999999999999</v>
      </c>
      <c r="M325" s="32">
        <v>455</v>
      </c>
      <c r="N325" s="30">
        <v>7.2530000000000001</v>
      </c>
      <c r="O325" s="29">
        <v>9.6809999999999992</v>
      </c>
      <c r="P325" s="31">
        <v>47</v>
      </c>
      <c r="Q325" s="31">
        <v>24.061</v>
      </c>
      <c r="R325" s="31">
        <v>169.364</v>
      </c>
      <c r="S325" s="31">
        <v>285.63600000000002</v>
      </c>
      <c r="T325" s="10" t="b">
        <f t="shared" si="74"/>
        <v>1</v>
      </c>
      <c r="U325" s="10" t="b">
        <f t="shared" si="75"/>
        <v>1</v>
      </c>
      <c r="V325" s="11">
        <f>VLOOKUP(IF(J325&lt;10, 10, IF(J325&gt;50,50,J325)),'Over to underbark'!$A$3:$C$43,IF(A325="Scots pine",3,IF(A325="Sitka spruce",2, "error")),TRUE)/100</f>
        <v>0.84</v>
      </c>
      <c r="W325">
        <f t="shared" si="76"/>
        <v>128.03918400000001</v>
      </c>
      <c r="X325">
        <f t="shared" si="77"/>
        <v>215.94081600000001</v>
      </c>
      <c r="Y325">
        <f t="shared" si="78"/>
        <v>65.52000000000001</v>
      </c>
      <c r="Z325">
        <f t="shared" si="79"/>
        <v>169.39015133039999</v>
      </c>
      <c r="AA325">
        <f t="shared" si="80"/>
        <v>46.844310240000006</v>
      </c>
      <c r="AB325">
        <f t="shared" si="81"/>
        <v>74.066207997600003</v>
      </c>
      <c r="AC325">
        <f t="shared" si="82"/>
        <v>119.19933043200001</v>
      </c>
      <c r="AD325">
        <f>LOOKUP($A325,'Over to underbark'!$A$47:$A$48,'Over to underbark'!E$47:E$48)*Z325</f>
        <v>71.14386355876799</v>
      </c>
      <c r="AE325">
        <f>LOOKUP($A325,'Over to underbark'!$A$47:$A$48,'Over to underbark'!E$47:E$48)*AA325</f>
        <v>19.674610300800001</v>
      </c>
      <c r="AF325">
        <f>LOOKUP($A325,'Over to underbark'!$A$47:$A$48,'Over to underbark'!E$47:E$48)*AB325</f>
        <v>31.107807358992002</v>
      </c>
      <c r="AG325">
        <f>LOOKUP($A325,'Over to underbark'!$A$47:$A$48,'Over to underbark'!E$47:E$48)*AC325</f>
        <v>50.063718781440002</v>
      </c>
      <c r="AH325" t="b">
        <f t="shared" si="83"/>
        <v>1</v>
      </c>
      <c r="AI325" t="b">
        <f t="shared" si="84"/>
        <v>1</v>
      </c>
      <c r="AJ325">
        <f>LOOKUP(A325,'Over to underbark'!$A$47:$A$48,'Over to underbark'!E$47:E$48)*M325</f>
        <v>191.1</v>
      </c>
      <c r="AK325" s="22">
        <f>LOOKUP(A325,'Over to underbark'!$A$47:$A$48,'Over to underbark'!$B$47:$B$48)*AJ325</f>
        <v>64.974000000000004</v>
      </c>
      <c r="AL325" s="22">
        <f>LOOKUP(A325,'Over to underbark'!$A$47:$A$48,'Over to underbark'!C$47:C$48)*AJ325</f>
        <v>66.884999999999991</v>
      </c>
      <c r="AM325" s="22">
        <f t="shared" si="85"/>
        <v>256.07400000000001</v>
      </c>
      <c r="AN325" s="36">
        <v>1074.5999999999999</v>
      </c>
      <c r="AO325" s="23">
        <f t="shared" si="86"/>
        <v>512.14800000000002</v>
      </c>
      <c r="AQ325">
        <f t="shared" si="87"/>
        <v>0.67164179104477617</v>
      </c>
    </row>
    <row r="326" spans="1:43" x14ac:dyDescent="0.35">
      <c r="A326" t="s">
        <v>41</v>
      </c>
      <c r="B326">
        <v>12</v>
      </c>
      <c r="C326">
        <v>2</v>
      </c>
      <c r="D326" t="s">
        <v>42</v>
      </c>
      <c r="E326">
        <v>2</v>
      </c>
      <c r="F326">
        <v>1</v>
      </c>
      <c r="G326" s="30">
        <v>48</v>
      </c>
      <c r="H326" s="30">
        <v>19.666</v>
      </c>
      <c r="I326" s="30">
        <v>1214</v>
      </c>
      <c r="J326" s="30">
        <v>24.515000000000001</v>
      </c>
      <c r="K326" s="30">
        <v>57.301000000000002</v>
      </c>
      <c r="L326" s="30">
        <v>0.38600000000000001</v>
      </c>
      <c r="M326" s="32">
        <v>468.2</v>
      </c>
      <c r="N326" s="30">
        <v>7.6239999999999997</v>
      </c>
      <c r="O326" s="29">
        <v>9.7539999999999996</v>
      </c>
      <c r="P326" s="31">
        <v>48</v>
      </c>
      <c r="Q326" s="31">
        <v>24.515000000000001</v>
      </c>
      <c r="R326" s="31">
        <v>165.714</v>
      </c>
      <c r="S326" s="31">
        <v>302.48599999999999</v>
      </c>
      <c r="T326" s="10" t="b">
        <f t="shared" si="74"/>
        <v>1</v>
      </c>
      <c r="U326" s="10" t="b">
        <f t="shared" si="75"/>
        <v>1</v>
      </c>
      <c r="V326" s="11">
        <f>VLOOKUP(IF(J326&lt;10, 10, IF(J326&gt;50,50,J326)),'Over to underbark'!$A$3:$C$43,IF(A326="Scots pine",3,IF(A326="Sitka spruce",2, "error")),TRUE)/100</f>
        <v>0.84</v>
      </c>
      <c r="W326">
        <f t="shared" si="76"/>
        <v>125.27978400000001</v>
      </c>
      <c r="X326">
        <f t="shared" si="77"/>
        <v>228.67941599999997</v>
      </c>
      <c r="Y326">
        <f t="shared" si="78"/>
        <v>67.420800000000014</v>
      </c>
      <c r="Z326">
        <f t="shared" si="79"/>
        <v>173.01374654039998</v>
      </c>
      <c r="AA326">
        <f t="shared" si="80"/>
        <v>47.491176240000009</v>
      </c>
      <c r="AB326">
        <f t="shared" si="81"/>
        <v>74.644039587599991</v>
      </c>
      <c r="AC326">
        <f t="shared" si="82"/>
        <v>126.23103763199998</v>
      </c>
      <c r="AD326">
        <f>LOOKUP($A326,'Over to underbark'!$A$47:$A$48,'Over to underbark'!E$47:E$48)*Z326</f>
        <v>72.665773546967984</v>
      </c>
      <c r="AE326">
        <f>LOOKUP($A326,'Over to underbark'!$A$47:$A$48,'Over to underbark'!E$47:E$48)*AA326</f>
        <v>19.946294020800003</v>
      </c>
      <c r="AF326">
        <f>LOOKUP($A326,'Over to underbark'!$A$47:$A$48,'Over to underbark'!E$47:E$48)*AB326</f>
        <v>31.350496626791994</v>
      </c>
      <c r="AG326">
        <f>LOOKUP($A326,'Over to underbark'!$A$47:$A$48,'Over to underbark'!E$47:E$48)*AC326</f>
        <v>53.017035805439988</v>
      </c>
      <c r="AH326" t="b">
        <f t="shared" si="83"/>
        <v>1</v>
      </c>
      <c r="AI326" t="b">
        <f t="shared" si="84"/>
        <v>1</v>
      </c>
      <c r="AJ326">
        <f>LOOKUP(A326,'Over to underbark'!$A$47:$A$48,'Over to underbark'!E$47:E$48)*M326</f>
        <v>196.64399999999998</v>
      </c>
      <c r="AK326" s="22">
        <f>LOOKUP(A326,'Over to underbark'!$A$47:$A$48,'Over to underbark'!$B$47:$B$48)*AJ326</f>
        <v>66.858959999999996</v>
      </c>
      <c r="AL326" s="22">
        <f>LOOKUP(A326,'Over to underbark'!$A$47:$A$48,'Over to underbark'!C$47:C$48)*AJ326</f>
        <v>68.825399999999988</v>
      </c>
      <c r="AM326" s="22">
        <f t="shared" si="85"/>
        <v>263.50295999999997</v>
      </c>
      <c r="AN326" s="36">
        <v>1075.5999999999999</v>
      </c>
      <c r="AO326" s="23">
        <f t="shared" si="86"/>
        <v>527.00591999999995</v>
      </c>
      <c r="AQ326">
        <f t="shared" si="87"/>
        <v>0.67164179104477595</v>
      </c>
    </row>
    <row r="327" spans="1:43" x14ac:dyDescent="0.35">
      <c r="A327" t="s">
        <v>41</v>
      </c>
      <c r="B327">
        <v>12</v>
      </c>
      <c r="C327">
        <v>2</v>
      </c>
      <c r="D327" t="s">
        <v>42</v>
      </c>
      <c r="E327">
        <v>2</v>
      </c>
      <c r="F327">
        <v>1</v>
      </c>
      <c r="G327" s="30">
        <v>49</v>
      </c>
      <c r="H327" s="30">
        <v>19.97</v>
      </c>
      <c r="I327" s="30">
        <v>1187</v>
      </c>
      <c r="J327" s="30">
        <v>24.97</v>
      </c>
      <c r="K327" s="30">
        <v>58.127000000000002</v>
      </c>
      <c r="L327" s="30">
        <v>0.40600000000000003</v>
      </c>
      <c r="M327" s="32">
        <v>481.4</v>
      </c>
      <c r="N327" s="30">
        <v>7.9720000000000004</v>
      </c>
      <c r="O327" s="29">
        <v>9.8239999999999998</v>
      </c>
      <c r="P327" s="31">
        <v>49</v>
      </c>
      <c r="Q327" s="31">
        <v>24.97</v>
      </c>
      <c r="R327" s="31">
        <v>161.91200000000001</v>
      </c>
      <c r="S327" s="31">
        <v>319.488</v>
      </c>
      <c r="T327" s="10" t="b">
        <f t="shared" si="74"/>
        <v>1</v>
      </c>
      <c r="U327" s="10" t="b">
        <f t="shared" si="75"/>
        <v>1</v>
      </c>
      <c r="V327" s="11">
        <f>VLOOKUP(IF(J327&lt;10, 10, IF(J327&gt;50,50,J327)),'Over to underbark'!$A$3:$C$43,IF(A327="Scots pine",3,IF(A327="Sitka spruce",2, "error")),TRUE)/100</f>
        <v>0.84</v>
      </c>
      <c r="W327">
        <f t="shared" si="76"/>
        <v>122.40547199999999</v>
      </c>
      <c r="X327">
        <f t="shared" si="77"/>
        <v>241.532928</v>
      </c>
      <c r="Y327">
        <f t="shared" si="78"/>
        <v>69.321600000000018</v>
      </c>
      <c r="Z327">
        <f t="shared" si="79"/>
        <v>176.61443404320002</v>
      </c>
      <c r="AA327">
        <f t="shared" si="80"/>
        <v>48.125401920000009</v>
      </c>
      <c r="AB327">
        <f t="shared" si="81"/>
        <v>75.193987780800001</v>
      </c>
      <c r="AC327">
        <f t="shared" si="82"/>
        <v>133.326176256</v>
      </c>
      <c r="AD327">
        <f>LOOKUP($A327,'Over to underbark'!$A$47:$A$48,'Over to underbark'!E$47:E$48)*Z327</f>
        <v>74.178062298143999</v>
      </c>
      <c r="AE327">
        <f>LOOKUP($A327,'Over to underbark'!$A$47:$A$48,'Over to underbark'!E$47:E$48)*AA327</f>
        <v>20.212668806400004</v>
      </c>
      <c r="AF327">
        <f>LOOKUP($A327,'Over to underbark'!$A$47:$A$48,'Over to underbark'!E$47:E$48)*AB327</f>
        <v>31.581474867935999</v>
      </c>
      <c r="AG327">
        <f>LOOKUP($A327,'Over to underbark'!$A$47:$A$48,'Over to underbark'!E$47:E$48)*AC327</f>
        <v>55.996994027519996</v>
      </c>
      <c r="AH327" t="b">
        <f t="shared" si="83"/>
        <v>1</v>
      </c>
      <c r="AI327" t="b">
        <f t="shared" si="84"/>
        <v>1</v>
      </c>
      <c r="AJ327">
        <f>LOOKUP(A327,'Over to underbark'!$A$47:$A$48,'Over to underbark'!E$47:E$48)*M327</f>
        <v>202.18799999999999</v>
      </c>
      <c r="AK327" s="22">
        <f>LOOKUP(A327,'Over to underbark'!$A$47:$A$48,'Over to underbark'!$B$47:$B$48)*AJ327</f>
        <v>68.743920000000003</v>
      </c>
      <c r="AL327" s="22">
        <f>LOOKUP(A327,'Over to underbark'!$A$47:$A$48,'Over to underbark'!C$47:C$48)*AJ327</f>
        <v>70.765799999999984</v>
      </c>
      <c r="AM327" s="22">
        <f t="shared" si="85"/>
        <v>270.93191999999999</v>
      </c>
      <c r="AN327" s="36">
        <v>1076.5999999999999</v>
      </c>
      <c r="AO327" s="23">
        <f t="shared" si="86"/>
        <v>541.86383999999998</v>
      </c>
      <c r="AQ327">
        <f t="shared" si="87"/>
        <v>0.67164179104477617</v>
      </c>
    </row>
    <row r="328" spans="1:43" x14ac:dyDescent="0.35">
      <c r="A328" t="s">
        <v>41</v>
      </c>
      <c r="B328">
        <v>12</v>
      </c>
      <c r="C328">
        <v>2</v>
      </c>
      <c r="D328" t="s">
        <v>42</v>
      </c>
      <c r="E328">
        <v>2</v>
      </c>
      <c r="F328">
        <v>1</v>
      </c>
      <c r="G328" s="30">
        <v>50</v>
      </c>
      <c r="H328" s="30">
        <v>20.248000000000001</v>
      </c>
      <c r="I328" s="30">
        <v>1164</v>
      </c>
      <c r="J328" s="30">
        <v>25.367999999999999</v>
      </c>
      <c r="K328" s="30">
        <v>58.834000000000003</v>
      </c>
      <c r="L328" s="30">
        <v>0.42399999999999999</v>
      </c>
      <c r="M328" s="32">
        <v>493.6</v>
      </c>
      <c r="N328" s="30">
        <v>8.3580000000000005</v>
      </c>
      <c r="O328" s="29">
        <v>9.8719999999999999</v>
      </c>
      <c r="P328" s="31">
        <v>50</v>
      </c>
      <c r="Q328" s="31">
        <v>25.367999999999999</v>
      </c>
      <c r="R328" s="31">
        <v>158.70400000000001</v>
      </c>
      <c r="S328" s="31">
        <v>334.89600000000002</v>
      </c>
      <c r="T328" s="10" t="b">
        <f t="shared" si="74"/>
        <v>1</v>
      </c>
      <c r="U328" s="10" t="b">
        <f t="shared" si="75"/>
        <v>1</v>
      </c>
      <c r="V328" s="11">
        <f>VLOOKUP(IF(J328&lt;10, 10, IF(J328&gt;50,50,J328)),'Over to underbark'!$A$3:$C$43,IF(A328="Scots pine",3,IF(A328="Sitka spruce",2, "error")),TRUE)/100</f>
        <v>0.84</v>
      </c>
      <c r="W328">
        <f t="shared" si="76"/>
        <v>119.98022400000001</v>
      </c>
      <c r="X328">
        <f t="shared" si="77"/>
        <v>253.181376</v>
      </c>
      <c r="Y328">
        <f t="shared" si="78"/>
        <v>71.078400000000016</v>
      </c>
      <c r="Z328">
        <f t="shared" si="79"/>
        <v>179.98845445440003</v>
      </c>
      <c r="AA328">
        <f t="shared" si="80"/>
        <v>48.737024640000008</v>
      </c>
      <c r="AB328">
        <f t="shared" si="81"/>
        <v>75.758401353599993</v>
      </c>
      <c r="AC328">
        <f t="shared" si="82"/>
        <v>139.756119552</v>
      </c>
      <c r="AD328">
        <f>LOOKUP($A328,'Over to underbark'!$A$47:$A$48,'Over to underbark'!E$47:E$48)*Z328</f>
        <v>75.595150870848002</v>
      </c>
      <c r="AE328">
        <f>LOOKUP($A328,'Over to underbark'!$A$47:$A$48,'Over to underbark'!E$47:E$48)*AA328</f>
        <v>20.469550348800002</v>
      </c>
      <c r="AF328">
        <f>LOOKUP($A328,'Over to underbark'!$A$47:$A$48,'Over to underbark'!E$47:E$48)*AB328</f>
        <v>31.818528568511997</v>
      </c>
      <c r="AG328">
        <f>LOOKUP($A328,'Over to underbark'!$A$47:$A$48,'Over to underbark'!E$47:E$48)*AC328</f>
        <v>58.697570211839995</v>
      </c>
      <c r="AH328" t="b">
        <f t="shared" si="83"/>
        <v>1</v>
      </c>
      <c r="AI328" t="b">
        <f t="shared" si="84"/>
        <v>1</v>
      </c>
      <c r="AJ328">
        <f>LOOKUP(A328,'Over to underbark'!$A$47:$A$48,'Over to underbark'!E$47:E$48)*M328</f>
        <v>207.31200000000001</v>
      </c>
      <c r="AK328" s="22">
        <f>LOOKUP(A328,'Over to underbark'!$A$47:$A$48,'Over to underbark'!$B$47:$B$48)*AJ328</f>
        <v>70.486080000000015</v>
      </c>
      <c r="AL328" s="22">
        <f>LOOKUP(A328,'Over to underbark'!$A$47:$A$48,'Over to underbark'!C$47:C$48)*AJ328</f>
        <v>72.559200000000004</v>
      </c>
      <c r="AM328" s="22">
        <f t="shared" si="85"/>
        <v>277.79808000000003</v>
      </c>
      <c r="AN328" s="36">
        <v>1077.5999999999999</v>
      </c>
      <c r="AO328" s="23">
        <f t="shared" si="86"/>
        <v>555.59616000000005</v>
      </c>
      <c r="AQ328">
        <f t="shared" si="87"/>
        <v>0.67164179104477595</v>
      </c>
    </row>
    <row r="329" spans="1:43" x14ac:dyDescent="0.35">
      <c r="A329" t="s">
        <v>41</v>
      </c>
      <c r="B329">
        <v>12</v>
      </c>
      <c r="C329">
        <v>2</v>
      </c>
      <c r="D329" t="s">
        <v>42</v>
      </c>
      <c r="E329">
        <v>2</v>
      </c>
      <c r="F329">
        <v>1</v>
      </c>
      <c r="G329" s="30">
        <v>51</v>
      </c>
      <c r="H329" s="30">
        <v>20.526</v>
      </c>
      <c r="I329" s="30">
        <v>1141</v>
      </c>
      <c r="J329" s="30">
        <v>25.776</v>
      </c>
      <c r="K329" s="30">
        <v>59.540999999999997</v>
      </c>
      <c r="L329" s="30">
        <v>0.443</v>
      </c>
      <c r="M329" s="32">
        <v>505.8</v>
      </c>
      <c r="N329" s="30">
        <v>8.7230000000000008</v>
      </c>
      <c r="O329" s="29">
        <v>9.9179999999999993</v>
      </c>
      <c r="P329" s="31">
        <v>51</v>
      </c>
      <c r="Q329" s="31">
        <v>25.776</v>
      </c>
      <c r="R329" s="31">
        <v>155.22900000000001</v>
      </c>
      <c r="S329" s="31">
        <v>350.57100000000003</v>
      </c>
      <c r="T329" s="10" t="b">
        <f t="shared" si="74"/>
        <v>1</v>
      </c>
      <c r="U329" s="10" t="b">
        <f t="shared" si="75"/>
        <v>1</v>
      </c>
      <c r="V329" s="11">
        <f>VLOOKUP(IF(J329&lt;10, 10, IF(J329&gt;50,50,J329)),'Over to underbark'!$A$3:$C$43,IF(A329="Scots pine",3,IF(A329="Sitka spruce",2, "error")),TRUE)/100</f>
        <v>0.84</v>
      </c>
      <c r="W329">
        <f t="shared" si="76"/>
        <v>117.35312400000001</v>
      </c>
      <c r="X329">
        <f t="shared" si="77"/>
        <v>265.031676</v>
      </c>
      <c r="Y329">
        <f t="shared" si="78"/>
        <v>72.835200000000029</v>
      </c>
      <c r="Z329">
        <f t="shared" si="79"/>
        <v>183.32223566940004</v>
      </c>
      <c r="AA329">
        <f t="shared" si="80"/>
        <v>49.326443640000015</v>
      </c>
      <c r="AB329">
        <f t="shared" si="81"/>
        <v>76.273835538599997</v>
      </c>
      <c r="AC329">
        <f t="shared" si="82"/>
        <v>146.29748515200001</v>
      </c>
      <c r="AD329">
        <f>LOOKUP($A329,'Over to underbark'!$A$47:$A$48,'Over to underbark'!E$47:E$48)*Z329</f>
        <v>76.995338981148009</v>
      </c>
      <c r="AE329">
        <f>LOOKUP($A329,'Over to underbark'!$A$47:$A$48,'Over to underbark'!E$47:E$48)*AA329</f>
        <v>20.717106328800007</v>
      </c>
      <c r="AF329">
        <f>LOOKUP($A329,'Over to underbark'!$A$47:$A$48,'Over to underbark'!E$47:E$48)*AB329</f>
        <v>32.035010926211996</v>
      </c>
      <c r="AG329">
        <f>LOOKUP($A329,'Over to underbark'!$A$47:$A$48,'Over to underbark'!E$47:E$48)*AC329</f>
        <v>61.444943763840001</v>
      </c>
      <c r="AH329" t="b">
        <f t="shared" si="83"/>
        <v>1</v>
      </c>
      <c r="AI329" t="b">
        <f t="shared" si="84"/>
        <v>1</v>
      </c>
      <c r="AJ329">
        <f>LOOKUP(A329,'Over to underbark'!$A$47:$A$48,'Over to underbark'!E$47:E$48)*M329</f>
        <v>212.43600000000001</v>
      </c>
      <c r="AK329" s="22">
        <f>LOOKUP(A329,'Over to underbark'!$A$47:$A$48,'Over to underbark'!$B$47:$B$48)*AJ329</f>
        <v>72.228240000000014</v>
      </c>
      <c r="AL329" s="22">
        <f>LOOKUP(A329,'Over to underbark'!$A$47:$A$48,'Over to underbark'!C$47:C$48)*AJ329</f>
        <v>74.352599999999995</v>
      </c>
      <c r="AM329" s="22">
        <f t="shared" si="85"/>
        <v>284.66424000000001</v>
      </c>
      <c r="AN329" s="36">
        <v>1078.5999999999999</v>
      </c>
      <c r="AO329" s="23">
        <f t="shared" si="86"/>
        <v>569.32848000000001</v>
      </c>
      <c r="AQ329">
        <f t="shared" si="87"/>
        <v>0.67164179104477617</v>
      </c>
    </row>
    <row r="330" spans="1:43" x14ac:dyDescent="0.35">
      <c r="A330" t="s">
        <v>41</v>
      </c>
      <c r="B330">
        <v>12</v>
      </c>
      <c r="C330">
        <v>2</v>
      </c>
      <c r="D330" t="s">
        <v>42</v>
      </c>
      <c r="E330">
        <v>2</v>
      </c>
      <c r="F330">
        <v>1</v>
      </c>
      <c r="G330" s="30">
        <v>52</v>
      </c>
      <c r="H330" s="30">
        <v>20.803999999999998</v>
      </c>
      <c r="I330" s="30">
        <v>1118</v>
      </c>
      <c r="J330" s="30">
        <v>26.193999999999999</v>
      </c>
      <c r="K330" s="30">
        <v>60.249000000000002</v>
      </c>
      <c r="L330" s="30">
        <v>0.46300000000000002</v>
      </c>
      <c r="M330" s="32">
        <v>518</v>
      </c>
      <c r="N330" s="30">
        <v>9.0690000000000008</v>
      </c>
      <c r="O330" s="29">
        <v>9.9619999999999997</v>
      </c>
      <c r="P330" s="31">
        <v>52</v>
      </c>
      <c r="Q330" s="31">
        <v>26.193999999999999</v>
      </c>
      <c r="R330" s="31">
        <v>151.512</v>
      </c>
      <c r="S330" s="31">
        <v>366.488</v>
      </c>
      <c r="T330" s="10" t="b">
        <f t="shared" si="74"/>
        <v>1</v>
      </c>
      <c r="U330" s="10" t="b">
        <f t="shared" si="75"/>
        <v>1</v>
      </c>
      <c r="V330" s="11">
        <f>VLOOKUP(IF(J330&lt;10, 10, IF(J330&gt;50,50,J330)),'Over to underbark'!$A$3:$C$43,IF(A330="Scots pine",3,IF(A330="Sitka spruce",2, "error")),TRUE)/100</f>
        <v>0.84</v>
      </c>
      <c r="W330">
        <f t="shared" si="76"/>
        <v>114.54307200000001</v>
      </c>
      <c r="X330">
        <f t="shared" si="77"/>
        <v>277.06492800000001</v>
      </c>
      <c r="Y330">
        <f t="shared" si="78"/>
        <v>74.592000000000013</v>
      </c>
      <c r="Z330">
        <f t="shared" si="79"/>
        <v>186.61954540320005</v>
      </c>
      <c r="AA330">
        <f t="shared" si="80"/>
        <v>49.895737920000009</v>
      </c>
      <c r="AB330">
        <f t="shared" si="81"/>
        <v>76.744876420800011</v>
      </c>
      <c r="AC330">
        <f t="shared" si="82"/>
        <v>152.93984025600002</v>
      </c>
      <c r="AD330">
        <f>LOOKUP($A330,'Over to underbark'!$A$47:$A$48,'Over to underbark'!E$47:E$48)*Z330</f>
        <v>78.380209069344019</v>
      </c>
      <c r="AE330">
        <f>LOOKUP($A330,'Over to underbark'!$A$47:$A$48,'Over to underbark'!E$47:E$48)*AA330</f>
        <v>20.956209926400003</v>
      </c>
      <c r="AF330">
        <f>LOOKUP($A330,'Over to underbark'!$A$47:$A$48,'Over to underbark'!E$47:E$48)*AB330</f>
        <v>32.232848096736006</v>
      </c>
      <c r="AG330">
        <f>LOOKUP($A330,'Over to underbark'!$A$47:$A$48,'Over to underbark'!E$47:E$48)*AC330</f>
        <v>64.234732907520012</v>
      </c>
      <c r="AH330" t="b">
        <f t="shared" si="83"/>
        <v>1</v>
      </c>
      <c r="AI330" t="b">
        <f t="shared" si="84"/>
        <v>1</v>
      </c>
      <c r="AJ330">
        <f>LOOKUP(A330,'Over to underbark'!$A$47:$A$48,'Over to underbark'!E$47:E$48)*M330</f>
        <v>217.56</v>
      </c>
      <c r="AK330" s="22">
        <f>LOOKUP(A330,'Over to underbark'!$A$47:$A$48,'Over to underbark'!$B$47:$B$48)*AJ330</f>
        <v>73.970400000000012</v>
      </c>
      <c r="AL330" s="22">
        <f>LOOKUP(A330,'Over to underbark'!$A$47:$A$48,'Over to underbark'!C$47:C$48)*AJ330</f>
        <v>76.146000000000001</v>
      </c>
      <c r="AM330" s="22">
        <f t="shared" si="85"/>
        <v>291.53039999999999</v>
      </c>
      <c r="AN330" s="36">
        <v>1079.5999999999999</v>
      </c>
      <c r="AO330" s="23">
        <f t="shared" si="86"/>
        <v>583.06079999999997</v>
      </c>
      <c r="AQ330">
        <f t="shared" si="87"/>
        <v>0.67164179104477628</v>
      </c>
    </row>
    <row r="331" spans="1:43" x14ac:dyDescent="0.35">
      <c r="A331" t="s">
        <v>41</v>
      </c>
      <c r="B331">
        <v>12</v>
      </c>
      <c r="C331">
        <v>2</v>
      </c>
      <c r="D331" t="s">
        <v>42</v>
      </c>
      <c r="E331">
        <v>2</v>
      </c>
      <c r="F331">
        <v>1</v>
      </c>
      <c r="G331" s="30">
        <v>53</v>
      </c>
      <c r="H331" s="30">
        <v>21.082000000000001</v>
      </c>
      <c r="I331" s="30">
        <v>1095</v>
      </c>
      <c r="J331" s="30">
        <v>26.623000000000001</v>
      </c>
      <c r="K331" s="30">
        <v>60.956000000000003</v>
      </c>
      <c r="L331" s="30">
        <v>0.48399999999999999</v>
      </c>
      <c r="M331" s="32">
        <v>530.20000000000005</v>
      </c>
      <c r="N331" s="30">
        <v>9.3949999999999996</v>
      </c>
      <c r="O331" s="29">
        <v>10.004</v>
      </c>
      <c r="P331" s="31">
        <v>53</v>
      </c>
      <c r="Q331" s="31">
        <v>26.623000000000001</v>
      </c>
      <c r="R331" s="31">
        <v>147.559</v>
      </c>
      <c r="S331" s="31">
        <v>382.64100000000002</v>
      </c>
      <c r="T331" s="10" t="b">
        <f t="shared" si="74"/>
        <v>1</v>
      </c>
      <c r="U331" s="10" t="b">
        <f t="shared" si="75"/>
        <v>1</v>
      </c>
      <c r="V331" s="11">
        <f>VLOOKUP(IF(J331&lt;10, 10, IF(J331&gt;50,50,J331)),'Over to underbark'!$A$3:$C$43,IF(A331="Scots pine",3,IF(A331="Sitka spruce",2, "error")),TRUE)/100</f>
        <v>0.84</v>
      </c>
      <c r="W331">
        <f t="shared" si="76"/>
        <v>111.554604</v>
      </c>
      <c r="X331">
        <f t="shared" si="77"/>
        <v>289.27659600000004</v>
      </c>
      <c r="Y331">
        <f t="shared" si="78"/>
        <v>76.348800000000026</v>
      </c>
      <c r="Z331">
        <f t="shared" si="79"/>
        <v>189.88128790740004</v>
      </c>
      <c r="AA331">
        <f t="shared" si="80"/>
        <v>50.445406440000014</v>
      </c>
      <c r="AB331">
        <f t="shared" si="81"/>
        <v>77.172624660600007</v>
      </c>
      <c r="AC331">
        <f t="shared" si="82"/>
        <v>159.68068099200002</v>
      </c>
      <c r="AD331">
        <f>LOOKUP($A331,'Over to underbark'!$A$47:$A$48,'Over to underbark'!E$47:E$48)*Z331</f>
        <v>79.750140921108013</v>
      </c>
      <c r="AE331">
        <f>LOOKUP($A331,'Over to underbark'!$A$47:$A$48,'Over to underbark'!E$47:E$48)*AA331</f>
        <v>21.187070704800004</v>
      </c>
      <c r="AF331">
        <f>LOOKUP($A331,'Over to underbark'!$A$47:$A$48,'Over to underbark'!E$47:E$48)*AB331</f>
        <v>32.412502357451999</v>
      </c>
      <c r="AG331">
        <f>LOOKUP($A331,'Over to underbark'!$A$47:$A$48,'Over to underbark'!E$47:E$48)*AC331</f>
        <v>67.065886016640007</v>
      </c>
      <c r="AH331" t="b">
        <f t="shared" si="83"/>
        <v>1</v>
      </c>
      <c r="AI331" t="b">
        <f t="shared" si="84"/>
        <v>1</v>
      </c>
      <c r="AJ331">
        <f>LOOKUP(A331,'Over to underbark'!$A$47:$A$48,'Over to underbark'!E$47:E$48)*M331</f>
        <v>222.684</v>
      </c>
      <c r="AK331" s="22">
        <f>LOOKUP(A331,'Over to underbark'!$A$47:$A$48,'Over to underbark'!$B$47:$B$48)*AJ331</f>
        <v>75.712560000000011</v>
      </c>
      <c r="AL331" s="22">
        <f>LOOKUP(A331,'Over to underbark'!$A$47:$A$48,'Over to underbark'!C$47:C$48)*AJ331</f>
        <v>77.939399999999992</v>
      </c>
      <c r="AM331" s="22">
        <f t="shared" si="85"/>
        <v>298.39656000000002</v>
      </c>
      <c r="AN331" s="36">
        <v>1080.5999999999999</v>
      </c>
      <c r="AO331" s="23">
        <f t="shared" si="86"/>
        <v>596.79312000000004</v>
      </c>
      <c r="AQ331">
        <f t="shared" si="87"/>
        <v>0.67164179104477606</v>
      </c>
    </row>
    <row r="332" spans="1:43" x14ac:dyDescent="0.35">
      <c r="A332" t="s">
        <v>41</v>
      </c>
      <c r="B332">
        <v>12</v>
      </c>
      <c r="C332">
        <v>2</v>
      </c>
      <c r="D332" t="s">
        <v>42</v>
      </c>
      <c r="E332">
        <v>2</v>
      </c>
      <c r="F332">
        <v>1</v>
      </c>
      <c r="G332" s="30">
        <v>54</v>
      </c>
      <c r="H332" s="30">
        <v>21.36</v>
      </c>
      <c r="I332" s="30">
        <v>1073</v>
      </c>
      <c r="J332" s="30">
        <v>27.05</v>
      </c>
      <c r="K332" s="30">
        <v>61.662999999999997</v>
      </c>
      <c r="L332" s="30">
        <v>0.505</v>
      </c>
      <c r="M332" s="32">
        <v>542.4</v>
      </c>
      <c r="N332" s="30">
        <v>9.7050000000000001</v>
      </c>
      <c r="O332" s="29">
        <v>10.044</v>
      </c>
      <c r="P332" s="31">
        <v>54</v>
      </c>
      <c r="Q332" s="31">
        <v>27.05</v>
      </c>
      <c r="R332" s="31">
        <v>143.614</v>
      </c>
      <c r="S332" s="31">
        <v>398.786</v>
      </c>
      <c r="T332" s="10" t="b">
        <f t="shared" si="74"/>
        <v>1</v>
      </c>
      <c r="U332" s="10" t="b">
        <f t="shared" si="75"/>
        <v>1</v>
      </c>
      <c r="V332" s="11">
        <f>VLOOKUP(IF(J332&lt;10, 10, IF(J332&gt;50,50,J332)),'Over to underbark'!$A$3:$C$43,IF(A332="Scots pine",3,IF(A332="Sitka spruce",2, "error")),TRUE)/100</f>
        <v>0.85</v>
      </c>
      <c r="W332">
        <f t="shared" si="76"/>
        <v>109.86471</v>
      </c>
      <c r="X332">
        <f t="shared" si="77"/>
        <v>305.07128999999998</v>
      </c>
      <c r="Y332">
        <f t="shared" si="78"/>
        <v>73.224000000000004</v>
      </c>
      <c r="Z332">
        <f t="shared" si="79"/>
        <v>192.53785793850003</v>
      </c>
      <c r="AA332">
        <f t="shared" si="80"/>
        <v>48.697118100000004</v>
      </c>
      <c r="AB332">
        <f t="shared" si="81"/>
        <v>78.525671881499989</v>
      </c>
      <c r="AC332">
        <f t="shared" si="82"/>
        <v>168.39935208</v>
      </c>
      <c r="AD332">
        <f>LOOKUP($A332,'Over to underbark'!$A$47:$A$48,'Over to underbark'!E$47:E$48)*Z332</f>
        <v>80.865900334170007</v>
      </c>
      <c r="AE332">
        <f>LOOKUP($A332,'Over to underbark'!$A$47:$A$48,'Over to underbark'!E$47:E$48)*AA332</f>
        <v>20.452789602000003</v>
      </c>
      <c r="AF332">
        <f>LOOKUP($A332,'Over to underbark'!$A$47:$A$48,'Over to underbark'!E$47:E$48)*AB332</f>
        <v>32.980782190229995</v>
      </c>
      <c r="AG332">
        <f>LOOKUP($A332,'Over to underbark'!$A$47:$A$48,'Over to underbark'!E$47:E$48)*AC332</f>
        <v>70.727727873600003</v>
      </c>
      <c r="AH332" t="b">
        <f t="shared" si="83"/>
        <v>1</v>
      </c>
      <c r="AI332" t="b">
        <f t="shared" si="84"/>
        <v>1</v>
      </c>
      <c r="AJ332">
        <f>LOOKUP(A332,'Over to underbark'!$A$47:$A$48,'Over to underbark'!E$47:E$48)*M332</f>
        <v>227.80799999999999</v>
      </c>
      <c r="AK332" s="22">
        <f>LOOKUP(A332,'Over to underbark'!$A$47:$A$48,'Over to underbark'!$B$47:$B$48)*AJ332</f>
        <v>77.454720000000009</v>
      </c>
      <c r="AL332" s="22">
        <f>LOOKUP(A332,'Over to underbark'!$A$47:$A$48,'Over to underbark'!C$47:C$48)*AJ332</f>
        <v>79.732799999999997</v>
      </c>
      <c r="AM332" s="22">
        <f t="shared" si="85"/>
        <v>305.26272</v>
      </c>
      <c r="AN332" s="36">
        <v>1081.5999999999999</v>
      </c>
      <c r="AO332" s="23">
        <f t="shared" si="86"/>
        <v>610.52544</v>
      </c>
      <c r="AQ332">
        <f t="shared" si="87"/>
        <v>0.67164179104477617</v>
      </c>
    </row>
    <row r="333" spans="1:43" x14ac:dyDescent="0.35">
      <c r="A333" t="s">
        <v>41</v>
      </c>
      <c r="B333">
        <v>12</v>
      </c>
      <c r="C333">
        <v>2</v>
      </c>
      <c r="D333" t="s">
        <v>42</v>
      </c>
      <c r="E333">
        <v>2</v>
      </c>
      <c r="F333">
        <v>1</v>
      </c>
      <c r="G333" s="30">
        <v>55</v>
      </c>
      <c r="H333" s="30">
        <v>21.61</v>
      </c>
      <c r="I333" s="30">
        <v>1054</v>
      </c>
      <c r="J333" s="30">
        <v>27.431000000000001</v>
      </c>
      <c r="K333" s="30">
        <v>62.287999999999997</v>
      </c>
      <c r="L333" s="30">
        <v>0.52600000000000002</v>
      </c>
      <c r="M333" s="32">
        <v>553.98</v>
      </c>
      <c r="N333" s="30">
        <v>9.9570000000000007</v>
      </c>
      <c r="O333" s="29">
        <v>10.071999999999999</v>
      </c>
      <c r="P333" s="31">
        <v>55</v>
      </c>
      <c r="Q333" s="31">
        <v>27.431000000000001</v>
      </c>
      <c r="R333" s="31">
        <v>140.25800000000001</v>
      </c>
      <c r="S333" s="31">
        <v>413.72199999999998</v>
      </c>
      <c r="T333" s="10" t="b">
        <f t="shared" si="74"/>
        <v>1</v>
      </c>
      <c r="U333" s="10" t="b">
        <f t="shared" si="75"/>
        <v>1</v>
      </c>
      <c r="V333" s="11">
        <f>VLOOKUP(IF(J333&lt;10, 10, IF(J333&gt;50,50,J333)),'Over to underbark'!$A$3:$C$43,IF(A333="Scots pine",3,IF(A333="Sitka spruce",2, "error")),TRUE)/100</f>
        <v>0.85</v>
      </c>
      <c r="W333">
        <f t="shared" si="76"/>
        <v>107.29737</v>
      </c>
      <c r="X333">
        <f t="shared" si="77"/>
        <v>316.49733000000003</v>
      </c>
      <c r="Y333">
        <f t="shared" si="78"/>
        <v>74.787300000000016</v>
      </c>
      <c r="Z333">
        <f t="shared" si="79"/>
        <v>195.66906880950003</v>
      </c>
      <c r="AA333">
        <f t="shared" si="80"/>
        <v>49.196360700000007</v>
      </c>
      <c r="AB333">
        <f t="shared" si="81"/>
        <v>79.010044330499994</v>
      </c>
      <c r="AC333">
        <f t="shared" si="82"/>
        <v>174.70652616000001</v>
      </c>
      <c r="AD333">
        <f>LOOKUP($A333,'Over to underbark'!$A$47:$A$48,'Over to underbark'!E$47:E$48)*Z333</f>
        <v>82.181008899990005</v>
      </c>
      <c r="AE333">
        <f>LOOKUP($A333,'Over to underbark'!$A$47:$A$48,'Over to underbark'!E$47:E$48)*AA333</f>
        <v>20.662471494000002</v>
      </c>
      <c r="AF333">
        <f>LOOKUP($A333,'Over to underbark'!$A$47:$A$48,'Over to underbark'!E$47:E$48)*AB333</f>
        <v>33.184218618809993</v>
      </c>
      <c r="AG333">
        <f>LOOKUP($A333,'Over to underbark'!$A$47:$A$48,'Over to underbark'!E$47:E$48)*AC333</f>
        <v>73.376740987199994</v>
      </c>
      <c r="AH333" t="b">
        <f t="shared" si="83"/>
        <v>1</v>
      </c>
      <c r="AI333" t="b">
        <f t="shared" si="84"/>
        <v>1</v>
      </c>
      <c r="AJ333">
        <f>LOOKUP(A333,'Over to underbark'!$A$47:$A$48,'Over to underbark'!E$47:E$48)*M333</f>
        <v>232.67160000000001</v>
      </c>
      <c r="AK333" s="22">
        <f>LOOKUP(A333,'Over to underbark'!$A$47:$A$48,'Over to underbark'!$B$47:$B$48)*AJ333</f>
        <v>79.108344000000017</v>
      </c>
      <c r="AL333" s="22">
        <f>LOOKUP(A333,'Over to underbark'!$A$47:$A$48,'Over to underbark'!C$47:C$48)*AJ333</f>
        <v>81.435059999999993</v>
      </c>
      <c r="AM333" s="22">
        <f t="shared" si="85"/>
        <v>311.779944</v>
      </c>
      <c r="AN333" s="36">
        <v>1082.5999999999999</v>
      </c>
      <c r="AO333" s="23">
        <f t="shared" si="86"/>
        <v>623.559888</v>
      </c>
      <c r="AQ333">
        <f t="shared" si="87"/>
        <v>0.67164179104477606</v>
      </c>
    </row>
    <row r="334" spans="1:43" x14ac:dyDescent="0.35">
      <c r="A334" t="s">
        <v>41</v>
      </c>
      <c r="B334">
        <v>12</v>
      </c>
      <c r="C334">
        <v>2</v>
      </c>
      <c r="D334" t="s">
        <v>42</v>
      </c>
      <c r="E334">
        <v>2</v>
      </c>
      <c r="F334">
        <v>1</v>
      </c>
      <c r="G334" s="30">
        <v>56</v>
      </c>
      <c r="H334" s="30">
        <v>21.86</v>
      </c>
      <c r="I334" s="30">
        <v>1035</v>
      </c>
      <c r="J334" s="30">
        <v>27.82</v>
      </c>
      <c r="K334" s="30">
        <v>62.912999999999997</v>
      </c>
      <c r="L334" s="30">
        <v>0.54600000000000004</v>
      </c>
      <c r="M334" s="32">
        <v>565.55999999999995</v>
      </c>
      <c r="N334" s="30">
        <v>10.196999999999999</v>
      </c>
      <c r="O334" s="29">
        <v>10.099</v>
      </c>
      <c r="P334" s="31">
        <v>56</v>
      </c>
      <c r="Q334" s="31">
        <v>27.82</v>
      </c>
      <c r="R334" s="31">
        <v>136.755</v>
      </c>
      <c r="S334" s="31">
        <v>428.80500000000001</v>
      </c>
      <c r="T334" s="10" t="b">
        <f t="shared" si="74"/>
        <v>1</v>
      </c>
      <c r="U334" s="10" t="b">
        <f t="shared" si="75"/>
        <v>1</v>
      </c>
      <c r="V334" s="11">
        <f>VLOOKUP(IF(J334&lt;10, 10, IF(J334&gt;50,50,J334)),'Over to underbark'!$A$3:$C$43,IF(A334="Scots pine",3,IF(A334="Sitka spruce",2, "error")),TRUE)/100</f>
        <v>0.85</v>
      </c>
      <c r="W334">
        <f t="shared" si="76"/>
        <v>104.61757499999999</v>
      </c>
      <c r="X334">
        <f t="shared" si="77"/>
        <v>328.03582499999999</v>
      </c>
      <c r="Y334">
        <f t="shared" si="78"/>
        <v>76.3506</v>
      </c>
      <c r="Z334">
        <f t="shared" si="79"/>
        <v>198.77786177624998</v>
      </c>
      <c r="AA334">
        <f t="shared" si="80"/>
        <v>49.683233250000001</v>
      </c>
      <c r="AB334">
        <f t="shared" si="81"/>
        <v>79.467129573749986</v>
      </c>
      <c r="AC334">
        <f t="shared" si="82"/>
        <v>181.0757754</v>
      </c>
      <c r="AD334">
        <f>LOOKUP($A334,'Over to underbark'!$A$47:$A$48,'Over to underbark'!E$47:E$48)*Z334</f>
        <v>83.486701946024994</v>
      </c>
      <c r="AE334">
        <f>LOOKUP($A334,'Over to underbark'!$A$47:$A$48,'Over to underbark'!E$47:E$48)*AA334</f>
        <v>20.866957965000001</v>
      </c>
      <c r="AF334">
        <f>LOOKUP($A334,'Over to underbark'!$A$47:$A$48,'Over to underbark'!E$47:E$48)*AB334</f>
        <v>33.37619442097499</v>
      </c>
      <c r="AG334">
        <f>LOOKUP($A334,'Over to underbark'!$A$47:$A$48,'Over to underbark'!E$47:E$48)*AC334</f>
        <v>76.051825667999992</v>
      </c>
      <c r="AH334" t="b">
        <f t="shared" si="83"/>
        <v>1</v>
      </c>
      <c r="AI334" t="b">
        <f t="shared" si="84"/>
        <v>1</v>
      </c>
      <c r="AJ334">
        <f>LOOKUP(A334,'Over to underbark'!$A$47:$A$48,'Over to underbark'!E$47:E$48)*M334</f>
        <v>237.53519999999997</v>
      </c>
      <c r="AK334" s="22">
        <f>LOOKUP(A334,'Over to underbark'!$A$47:$A$48,'Over to underbark'!$B$47:$B$48)*AJ334</f>
        <v>80.761967999999996</v>
      </c>
      <c r="AL334" s="22">
        <f>LOOKUP(A334,'Over to underbark'!$A$47:$A$48,'Over to underbark'!C$47:C$48)*AJ334</f>
        <v>83.137319999999988</v>
      </c>
      <c r="AM334" s="22">
        <f t="shared" si="85"/>
        <v>318.29716799999994</v>
      </c>
      <c r="AN334" s="36">
        <v>1083.5999999999999</v>
      </c>
      <c r="AO334" s="23">
        <f t="shared" si="86"/>
        <v>636.59433599999988</v>
      </c>
      <c r="AQ334">
        <f t="shared" si="87"/>
        <v>0.67164179104477617</v>
      </c>
    </row>
    <row r="335" spans="1:43" x14ac:dyDescent="0.35">
      <c r="A335" t="s">
        <v>41</v>
      </c>
      <c r="B335">
        <v>12</v>
      </c>
      <c r="C335">
        <v>2</v>
      </c>
      <c r="D335" t="s">
        <v>42</v>
      </c>
      <c r="E335">
        <v>2</v>
      </c>
      <c r="F335">
        <v>1</v>
      </c>
      <c r="G335" s="30">
        <v>57</v>
      </c>
      <c r="H335" s="30">
        <v>22.11</v>
      </c>
      <c r="I335" s="30">
        <v>1017</v>
      </c>
      <c r="J335" s="30">
        <v>28.204000000000001</v>
      </c>
      <c r="K335" s="30">
        <v>63.537999999999997</v>
      </c>
      <c r="L335" s="30">
        <v>0.56699999999999995</v>
      </c>
      <c r="M335" s="32">
        <v>577.14</v>
      </c>
      <c r="N335" s="30">
        <v>10.426</v>
      </c>
      <c r="O335" s="29">
        <v>10.125</v>
      </c>
      <c r="P335" s="31">
        <v>57</v>
      </c>
      <c r="Q335" s="31">
        <v>28.204000000000001</v>
      </c>
      <c r="R335" s="31">
        <v>133.328</v>
      </c>
      <c r="S335" s="31">
        <v>443.81200000000001</v>
      </c>
      <c r="T335" s="10" t="b">
        <f t="shared" si="74"/>
        <v>1</v>
      </c>
      <c r="U335" s="10" t="b">
        <f t="shared" si="75"/>
        <v>1</v>
      </c>
      <c r="V335" s="11">
        <f>VLOOKUP(IF(J335&lt;10, 10, IF(J335&gt;50,50,J335)),'Over to underbark'!$A$3:$C$43,IF(A335="Scots pine",3,IF(A335="Sitka spruce",2, "error")),TRUE)/100</f>
        <v>0.85</v>
      </c>
      <c r="W335">
        <f t="shared" si="76"/>
        <v>101.99592000000001</v>
      </c>
      <c r="X335">
        <f t="shared" si="77"/>
        <v>339.51618000000002</v>
      </c>
      <c r="Y335">
        <f t="shared" si="78"/>
        <v>77.913900000000012</v>
      </c>
      <c r="Z335">
        <f t="shared" si="79"/>
        <v>201.89824495200003</v>
      </c>
      <c r="AA335">
        <f t="shared" si="80"/>
        <v>50.176501200000004</v>
      </c>
      <c r="AB335">
        <f t="shared" si="81"/>
        <v>79.938322488000011</v>
      </c>
      <c r="AC335">
        <f t="shared" si="82"/>
        <v>187.41293136000002</v>
      </c>
      <c r="AD335">
        <f>LOOKUP($A335,'Over to underbark'!$A$47:$A$48,'Over to underbark'!E$47:E$48)*Z335</f>
        <v>84.797262879840005</v>
      </c>
      <c r="AE335">
        <f>LOOKUP($A335,'Over to underbark'!$A$47:$A$48,'Over to underbark'!E$47:E$48)*AA335</f>
        <v>21.074130503999999</v>
      </c>
      <c r="AF335">
        <f>LOOKUP($A335,'Over to underbark'!$A$47:$A$48,'Over to underbark'!E$47:E$48)*AB335</f>
        <v>33.574095444960001</v>
      </c>
      <c r="AG335">
        <f>LOOKUP($A335,'Over to underbark'!$A$47:$A$48,'Over to underbark'!E$47:E$48)*AC335</f>
        <v>78.7134311712</v>
      </c>
      <c r="AH335" t="b">
        <f t="shared" si="83"/>
        <v>1</v>
      </c>
      <c r="AI335" t="b">
        <f t="shared" si="84"/>
        <v>1</v>
      </c>
      <c r="AJ335">
        <f>LOOKUP(A335,'Over to underbark'!$A$47:$A$48,'Over to underbark'!E$47:E$48)*M335</f>
        <v>242.39879999999999</v>
      </c>
      <c r="AK335" s="22">
        <f>LOOKUP(A335,'Over to underbark'!$A$47:$A$48,'Over to underbark'!$B$47:$B$48)*AJ335</f>
        <v>82.415592000000004</v>
      </c>
      <c r="AL335" s="22">
        <f>LOOKUP(A335,'Over to underbark'!$A$47:$A$48,'Over to underbark'!C$47:C$48)*AJ335</f>
        <v>84.839579999999998</v>
      </c>
      <c r="AM335" s="22">
        <f t="shared" si="85"/>
        <v>324.814392</v>
      </c>
      <c r="AN335" s="36">
        <v>1084.5999999999999</v>
      </c>
      <c r="AO335" s="23">
        <f t="shared" si="86"/>
        <v>649.628784</v>
      </c>
      <c r="AQ335">
        <f t="shared" si="87"/>
        <v>0.67164179104477606</v>
      </c>
    </row>
    <row r="336" spans="1:43" x14ac:dyDescent="0.35">
      <c r="A336" t="s">
        <v>41</v>
      </c>
      <c r="B336">
        <v>12</v>
      </c>
      <c r="C336">
        <v>2</v>
      </c>
      <c r="D336" t="s">
        <v>42</v>
      </c>
      <c r="E336">
        <v>2</v>
      </c>
      <c r="F336">
        <v>1</v>
      </c>
      <c r="G336" s="30">
        <v>58</v>
      </c>
      <c r="H336" s="30">
        <v>22.36</v>
      </c>
      <c r="I336" s="30">
        <v>999</v>
      </c>
      <c r="J336" s="30">
        <v>28.6</v>
      </c>
      <c r="K336" s="30">
        <v>64.164000000000001</v>
      </c>
      <c r="L336" s="30">
        <v>0.58899999999999997</v>
      </c>
      <c r="M336" s="32">
        <v>588.72</v>
      </c>
      <c r="N336" s="30">
        <v>10.646000000000001</v>
      </c>
      <c r="O336" s="29">
        <v>10.15</v>
      </c>
      <c r="P336" s="31">
        <v>58</v>
      </c>
      <c r="Q336" s="31">
        <v>28.6</v>
      </c>
      <c r="R336" s="31">
        <v>129.71700000000001</v>
      </c>
      <c r="S336" s="31">
        <v>459.00299999999999</v>
      </c>
      <c r="T336" s="10" t="b">
        <f t="shared" si="74"/>
        <v>1</v>
      </c>
      <c r="U336" s="10" t="b">
        <f t="shared" si="75"/>
        <v>1</v>
      </c>
      <c r="V336" s="11">
        <f>VLOOKUP(IF(J336&lt;10, 10, IF(J336&gt;50,50,J336)),'Over to underbark'!$A$3:$C$43,IF(A336="Scots pine",3,IF(A336="Sitka spruce",2, "error")),TRUE)/100</f>
        <v>0.85</v>
      </c>
      <c r="W336">
        <f t="shared" si="76"/>
        <v>99.233505000000008</v>
      </c>
      <c r="X336">
        <f t="shared" si="77"/>
        <v>351.13729499999994</v>
      </c>
      <c r="Y336">
        <f t="shared" si="78"/>
        <v>79.477200000000025</v>
      </c>
      <c r="Z336">
        <f t="shared" si="79"/>
        <v>204.99056762174999</v>
      </c>
      <c r="AA336">
        <f t="shared" si="80"/>
        <v>50.654285550000012</v>
      </c>
      <c r="AB336">
        <f t="shared" si="81"/>
        <v>80.375359988249983</v>
      </c>
      <c r="AC336">
        <f t="shared" si="82"/>
        <v>193.82778683999996</v>
      </c>
      <c r="AD336">
        <f>LOOKUP($A336,'Over to underbark'!$A$47:$A$48,'Over to underbark'!E$47:E$48)*Z336</f>
        <v>86.09603840113499</v>
      </c>
      <c r="AE336">
        <f>LOOKUP($A336,'Over to underbark'!$A$47:$A$48,'Over to underbark'!E$47:E$48)*AA336</f>
        <v>21.274799931000004</v>
      </c>
      <c r="AF336">
        <f>LOOKUP($A336,'Over to underbark'!$A$47:$A$48,'Over to underbark'!E$47:E$48)*AB336</f>
        <v>33.757651195064994</v>
      </c>
      <c r="AG336">
        <f>LOOKUP($A336,'Over to underbark'!$A$47:$A$48,'Over to underbark'!E$47:E$48)*AC336</f>
        <v>81.407670472799978</v>
      </c>
      <c r="AH336" t="b">
        <f t="shared" si="83"/>
        <v>1</v>
      </c>
      <c r="AI336" t="b">
        <f t="shared" si="84"/>
        <v>1</v>
      </c>
      <c r="AJ336">
        <f>LOOKUP(A336,'Over to underbark'!$A$47:$A$48,'Over to underbark'!E$47:E$48)*M336</f>
        <v>247.26240000000001</v>
      </c>
      <c r="AK336" s="22">
        <f>LOOKUP(A336,'Over to underbark'!$A$47:$A$48,'Over to underbark'!$B$47:$B$48)*AJ336</f>
        <v>84.069216000000011</v>
      </c>
      <c r="AL336" s="22">
        <f>LOOKUP(A336,'Over to underbark'!$A$47:$A$48,'Over to underbark'!C$47:C$48)*AJ336</f>
        <v>86.541839999999993</v>
      </c>
      <c r="AM336" s="22">
        <f t="shared" si="85"/>
        <v>331.33161600000005</v>
      </c>
      <c r="AN336" s="36">
        <v>1085.5999999999999</v>
      </c>
      <c r="AO336" s="23">
        <f t="shared" si="86"/>
        <v>662.66323200000011</v>
      </c>
      <c r="AQ336">
        <f t="shared" si="87"/>
        <v>0.67164179104477584</v>
      </c>
    </row>
    <row r="337" spans="1:43" x14ac:dyDescent="0.35">
      <c r="A337" t="s">
        <v>41</v>
      </c>
      <c r="B337">
        <v>12</v>
      </c>
      <c r="C337">
        <v>2</v>
      </c>
      <c r="D337" t="s">
        <v>42</v>
      </c>
      <c r="E337">
        <v>2</v>
      </c>
      <c r="F337">
        <v>1</v>
      </c>
      <c r="G337" s="30">
        <v>59</v>
      </c>
      <c r="H337" s="30">
        <v>22.61</v>
      </c>
      <c r="I337" s="30">
        <v>980</v>
      </c>
      <c r="J337" s="30">
        <v>29.01</v>
      </c>
      <c r="K337" s="30">
        <v>64.789000000000001</v>
      </c>
      <c r="L337" s="30">
        <v>0.61199999999999999</v>
      </c>
      <c r="M337" s="32">
        <v>600.29999999999995</v>
      </c>
      <c r="N337" s="30">
        <v>10.855</v>
      </c>
      <c r="O337" s="29">
        <v>10.175000000000001</v>
      </c>
      <c r="P337" s="31">
        <v>59</v>
      </c>
      <c r="Q337" s="31">
        <v>29.01</v>
      </c>
      <c r="R337" s="31">
        <v>125.911</v>
      </c>
      <c r="S337" s="31">
        <v>474.38900000000001</v>
      </c>
      <c r="T337" s="10" t="b">
        <f t="shared" si="74"/>
        <v>1</v>
      </c>
      <c r="U337" s="10" t="b">
        <f t="shared" si="75"/>
        <v>1</v>
      </c>
      <c r="V337" s="11">
        <f>VLOOKUP(IF(J337&lt;10, 10, IF(J337&gt;50,50,J337)),'Over to underbark'!$A$3:$C$43,IF(A337="Scots pine",3,IF(A337="Sitka spruce",2, "error")),TRUE)/100</f>
        <v>0.85</v>
      </c>
      <c r="W337">
        <f t="shared" si="76"/>
        <v>96.321915000000004</v>
      </c>
      <c r="X337">
        <f t="shared" si="77"/>
        <v>362.90758499999998</v>
      </c>
      <c r="Y337">
        <f t="shared" si="78"/>
        <v>81.040500000000009</v>
      </c>
      <c r="Z337">
        <f t="shared" si="79"/>
        <v>208.05315225524996</v>
      </c>
      <c r="AA337">
        <f t="shared" si="80"/>
        <v>51.115660650000002</v>
      </c>
      <c r="AB337">
        <f t="shared" si="81"/>
        <v>80.776200174749988</v>
      </c>
      <c r="AC337">
        <f t="shared" si="82"/>
        <v>200.32498691999999</v>
      </c>
      <c r="AD337">
        <f>LOOKUP($A337,'Over to underbark'!$A$47:$A$48,'Over to underbark'!E$47:E$48)*Z337</f>
        <v>87.382323947204981</v>
      </c>
      <c r="AE337">
        <f>LOOKUP($A337,'Over to underbark'!$A$47:$A$48,'Over to underbark'!E$47:E$48)*AA337</f>
        <v>21.468577473</v>
      </c>
      <c r="AF337">
        <f>LOOKUP($A337,'Over to underbark'!$A$47:$A$48,'Over to underbark'!E$47:E$48)*AB337</f>
        <v>33.926004073394992</v>
      </c>
      <c r="AG337">
        <f>LOOKUP($A337,'Over to underbark'!$A$47:$A$48,'Over to underbark'!E$47:E$48)*AC337</f>
        <v>84.136494506399998</v>
      </c>
      <c r="AH337" t="b">
        <f t="shared" si="83"/>
        <v>1</v>
      </c>
      <c r="AI337" t="b">
        <f t="shared" si="84"/>
        <v>1</v>
      </c>
      <c r="AJ337">
        <f>LOOKUP(A337,'Over to underbark'!$A$47:$A$48,'Over to underbark'!E$47:E$48)*M337</f>
        <v>252.12599999999998</v>
      </c>
      <c r="AK337" s="22">
        <f>LOOKUP(A337,'Over to underbark'!$A$47:$A$48,'Over to underbark'!$B$47:$B$48)*AJ337</f>
        <v>85.722840000000005</v>
      </c>
      <c r="AL337" s="22">
        <f>LOOKUP(A337,'Over to underbark'!$A$47:$A$48,'Over to underbark'!C$47:C$48)*AJ337</f>
        <v>88.244099999999989</v>
      </c>
      <c r="AM337" s="22">
        <f t="shared" si="85"/>
        <v>337.84884</v>
      </c>
      <c r="AN337" s="36">
        <v>1086.5999999999999</v>
      </c>
      <c r="AO337" s="23">
        <f t="shared" si="86"/>
        <v>675.69767999999999</v>
      </c>
      <c r="AQ337">
        <f t="shared" si="87"/>
        <v>0.67164179104477606</v>
      </c>
    </row>
    <row r="338" spans="1:43" x14ac:dyDescent="0.35">
      <c r="A338" t="s">
        <v>41</v>
      </c>
      <c r="B338">
        <v>12</v>
      </c>
      <c r="C338">
        <v>2</v>
      </c>
      <c r="D338" t="s">
        <v>42</v>
      </c>
      <c r="E338">
        <v>2</v>
      </c>
      <c r="F338">
        <v>1</v>
      </c>
      <c r="G338" s="30">
        <v>60</v>
      </c>
      <c r="H338" s="30">
        <v>22.83</v>
      </c>
      <c r="I338" s="30">
        <v>967</v>
      </c>
      <c r="J338" s="30">
        <v>29.344999999999999</v>
      </c>
      <c r="K338" s="30">
        <v>65.399000000000001</v>
      </c>
      <c r="L338" s="30">
        <v>0.63200000000000001</v>
      </c>
      <c r="M338" s="32">
        <v>611.24</v>
      </c>
      <c r="N338" s="30">
        <v>11.004</v>
      </c>
      <c r="O338" s="29">
        <v>10.186999999999999</v>
      </c>
      <c r="P338" s="31">
        <v>60</v>
      </c>
      <c r="Q338" s="31">
        <v>29.344999999999999</v>
      </c>
      <c r="R338" s="31">
        <v>123.125</v>
      </c>
      <c r="S338" s="31">
        <v>488.11500000000001</v>
      </c>
      <c r="T338" s="10" t="b">
        <f t="shared" si="74"/>
        <v>1</v>
      </c>
      <c r="U338" s="10" t="b">
        <f t="shared" si="75"/>
        <v>1</v>
      </c>
      <c r="V338" s="11">
        <f>VLOOKUP(IF(J338&lt;10, 10, IF(J338&gt;50,50,J338)),'Over to underbark'!$A$3:$C$43,IF(A338="Scots pine",3,IF(A338="Sitka spruce",2, "error")),TRUE)/100</f>
        <v>0.85</v>
      </c>
      <c r="W338">
        <f t="shared" si="76"/>
        <v>94.190624999999997</v>
      </c>
      <c r="X338">
        <f t="shared" si="77"/>
        <v>373.40797500000002</v>
      </c>
      <c r="Y338">
        <f t="shared" si="78"/>
        <v>82.517400000000009</v>
      </c>
      <c r="Z338">
        <f t="shared" si="79"/>
        <v>211.06994889375002</v>
      </c>
      <c r="AA338">
        <f t="shared" si="80"/>
        <v>51.619668750000002</v>
      </c>
      <c r="AB338">
        <f t="shared" si="81"/>
        <v>81.305180156250003</v>
      </c>
      <c r="AC338">
        <f t="shared" si="82"/>
        <v>206.12120220000003</v>
      </c>
      <c r="AD338">
        <f>LOOKUP($A338,'Over to underbark'!$A$47:$A$48,'Over to underbark'!E$47:E$48)*Z338</f>
        <v>88.649378535375007</v>
      </c>
      <c r="AE338">
        <f>LOOKUP($A338,'Over to underbark'!$A$47:$A$48,'Over to underbark'!E$47:E$48)*AA338</f>
        <v>21.680260875000002</v>
      </c>
      <c r="AF338">
        <f>LOOKUP($A338,'Over to underbark'!$A$47:$A$48,'Over to underbark'!E$47:E$48)*AB338</f>
        <v>34.148175665624997</v>
      </c>
      <c r="AG338">
        <f>LOOKUP($A338,'Over to underbark'!$A$47:$A$48,'Over to underbark'!E$47:E$48)*AC338</f>
        <v>86.570904924000004</v>
      </c>
      <c r="AH338" t="b">
        <f t="shared" si="83"/>
        <v>1</v>
      </c>
      <c r="AI338" t="b">
        <f t="shared" si="84"/>
        <v>1</v>
      </c>
      <c r="AJ338">
        <f>LOOKUP(A338,'Over to underbark'!$A$47:$A$48,'Over to underbark'!E$47:E$48)*M338</f>
        <v>256.7208</v>
      </c>
      <c r="AK338" s="22">
        <f>LOOKUP(A338,'Over to underbark'!$A$47:$A$48,'Over to underbark'!$B$47:$B$48)*AJ338</f>
        <v>87.285072</v>
      </c>
      <c r="AL338" s="22">
        <f>LOOKUP(A338,'Over to underbark'!$A$47:$A$48,'Over to underbark'!C$47:C$48)*AJ338</f>
        <v>89.852279999999993</v>
      </c>
      <c r="AM338" s="22">
        <f t="shared" si="85"/>
        <v>344.00587200000001</v>
      </c>
      <c r="AN338" s="36">
        <v>1087.5999999999999</v>
      </c>
      <c r="AO338" s="23">
        <f t="shared" si="86"/>
        <v>688.01174400000002</v>
      </c>
      <c r="AQ338">
        <f t="shared" si="87"/>
        <v>0.67164179104477606</v>
      </c>
    </row>
    <row r="339" spans="1:43" x14ac:dyDescent="0.35">
      <c r="A339" t="s">
        <v>41</v>
      </c>
      <c r="B339">
        <v>12</v>
      </c>
      <c r="C339">
        <v>2</v>
      </c>
      <c r="D339" t="s">
        <v>42</v>
      </c>
      <c r="E339">
        <v>2</v>
      </c>
      <c r="F339">
        <v>1</v>
      </c>
      <c r="G339" s="30">
        <v>61</v>
      </c>
      <c r="H339" s="30">
        <v>23.05</v>
      </c>
      <c r="I339" s="30">
        <v>954</v>
      </c>
      <c r="J339" s="30">
        <v>29.684999999999999</v>
      </c>
      <c r="K339" s="30">
        <v>66.010000000000005</v>
      </c>
      <c r="L339" s="30">
        <v>0.65200000000000002</v>
      </c>
      <c r="M339" s="32">
        <v>622.17999999999995</v>
      </c>
      <c r="N339" s="30">
        <v>11.148</v>
      </c>
      <c r="O339" s="29">
        <v>10.199999999999999</v>
      </c>
      <c r="P339" s="31">
        <v>61</v>
      </c>
      <c r="Q339" s="31">
        <v>29.684999999999999</v>
      </c>
      <c r="R339" s="31">
        <v>120.271</v>
      </c>
      <c r="S339" s="31">
        <v>501.90899999999999</v>
      </c>
      <c r="T339" s="10" t="b">
        <f t="shared" si="74"/>
        <v>1</v>
      </c>
      <c r="U339" s="10" t="b">
        <f t="shared" si="75"/>
        <v>1</v>
      </c>
      <c r="V339" s="11">
        <f>VLOOKUP(IF(J339&lt;10, 10, IF(J339&gt;50,50,J339)),'Over to underbark'!$A$3:$C$43,IF(A339="Scots pine",3,IF(A339="Sitka spruce",2, "error")),TRUE)/100</f>
        <v>0.85</v>
      </c>
      <c r="W339">
        <f t="shared" si="76"/>
        <v>92.007314999999991</v>
      </c>
      <c r="X339">
        <f t="shared" si="77"/>
        <v>383.96038499999997</v>
      </c>
      <c r="Y339">
        <f t="shared" si="78"/>
        <v>83.99430000000001</v>
      </c>
      <c r="Z339">
        <f t="shared" si="79"/>
        <v>214.07637534525</v>
      </c>
      <c r="AA339">
        <f t="shared" si="80"/>
        <v>52.117954650000001</v>
      </c>
      <c r="AB339">
        <f t="shared" si="81"/>
        <v>81.821537484749996</v>
      </c>
      <c r="AC339">
        <f t="shared" si="82"/>
        <v>211.94613251999996</v>
      </c>
      <c r="AD339">
        <f>LOOKUP($A339,'Over to underbark'!$A$47:$A$48,'Over to underbark'!E$47:E$48)*Z339</f>
        <v>89.912077645004999</v>
      </c>
      <c r="AE339">
        <f>LOOKUP($A339,'Over to underbark'!$A$47:$A$48,'Over to underbark'!E$47:E$48)*AA339</f>
        <v>21.889540953000001</v>
      </c>
      <c r="AF339">
        <f>LOOKUP($A339,'Over to underbark'!$A$47:$A$48,'Over to underbark'!E$47:E$48)*AB339</f>
        <v>34.365045743594997</v>
      </c>
      <c r="AG339">
        <f>LOOKUP($A339,'Over to underbark'!$A$47:$A$48,'Over to underbark'!E$47:E$48)*AC339</f>
        <v>89.017375658399985</v>
      </c>
      <c r="AH339" t="b">
        <f t="shared" si="83"/>
        <v>1</v>
      </c>
      <c r="AI339" t="b">
        <f t="shared" si="84"/>
        <v>1</v>
      </c>
      <c r="AJ339">
        <f>LOOKUP(A339,'Over to underbark'!$A$47:$A$48,'Over to underbark'!E$47:E$48)*M339</f>
        <v>261.31559999999996</v>
      </c>
      <c r="AK339" s="22">
        <f>LOOKUP(A339,'Over to underbark'!$A$47:$A$48,'Over to underbark'!$B$47:$B$48)*AJ339</f>
        <v>88.847303999999994</v>
      </c>
      <c r="AL339" s="22">
        <f>LOOKUP(A339,'Over to underbark'!$A$47:$A$48,'Over to underbark'!C$47:C$48)*AJ339</f>
        <v>91.460459999999983</v>
      </c>
      <c r="AM339" s="22">
        <f t="shared" si="85"/>
        <v>350.16290399999997</v>
      </c>
      <c r="AN339" s="36">
        <v>1088.5999999999999</v>
      </c>
      <c r="AO339" s="23">
        <f t="shared" si="86"/>
        <v>700.32580799999994</v>
      </c>
      <c r="AQ339">
        <f t="shared" si="87"/>
        <v>0.67164179104477617</v>
      </c>
    </row>
    <row r="340" spans="1:43" x14ac:dyDescent="0.35">
      <c r="A340" t="s">
        <v>41</v>
      </c>
      <c r="B340">
        <v>12</v>
      </c>
      <c r="C340">
        <v>2</v>
      </c>
      <c r="D340" t="s">
        <v>42</v>
      </c>
      <c r="E340">
        <v>2</v>
      </c>
      <c r="F340">
        <v>1</v>
      </c>
      <c r="G340" s="30">
        <v>62</v>
      </c>
      <c r="H340" s="30">
        <v>23.27</v>
      </c>
      <c r="I340" s="30">
        <v>941</v>
      </c>
      <c r="J340" s="30">
        <v>30.030999999999999</v>
      </c>
      <c r="K340" s="30">
        <v>66.62</v>
      </c>
      <c r="L340" s="30">
        <v>0.67300000000000004</v>
      </c>
      <c r="M340" s="32">
        <v>633.12</v>
      </c>
      <c r="N340" s="30">
        <v>11.285</v>
      </c>
      <c r="O340" s="29">
        <v>10.212</v>
      </c>
      <c r="P340" s="31">
        <v>62</v>
      </c>
      <c r="Q340" s="31">
        <v>30.030999999999999</v>
      </c>
      <c r="R340" s="31">
        <v>117.34099999999999</v>
      </c>
      <c r="S340" s="31">
        <v>515.779</v>
      </c>
      <c r="T340" s="10" t="b">
        <f t="shared" si="74"/>
        <v>1</v>
      </c>
      <c r="U340" s="10" t="b">
        <f t="shared" si="75"/>
        <v>1</v>
      </c>
      <c r="V340" s="11">
        <f>VLOOKUP(IF(J340&lt;10, 10, IF(J340&gt;50,50,J340)),'Over to underbark'!$A$3:$C$43,IF(A340="Scots pine",3,IF(A340="Sitka spruce",2, "error")),TRUE)/100</f>
        <v>0.85</v>
      </c>
      <c r="W340">
        <f t="shared" si="76"/>
        <v>89.765864999999991</v>
      </c>
      <c r="X340">
        <f t="shared" si="77"/>
        <v>394.57093499999996</v>
      </c>
      <c r="Y340">
        <f t="shared" si="78"/>
        <v>85.47120000000001</v>
      </c>
      <c r="Z340">
        <f t="shared" si="79"/>
        <v>217.07121158774999</v>
      </c>
      <c r="AA340">
        <f t="shared" si="80"/>
        <v>52.609845150000005</v>
      </c>
      <c r="AB340">
        <f t="shared" si="81"/>
        <v>82.323787142249984</v>
      </c>
      <c r="AC340">
        <f t="shared" si="82"/>
        <v>217.80315611999998</v>
      </c>
      <c r="AD340">
        <f>LOOKUP($A340,'Over to underbark'!$A$47:$A$48,'Over to underbark'!E$47:E$48)*Z340</f>
        <v>91.169908866854996</v>
      </c>
      <c r="AE340">
        <f>LOOKUP($A340,'Over to underbark'!$A$47:$A$48,'Over to underbark'!E$47:E$48)*AA340</f>
        <v>22.096134963000001</v>
      </c>
      <c r="AF340">
        <f>LOOKUP($A340,'Over to underbark'!$A$47:$A$48,'Over to underbark'!E$47:E$48)*AB340</f>
        <v>34.575990599744991</v>
      </c>
      <c r="AG340">
        <f>LOOKUP($A340,'Over to underbark'!$A$47:$A$48,'Over to underbark'!E$47:E$48)*AC340</f>
        <v>91.477325570399984</v>
      </c>
      <c r="AH340" t="b">
        <f t="shared" si="83"/>
        <v>1</v>
      </c>
      <c r="AI340" t="b">
        <f t="shared" si="84"/>
        <v>1</v>
      </c>
      <c r="AJ340">
        <f>LOOKUP(A340,'Over to underbark'!$A$47:$A$48,'Over to underbark'!E$47:E$48)*M340</f>
        <v>265.91039999999998</v>
      </c>
      <c r="AK340" s="22">
        <f>LOOKUP(A340,'Over to underbark'!$A$47:$A$48,'Over to underbark'!$B$47:$B$48)*AJ340</f>
        <v>90.409536000000003</v>
      </c>
      <c r="AL340" s="22">
        <f>LOOKUP(A340,'Over to underbark'!$A$47:$A$48,'Over to underbark'!C$47:C$48)*AJ340</f>
        <v>93.068639999999988</v>
      </c>
      <c r="AM340" s="22">
        <f t="shared" si="85"/>
        <v>356.31993599999998</v>
      </c>
      <c r="AN340" s="36">
        <v>1089.5999999999999</v>
      </c>
      <c r="AO340" s="23">
        <f t="shared" si="86"/>
        <v>712.63987199999997</v>
      </c>
      <c r="AQ340">
        <f t="shared" si="87"/>
        <v>0.67164179104477606</v>
      </c>
    </row>
    <row r="341" spans="1:43" x14ac:dyDescent="0.35">
      <c r="A341" t="s">
        <v>41</v>
      </c>
      <c r="B341">
        <v>12</v>
      </c>
      <c r="C341">
        <v>2</v>
      </c>
      <c r="D341" t="s">
        <v>42</v>
      </c>
      <c r="E341">
        <v>2</v>
      </c>
      <c r="F341">
        <v>1</v>
      </c>
      <c r="G341" s="30">
        <v>63</v>
      </c>
      <c r="H341" s="30">
        <v>23.49</v>
      </c>
      <c r="I341" s="30">
        <v>927</v>
      </c>
      <c r="J341" s="30">
        <v>30.382000000000001</v>
      </c>
      <c r="K341" s="30">
        <v>67.23</v>
      </c>
      <c r="L341" s="30">
        <v>0.69499999999999995</v>
      </c>
      <c r="M341" s="32">
        <v>644.05999999999995</v>
      </c>
      <c r="N341" s="30">
        <v>11.417999999999999</v>
      </c>
      <c r="O341" s="29">
        <v>10.223000000000001</v>
      </c>
      <c r="P341" s="31">
        <v>63</v>
      </c>
      <c r="Q341" s="31">
        <v>30.382000000000001</v>
      </c>
      <c r="R341" s="31">
        <v>114.361</v>
      </c>
      <c r="S341" s="31">
        <v>529.69899999999996</v>
      </c>
      <c r="T341" s="10" t="b">
        <f t="shared" si="74"/>
        <v>1</v>
      </c>
      <c r="U341" s="10" t="b">
        <f t="shared" si="75"/>
        <v>1</v>
      </c>
      <c r="V341" s="11">
        <f>VLOOKUP(IF(J341&lt;10, 10, IF(J341&gt;50,50,J341)),'Over to underbark'!$A$3:$C$43,IF(A341="Scots pine",3,IF(A341="Sitka spruce",2, "error")),TRUE)/100</f>
        <v>0.85</v>
      </c>
      <c r="W341">
        <f t="shared" si="76"/>
        <v>87.486165</v>
      </c>
      <c r="X341">
        <f t="shared" si="77"/>
        <v>405.21973499999996</v>
      </c>
      <c r="Y341">
        <f t="shared" si="78"/>
        <v>86.948100000000011</v>
      </c>
      <c r="Z341">
        <f t="shared" si="79"/>
        <v>220.05842269274999</v>
      </c>
      <c r="AA341">
        <f t="shared" si="80"/>
        <v>53.097528150000002</v>
      </c>
      <c r="AB341">
        <f t="shared" si="81"/>
        <v>82.816755437250009</v>
      </c>
      <c r="AC341">
        <f t="shared" si="82"/>
        <v>223.68129371999996</v>
      </c>
      <c r="AD341">
        <f>LOOKUP($A341,'Over to underbark'!$A$47:$A$48,'Over to underbark'!E$47:E$48)*Z341</f>
        <v>92.424537530954993</v>
      </c>
      <c r="AE341">
        <f>LOOKUP($A341,'Over to underbark'!$A$47:$A$48,'Over to underbark'!E$47:E$48)*AA341</f>
        <v>22.300961823000002</v>
      </c>
      <c r="AF341">
        <f>LOOKUP($A341,'Over to underbark'!$A$47:$A$48,'Over to underbark'!E$47:E$48)*AB341</f>
        <v>34.783037283645001</v>
      </c>
      <c r="AG341">
        <f>LOOKUP($A341,'Over to underbark'!$A$47:$A$48,'Over to underbark'!E$47:E$48)*AC341</f>
        <v>93.94614336239998</v>
      </c>
      <c r="AH341" t="b">
        <f t="shared" si="83"/>
        <v>1</v>
      </c>
      <c r="AI341" t="b">
        <f t="shared" si="84"/>
        <v>1</v>
      </c>
      <c r="AJ341">
        <f>LOOKUP(A341,'Over to underbark'!$A$47:$A$48,'Over to underbark'!E$47:E$48)*M341</f>
        <v>270.50519999999995</v>
      </c>
      <c r="AK341" s="22">
        <f>LOOKUP(A341,'Over to underbark'!$A$47:$A$48,'Over to underbark'!$B$47:$B$48)*AJ341</f>
        <v>91.971767999999983</v>
      </c>
      <c r="AL341" s="22">
        <f>LOOKUP(A341,'Over to underbark'!$A$47:$A$48,'Over to underbark'!C$47:C$48)*AJ341</f>
        <v>94.676819999999978</v>
      </c>
      <c r="AM341" s="22">
        <f t="shared" si="85"/>
        <v>362.47696799999994</v>
      </c>
      <c r="AN341" s="36">
        <v>1090.5999999999999</v>
      </c>
      <c r="AO341" s="23">
        <f t="shared" si="86"/>
        <v>724.95393599999989</v>
      </c>
      <c r="AQ341">
        <f t="shared" si="87"/>
        <v>0.67164179104477617</v>
      </c>
    </row>
    <row r="342" spans="1:43" x14ac:dyDescent="0.35">
      <c r="A342" t="s">
        <v>41</v>
      </c>
      <c r="B342">
        <v>12</v>
      </c>
      <c r="C342">
        <v>2</v>
      </c>
      <c r="D342" t="s">
        <v>42</v>
      </c>
      <c r="E342">
        <v>2</v>
      </c>
      <c r="F342">
        <v>1</v>
      </c>
      <c r="G342" s="30">
        <v>64</v>
      </c>
      <c r="H342" s="30">
        <v>23.71</v>
      </c>
      <c r="I342" s="30">
        <v>914</v>
      </c>
      <c r="J342" s="30">
        <v>30.74</v>
      </c>
      <c r="K342" s="30">
        <v>67.840999999999994</v>
      </c>
      <c r="L342" s="30">
        <v>0.71699999999999997</v>
      </c>
      <c r="M342" s="32">
        <v>655</v>
      </c>
      <c r="N342" s="30">
        <v>11.545999999999999</v>
      </c>
      <c r="O342" s="29">
        <v>10.234</v>
      </c>
      <c r="P342" s="31">
        <v>64</v>
      </c>
      <c r="Q342" s="31">
        <v>30.74</v>
      </c>
      <c r="R342" s="31">
        <v>111.31100000000001</v>
      </c>
      <c r="S342" s="31">
        <v>543.68899999999996</v>
      </c>
      <c r="T342" s="10" t="b">
        <f t="shared" si="74"/>
        <v>1</v>
      </c>
      <c r="U342" s="10" t="b">
        <f t="shared" si="75"/>
        <v>1</v>
      </c>
      <c r="V342" s="11">
        <f>VLOOKUP(IF(J342&lt;10, 10, IF(J342&gt;50,50,J342)),'Over to underbark'!$A$3:$C$43,IF(A342="Scots pine",3,IF(A342="Sitka spruce",2, "error")),TRUE)/100</f>
        <v>0.85</v>
      </c>
      <c r="W342">
        <f t="shared" si="76"/>
        <v>85.152915000000007</v>
      </c>
      <c r="X342">
        <f t="shared" si="77"/>
        <v>415.92208499999998</v>
      </c>
      <c r="Y342">
        <f t="shared" si="78"/>
        <v>88.425000000000011</v>
      </c>
      <c r="Z342">
        <f t="shared" si="79"/>
        <v>223.03495860525001</v>
      </c>
      <c r="AA342">
        <f t="shared" si="80"/>
        <v>53.579320650000007</v>
      </c>
      <c r="AB342">
        <f t="shared" si="81"/>
        <v>83.296729824750003</v>
      </c>
      <c r="AC342">
        <f t="shared" si="82"/>
        <v>229.58899091999999</v>
      </c>
      <c r="AD342">
        <f>LOOKUP($A342,'Over to underbark'!$A$47:$A$48,'Over to underbark'!E$47:E$48)*Z342</f>
        <v>93.674682614204997</v>
      </c>
      <c r="AE342">
        <f>LOOKUP($A342,'Over to underbark'!$A$47:$A$48,'Over to underbark'!E$47:E$48)*AA342</f>
        <v>22.503314673000002</v>
      </c>
      <c r="AF342">
        <f>LOOKUP($A342,'Over to underbark'!$A$47:$A$48,'Over to underbark'!E$47:E$48)*AB342</f>
        <v>34.984626526394997</v>
      </c>
      <c r="AG342">
        <f>LOOKUP($A342,'Over to underbark'!$A$47:$A$48,'Over to underbark'!E$47:E$48)*AC342</f>
        <v>96.427376186399997</v>
      </c>
      <c r="AH342" t="b">
        <f t="shared" si="83"/>
        <v>1</v>
      </c>
      <c r="AI342" t="b">
        <f t="shared" si="84"/>
        <v>1</v>
      </c>
      <c r="AJ342">
        <f>LOOKUP(A342,'Over to underbark'!$A$47:$A$48,'Over to underbark'!E$47:E$48)*M342</f>
        <v>275.09999999999997</v>
      </c>
      <c r="AK342" s="22">
        <f>LOOKUP(A342,'Over to underbark'!$A$47:$A$48,'Over to underbark'!$B$47:$B$48)*AJ342</f>
        <v>93.533999999999992</v>
      </c>
      <c r="AL342" s="22">
        <f>LOOKUP(A342,'Over to underbark'!$A$47:$A$48,'Over to underbark'!C$47:C$48)*AJ342</f>
        <v>96.284999999999982</v>
      </c>
      <c r="AM342" s="22">
        <f t="shared" si="85"/>
        <v>368.63399999999996</v>
      </c>
      <c r="AN342" s="36">
        <v>1091.5999999999999</v>
      </c>
      <c r="AO342" s="23">
        <f t="shared" si="86"/>
        <v>737.26799999999992</v>
      </c>
      <c r="AQ342">
        <f t="shared" si="87"/>
        <v>0.67164179104477617</v>
      </c>
    </row>
    <row r="343" spans="1:43" x14ac:dyDescent="0.35">
      <c r="A343" t="s">
        <v>41</v>
      </c>
      <c r="B343">
        <v>12</v>
      </c>
      <c r="C343">
        <v>2</v>
      </c>
      <c r="D343" t="s">
        <v>42</v>
      </c>
      <c r="E343">
        <v>2</v>
      </c>
      <c r="F343">
        <v>1</v>
      </c>
      <c r="G343" s="30">
        <v>65</v>
      </c>
      <c r="H343" s="30">
        <v>23.908000000000001</v>
      </c>
      <c r="I343" s="30">
        <v>904</v>
      </c>
      <c r="J343" s="30">
        <v>31.045999999999999</v>
      </c>
      <c r="K343" s="30">
        <v>68.403000000000006</v>
      </c>
      <c r="L343" s="30">
        <v>0.73599999999999999</v>
      </c>
      <c r="M343" s="32">
        <v>665.26</v>
      </c>
      <c r="N343" s="30">
        <v>11.635999999999999</v>
      </c>
      <c r="O343" s="29">
        <v>10.234999999999999</v>
      </c>
      <c r="P343" s="31">
        <v>65</v>
      </c>
      <c r="Q343" s="31">
        <v>31.045999999999999</v>
      </c>
      <c r="R343" s="31">
        <v>108.881</v>
      </c>
      <c r="S343" s="31">
        <v>556.37900000000002</v>
      </c>
      <c r="T343" s="10" t="b">
        <f t="shared" si="74"/>
        <v>1</v>
      </c>
      <c r="U343" s="10" t="b">
        <f t="shared" si="75"/>
        <v>1</v>
      </c>
      <c r="V343" s="11">
        <f>VLOOKUP(IF(J343&lt;10, 10, IF(J343&gt;50,50,J343)),'Over to underbark'!$A$3:$C$43,IF(A343="Scots pine",3,IF(A343="Sitka spruce",2, "error")),TRUE)/100</f>
        <v>0.85</v>
      </c>
      <c r="W343">
        <f t="shared" si="76"/>
        <v>83.293965</v>
      </c>
      <c r="X343">
        <f t="shared" si="77"/>
        <v>425.62993499999999</v>
      </c>
      <c r="Y343">
        <f t="shared" si="78"/>
        <v>89.81010000000002</v>
      </c>
      <c r="Z343">
        <f t="shared" si="79"/>
        <v>225.89212162274998</v>
      </c>
      <c r="AA343">
        <f t="shared" si="80"/>
        <v>54.067386150000011</v>
      </c>
      <c r="AB343">
        <f t="shared" si="81"/>
        <v>83.82676810724999</v>
      </c>
      <c r="AC343">
        <f t="shared" si="82"/>
        <v>234.94772411999998</v>
      </c>
      <c r="AD343">
        <f>LOOKUP($A343,'Over to underbark'!$A$47:$A$48,'Over to underbark'!E$47:E$48)*Z343</f>
        <v>94.874691081554985</v>
      </c>
      <c r="AE343">
        <f>LOOKUP($A343,'Over to underbark'!$A$47:$A$48,'Over to underbark'!E$47:E$48)*AA343</f>
        <v>22.708302183000004</v>
      </c>
      <c r="AF343">
        <f>LOOKUP($A343,'Over to underbark'!$A$47:$A$48,'Over to underbark'!E$47:E$48)*AB343</f>
        <v>35.207242605044996</v>
      </c>
      <c r="AG343">
        <f>LOOKUP($A343,'Over to underbark'!$A$47:$A$48,'Over to underbark'!E$47:E$48)*AC343</f>
        <v>98.678044130399982</v>
      </c>
      <c r="AH343" t="b">
        <f t="shared" si="83"/>
        <v>1</v>
      </c>
      <c r="AI343" t="b">
        <f t="shared" si="84"/>
        <v>1</v>
      </c>
      <c r="AJ343">
        <f>LOOKUP(A343,'Over to underbark'!$A$47:$A$48,'Over to underbark'!E$47:E$48)*M343</f>
        <v>279.4092</v>
      </c>
      <c r="AK343" s="22">
        <f>LOOKUP(A343,'Over to underbark'!$A$47:$A$48,'Over to underbark'!$B$47:$B$48)*AJ343</f>
        <v>94.999128000000013</v>
      </c>
      <c r="AL343" s="22">
        <f>LOOKUP(A343,'Over to underbark'!$A$47:$A$48,'Over to underbark'!C$47:C$48)*AJ343</f>
        <v>97.793219999999991</v>
      </c>
      <c r="AM343" s="22">
        <f t="shared" si="85"/>
        <v>374.40832799999998</v>
      </c>
      <c r="AN343" s="36">
        <v>1092.5999999999999</v>
      </c>
      <c r="AO343" s="23">
        <f t="shared" si="86"/>
        <v>748.81665599999997</v>
      </c>
      <c r="AQ343">
        <f t="shared" si="87"/>
        <v>0.67164179104477617</v>
      </c>
    </row>
    <row r="344" spans="1:43" x14ac:dyDescent="0.35">
      <c r="A344" t="s">
        <v>41</v>
      </c>
      <c r="B344">
        <v>12</v>
      </c>
      <c r="C344">
        <v>2</v>
      </c>
      <c r="D344" t="s">
        <v>42</v>
      </c>
      <c r="E344">
        <v>2</v>
      </c>
      <c r="F344">
        <v>1</v>
      </c>
      <c r="G344" s="30">
        <v>66</v>
      </c>
      <c r="H344" s="30">
        <v>24.106000000000002</v>
      </c>
      <c r="I344" s="30">
        <v>893</v>
      </c>
      <c r="J344" s="30">
        <v>31.355</v>
      </c>
      <c r="K344" s="30">
        <v>68.965000000000003</v>
      </c>
      <c r="L344" s="30">
        <v>0.75600000000000001</v>
      </c>
      <c r="M344" s="32">
        <v>675.52</v>
      </c>
      <c r="N344" s="30">
        <v>11.722</v>
      </c>
      <c r="O344" s="29">
        <v>10.234999999999999</v>
      </c>
      <c r="P344" s="31">
        <v>66</v>
      </c>
      <c r="Q344" s="31">
        <v>31.355</v>
      </c>
      <c r="R344" s="31">
        <v>106.42700000000001</v>
      </c>
      <c r="S344" s="31">
        <v>569.09299999999996</v>
      </c>
      <c r="T344" s="10" t="b">
        <f t="shared" si="74"/>
        <v>1</v>
      </c>
      <c r="U344" s="10" t="b">
        <f t="shared" si="75"/>
        <v>1</v>
      </c>
      <c r="V344" s="11">
        <f>VLOOKUP(IF(J344&lt;10, 10, IF(J344&gt;50,50,J344)),'Over to underbark'!$A$3:$C$43,IF(A344="Scots pine",3,IF(A344="Sitka spruce",2, "error")),TRUE)/100</f>
        <v>0.85</v>
      </c>
      <c r="W344">
        <f t="shared" si="76"/>
        <v>81.416655000000006</v>
      </c>
      <c r="X344">
        <f t="shared" si="77"/>
        <v>435.35614499999991</v>
      </c>
      <c r="Y344">
        <f t="shared" si="78"/>
        <v>91.195200000000014</v>
      </c>
      <c r="Z344">
        <f t="shared" si="79"/>
        <v>228.74562457425</v>
      </c>
      <c r="AA344">
        <f t="shared" si="80"/>
        <v>54.553432050000012</v>
      </c>
      <c r="AB344">
        <f t="shared" si="81"/>
        <v>84.352351335749987</v>
      </c>
      <c r="AC344">
        <f t="shared" si="82"/>
        <v>240.31659203999996</v>
      </c>
      <c r="AD344">
        <f>LOOKUP($A344,'Over to underbark'!$A$47:$A$48,'Over to underbark'!E$47:E$48)*Z344</f>
        <v>96.073162321184995</v>
      </c>
      <c r="AE344">
        <f>LOOKUP($A344,'Over to underbark'!$A$47:$A$48,'Over to underbark'!E$47:E$48)*AA344</f>
        <v>22.912441461000004</v>
      </c>
      <c r="AF344">
        <f>LOOKUP($A344,'Over to underbark'!$A$47:$A$48,'Over to underbark'!E$47:E$48)*AB344</f>
        <v>35.427987561014994</v>
      </c>
      <c r="AG344">
        <f>LOOKUP($A344,'Over to underbark'!$A$47:$A$48,'Over to underbark'!E$47:E$48)*AC344</f>
        <v>100.93296865679999</v>
      </c>
      <c r="AH344" t="b">
        <f t="shared" si="83"/>
        <v>1</v>
      </c>
      <c r="AI344" t="b">
        <f t="shared" si="84"/>
        <v>1</v>
      </c>
      <c r="AJ344">
        <f>LOOKUP(A344,'Over to underbark'!$A$47:$A$48,'Over to underbark'!E$47:E$48)*M344</f>
        <v>283.71839999999997</v>
      </c>
      <c r="AK344" s="22">
        <f>LOOKUP(A344,'Over to underbark'!$A$47:$A$48,'Over to underbark'!$B$47:$B$48)*AJ344</f>
        <v>96.464255999999992</v>
      </c>
      <c r="AL344" s="22">
        <f>LOOKUP(A344,'Over to underbark'!$A$47:$A$48,'Over to underbark'!C$47:C$48)*AJ344</f>
        <v>99.301439999999985</v>
      </c>
      <c r="AM344" s="22">
        <f t="shared" si="85"/>
        <v>380.18265599999995</v>
      </c>
      <c r="AN344" s="36">
        <v>1093.5999999999999</v>
      </c>
      <c r="AO344" s="23">
        <f t="shared" si="86"/>
        <v>760.3653119999999</v>
      </c>
      <c r="AQ344">
        <f t="shared" si="87"/>
        <v>0.67164179104477606</v>
      </c>
    </row>
    <row r="345" spans="1:43" x14ac:dyDescent="0.35">
      <c r="A345" t="s">
        <v>41</v>
      </c>
      <c r="B345">
        <v>12</v>
      </c>
      <c r="C345">
        <v>2</v>
      </c>
      <c r="D345" t="s">
        <v>42</v>
      </c>
      <c r="E345">
        <v>2</v>
      </c>
      <c r="F345">
        <v>1</v>
      </c>
      <c r="G345" s="30">
        <v>67</v>
      </c>
      <c r="H345" s="30">
        <v>24.303999999999998</v>
      </c>
      <c r="I345" s="30">
        <v>883</v>
      </c>
      <c r="J345" s="30">
        <v>31.669</v>
      </c>
      <c r="K345" s="30">
        <v>69.527000000000001</v>
      </c>
      <c r="L345" s="30">
        <v>0.77700000000000002</v>
      </c>
      <c r="M345" s="32">
        <v>685.78</v>
      </c>
      <c r="N345" s="30">
        <v>11.805999999999999</v>
      </c>
      <c r="O345" s="29">
        <v>10.236000000000001</v>
      </c>
      <c r="P345" s="31">
        <v>67</v>
      </c>
      <c r="Q345" s="31">
        <v>31.669</v>
      </c>
      <c r="R345" s="31">
        <v>103.929</v>
      </c>
      <c r="S345" s="31">
        <v>581.851</v>
      </c>
      <c r="T345" s="10" t="b">
        <f t="shared" si="74"/>
        <v>1</v>
      </c>
      <c r="U345" s="10" t="b">
        <f t="shared" si="75"/>
        <v>1</v>
      </c>
      <c r="V345" s="11">
        <f>VLOOKUP(IF(J345&lt;10, 10, IF(J345&gt;50,50,J345)),'Over to underbark'!$A$3:$C$43,IF(A345="Scots pine",3,IF(A345="Sitka spruce",2, "error")),TRUE)/100</f>
        <v>0.85</v>
      </c>
      <c r="W345">
        <f t="shared" si="76"/>
        <v>79.505685</v>
      </c>
      <c r="X345">
        <f t="shared" si="77"/>
        <v>445.11601499999995</v>
      </c>
      <c r="Y345">
        <f t="shared" si="78"/>
        <v>92.580300000000008</v>
      </c>
      <c r="Z345">
        <f t="shared" si="79"/>
        <v>231.59241740474999</v>
      </c>
      <c r="AA345">
        <f t="shared" si="80"/>
        <v>55.035775350000002</v>
      </c>
      <c r="AB345">
        <f t="shared" si="81"/>
        <v>84.869766965249994</v>
      </c>
      <c r="AC345">
        <f t="shared" si="82"/>
        <v>245.70404027999996</v>
      </c>
      <c r="AD345">
        <f>LOOKUP($A345,'Over to underbark'!$A$47:$A$48,'Over to underbark'!E$47:E$48)*Z345</f>
        <v>97.268815309994991</v>
      </c>
      <c r="AE345">
        <f>LOOKUP($A345,'Over to underbark'!$A$47:$A$48,'Over to underbark'!E$47:E$48)*AA345</f>
        <v>23.115025647</v>
      </c>
      <c r="AF345">
        <f>LOOKUP($A345,'Over to underbark'!$A$47:$A$48,'Over to underbark'!E$47:E$48)*AB345</f>
        <v>35.645302125404996</v>
      </c>
      <c r="AG345">
        <f>LOOKUP($A345,'Over to underbark'!$A$47:$A$48,'Over to underbark'!E$47:E$48)*AC345</f>
        <v>103.19569691759997</v>
      </c>
      <c r="AH345" t="b">
        <f t="shared" si="83"/>
        <v>1</v>
      </c>
      <c r="AI345" t="b">
        <f t="shared" si="84"/>
        <v>1</v>
      </c>
      <c r="AJ345">
        <f>LOOKUP(A345,'Over to underbark'!$A$47:$A$48,'Over to underbark'!E$47:E$48)*M345</f>
        <v>288.02759999999995</v>
      </c>
      <c r="AK345" s="22">
        <f>LOOKUP(A345,'Over to underbark'!$A$47:$A$48,'Over to underbark'!$B$47:$B$48)*AJ345</f>
        <v>97.929383999999985</v>
      </c>
      <c r="AL345" s="22">
        <f>LOOKUP(A345,'Over to underbark'!$A$47:$A$48,'Over to underbark'!C$47:C$48)*AJ345</f>
        <v>100.80965999999998</v>
      </c>
      <c r="AM345" s="22">
        <f t="shared" si="85"/>
        <v>385.95698399999992</v>
      </c>
      <c r="AN345" s="36">
        <v>1094.5999999999999</v>
      </c>
      <c r="AO345" s="23">
        <f t="shared" si="86"/>
        <v>771.91396799999984</v>
      </c>
      <c r="AQ345">
        <f t="shared" si="87"/>
        <v>0.67164179104477617</v>
      </c>
    </row>
    <row r="346" spans="1:43" x14ac:dyDescent="0.35">
      <c r="A346" t="s">
        <v>41</v>
      </c>
      <c r="B346">
        <v>12</v>
      </c>
      <c r="C346">
        <v>2</v>
      </c>
      <c r="D346" t="s">
        <v>42</v>
      </c>
      <c r="E346">
        <v>2</v>
      </c>
      <c r="F346">
        <v>1</v>
      </c>
      <c r="G346" s="30">
        <v>68</v>
      </c>
      <c r="H346" s="30">
        <v>24.501999999999999</v>
      </c>
      <c r="I346" s="30">
        <v>872</v>
      </c>
      <c r="J346" s="30">
        <v>31.986999999999998</v>
      </c>
      <c r="K346" s="30">
        <v>70.088999999999999</v>
      </c>
      <c r="L346" s="30">
        <v>0.79800000000000004</v>
      </c>
      <c r="M346" s="32">
        <v>696.04</v>
      </c>
      <c r="N346" s="30">
        <v>11.887</v>
      </c>
      <c r="O346" s="29">
        <v>10.236000000000001</v>
      </c>
      <c r="P346" s="31">
        <v>68</v>
      </c>
      <c r="Q346" s="31">
        <v>31.986999999999998</v>
      </c>
      <c r="R346" s="31">
        <v>101.40600000000001</v>
      </c>
      <c r="S346" s="31">
        <v>594.63400000000001</v>
      </c>
      <c r="T346" s="10" t="b">
        <f t="shared" si="74"/>
        <v>1</v>
      </c>
      <c r="U346" s="10" t="b">
        <f t="shared" si="75"/>
        <v>1</v>
      </c>
      <c r="V346" s="11">
        <f>VLOOKUP(IF(J346&lt;10, 10, IF(J346&gt;50,50,J346)),'Over to underbark'!$A$3:$C$43,IF(A346="Scots pine",3,IF(A346="Sitka spruce",2, "error")),TRUE)/100</f>
        <v>0.85</v>
      </c>
      <c r="W346">
        <f t="shared" si="76"/>
        <v>77.575590000000005</v>
      </c>
      <c r="X346">
        <f t="shared" si="77"/>
        <v>454.89501000000001</v>
      </c>
      <c r="Y346">
        <f t="shared" si="78"/>
        <v>93.965400000000017</v>
      </c>
      <c r="Z346">
        <f t="shared" si="79"/>
        <v>234.43539766650002</v>
      </c>
      <c r="AA346">
        <f t="shared" si="80"/>
        <v>55.516014900000009</v>
      </c>
      <c r="AB346">
        <f t="shared" si="81"/>
        <v>85.382541913500006</v>
      </c>
      <c r="AC346">
        <f t="shared" si="82"/>
        <v>251.10204552000002</v>
      </c>
      <c r="AD346">
        <f>LOOKUP($A346,'Over to underbark'!$A$47:$A$48,'Over to underbark'!E$47:E$48)*Z346</f>
        <v>98.462867019930002</v>
      </c>
      <c r="AE346">
        <f>LOOKUP($A346,'Over to underbark'!$A$47:$A$48,'Over to underbark'!E$47:E$48)*AA346</f>
        <v>23.316726258000003</v>
      </c>
      <c r="AF346">
        <f>LOOKUP($A346,'Over to underbark'!$A$47:$A$48,'Over to underbark'!E$47:E$48)*AB346</f>
        <v>35.860667603670002</v>
      </c>
      <c r="AG346">
        <f>LOOKUP($A346,'Over to underbark'!$A$47:$A$48,'Over to underbark'!E$47:E$48)*AC346</f>
        <v>105.4628591184</v>
      </c>
      <c r="AH346" t="b">
        <f t="shared" si="83"/>
        <v>1</v>
      </c>
      <c r="AI346" t="b">
        <f t="shared" si="84"/>
        <v>1</v>
      </c>
      <c r="AJ346">
        <f>LOOKUP(A346,'Over to underbark'!$A$47:$A$48,'Over to underbark'!E$47:E$48)*M346</f>
        <v>292.33679999999998</v>
      </c>
      <c r="AK346" s="22">
        <f>LOOKUP(A346,'Over to underbark'!$A$47:$A$48,'Over to underbark'!$B$47:$B$48)*AJ346</f>
        <v>99.394512000000006</v>
      </c>
      <c r="AL346" s="22">
        <f>LOOKUP(A346,'Over to underbark'!$A$47:$A$48,'Over to underbark'!C$47:C$48)*AJ346</f>
        <v>102.31787999999999</v>
      </c>
      <c r="AM346" s="22">
        <f t="shared" si="85"/>
        <v>391.731312</v>
      </c>
      <c r="AN346" s="36">
        <v>1095.5999999999999</v>
      </c>
      <c r="AO346" s="23">
        <f t="shared" si="86"/>
        <v>783.46262400000001</v>
      </c>
      <c r="AQ346">
        <f t="shared" si="87"/>
        <v>0.67164179104477606</v>
      </c>
    </row>
    <row r="347" spans="1:43" x14ac:dyDescent="0.35">
      <c r="A347" t="s">
        <v>41</v>
      </c>
      <c r="B347">
        <v>12</v>
      </c>
      <c r="C347">
        <v>2</v>
      </c>
      <c r="D347" t="s">
        <v>42</v>
      </c>
      <c r="E347">
        <v>2</v>
      </c>
      <c r="F347">
        <v>1</v>
      </c>
      <c r="G347" s="30">
        <v>69</v>
      </c>
      <c r="H347" s="30">
        <v>24.7</v>
      </c>
      <c r="I347" s="30">
        <v>862</v>
      </c>
      <c r="J347" s="30">
        <v>32.31</v>
      </c>
      <c r="K347" s="30">
        <v>70.650999999999996</v>
      </c>
      <c r="L347" s="30">
        <v>0.82</v>
      </c>
      <c r="M347" s="32">
        <v>706.3</v>
      </c>
      <c r="N347" s="30">
        <v>11.965999999999999</v>
      </c>
      <c r="O347" s="29">
        <v>10.236000000000001</v>
      </c>
      <c r="P347" s="31">
        <v>69</v>
      </c>
      <c r="Q347" s="31">
        <v>32.31</v>
      </c>
      <c r="R347" s="31">
        <v>98.850999999999999</v>
      </c>
      <c r="S347" s="31">
        <v>607.44899999999996</v>
      </c>
      <c r="T347" s="10" t="b">
        <f t="shared" si="74"/>
        <v>1</v>
      </c>
      <c r="U347" s="10" t="b">
        <f t="shared" si="75"/>
        <v>1</v>
      </c>
      <c r="V347" s="11">
        <f>VLOOKUP(IF(J347&lt;10, 10, IF(J347&gt;50,50,J347)),'Over to underbark'!$A$3:$C$43,IF(A347="Scots pine",3,IF(A347="Sitka spruce",2, "error")),TRUE)/100</f>
        <v>0.85</v>
      </c>
      <c r="W347">
        <f t="shared" si="76"/>
        <v>75.621015</v>
      </c>
      <c r="X347">
        <f t="shared" si="77"/>
        <v>464.69848499999995</v>
      </c>
      <c r="Y347">
        <f t="shared" si="78"/>
        <v>95.350500000000011</v>
      </c>
      <c r="Z347">
        <f t="shared" si="79"/>
        <v>237.27349784024997</v>
      </c>
      <c r="AA347">
        <f t="shared" si="80"/>
        <v>55.993561650000004</v>
      </c>
      <c r="AB347">
        <f t="shared" si="81"/>
        <v>85.889376789749988</v>
      </c>
      <c r="AC347">
        <f t="shared" si="82"/>
        <v>256.51356371999998</v>
      </c>
      <c r="AD347">
        <f>LOOKUP($A347,'Over to underbark'!$A$47:$A$48,'Over to underbark'!E$47:E$48)*Z347</f>
        <v>99.654869092904988</v>
      </c>
      <c r="AE347">
        <f>LOOKUP($A347,'Over to underbark'!$A$47:$A$48,'Over to underbark'!E$47:E$48)*AA347</f>
        <v>23.517295893</v>
      </c>
      <c r="AF347">
        <f>LOOKUP($A347,'Over to underbark'!$A$47:$A$48,'Over to underbark'!E$47:E$48)*AB347</f>
        <v>36.073538251694991</v>
      </c>
      <c r="AG347">
        <f>LOOKUP($A347,'Over to underbark'!$A$47:$A$48,'Over to underbark'!E$47:E$48)*AC347</f>
        <v>107.73569676239998</v>
      </c>
      <c r="AH347" t="b">
        <f t="shared" si="83"/>
        <v>1</v>
      </c>
      <c r="AI347" t="b">
        <f t="shared" si="84"/>
        <v>1</v>
      </c>
      <c r="AJ347">
        <f>LOOKUP(A347,'Over to underbark'!$A$47:$A$48,'Over to underbark'!E$47:E$48)*M347</f>
        <v>296.64599999999996</v>
      </c>
      <c r="AK347" s="22">
        <f>LOOKUP(A347,'Over to underbark'!$A$47:$A$48,'Over to underbark'!$B$47:$B$48)*AJ347</f>
        <v>100.85964</v>
      </c>
      <c r="AL347" s="22">
        <f>LOOKUP(A347,'Over to underbark'!$A$47:$A$48,'Over to underbark'!C$47:C$48)*AJ347</f>
        <v>103.82609999999998</v>
      </c>
      <c r="AM347" s="22">
        <f t="shared" si="85"/>
        <v>397.50563999999997</v>
      </c>
      <c r="AN347" s="36">
        <v>1096.5999999999999</v>
      </c>
      <c r="AO347" s="23">
        <f t="shared" si="86"/>
        <v>795.01127999999994</v>
      </c>
      <c r="AQ347">
        <f t="shared" si="87"/>
        <v>0.67164179104477606</v>
      </c>
    </row>
    <row r="348" spans="1:43" x14ac:dyDescent="0.35">
      <c r="A348" t="s">
        <v>41</v>
      </c>
      <c r="B348">
        <v>12</v>
      </c>
      <c r="C348">
        <v>2</v>
      </c>
      <c r="D348" t="s">
        <v>42</v>
      </c>
      <c r="E348">
        <v>2</v>
      </c>
      <c r="F348">
        <v>1</v>
      </c>
      <c r="G348" s="30">
        <v>70</v>
      </c>
      <c r="H348" s="30">
        <v>24.876000000000001</v>
      </c>
      <c r="I348" s="30">
        <v>853</v>
      </c>
      <c r="J348" s="30">
        <v>32.588999999999999</v>
      </c>
      <c r="K348" s="30">
        <v>71.17</v>
      </c>
      <c r="L348" s="30">
        <v>0.83899999999999997</v>
      </c>
      <c r="M348" s="32">
        <v>715.9</v>
      </c>
      <c r="N348" s="30">
        <v>12.016999999999999</v>
      </c>
      <c r="O348" s="29">
        <v>10.227</v>
      </c>
      <c r="P348" s="31">
        <v>70</v>
      </c>
      <c r="Q348" s="31">
        <v>32.588999999999999</v>
      </c>
      <c r="R348" s="31">
        <v>96.771000000000001</v>
      </c>
      <c r="S348" s="31">
        <v>619.12900000000002</v>
      </c>
      <c r="T348" s="10" t="b">
        <f t="shared" si="74"/>
        <v>1</v>
      </c>
      <c r="U348" s="10" t="b">
        <f t="shared" si="75"/>
        <v>1</v>
      </c>
      <c r="V348" s="11">
        <f>VLOOKUP(IF(J348&lt;10, 10, IF(J348&gt;50,50,J348)),'Over to underbark'!$A$3:$C$43,IF(A348="Scots pine",3,IF(A348="Sitka spruce",2, "error")),TRUE)/100</f>
        <v>0.85</v>
      </c>
      <c r="W348">
        <f t="shared" si="76"/>
        <v>74.029814999999999</v>
      </c>
      <c r="X348">
        <f t="shared" si="77"/>
        <v>473.63368499999996</v>
      </c>
      <c r="Y348">
        <f t="shared" si="78"/>
        <v>96.646500000000003</v>
      </c>
      <c r="Z348">
        <f t="shared" si="79"/>
        <v>239.97640412024998</v>
      </c>
      <c r="AA348">
        <f t="shared" si="80"/>
        <v>56.466529649999998</v>
      </c>
      <c r="AB348">
        <f t="shared" si="81"/>
        <v>86.421272109749992</v>
      </c>
      <c r="AC348">
        <f t="shared" si="82"/>
        <v>261.44579412000002</v>
      </c>
      <c r="AD348">
        <f>LOOKUP($A348,'Over to underbark'!$A$47:$A$48,'Over to underbark'!E$47:E$48)*Z348</f>
        <v>100.79008973050499</v>
      </c>
      <c r="AE348">
        <f>LOOKUP($A348,'Over to underbark'!$A$47:$A$48,'Over to underbark'!E$47:E$48)*AA348</f>
        <v>23.715942452999997</v>
      </c>
      <c r="AF348">
        <f>LOOKUP($A348,'Over to underbark'!$A$47:$A$48,'Over to underbark'!E$47:E$48)*AB348</f>
        <v>36.296934286094995</v>
      </c>
      <c r="AG348">
        <f>LOOKUP($A348,'Over to underbark'!$A$47:$A$48,'Over to underbark'!E$47:E$48)*AC348</f>
        <v>109.8072335304</v>
      </c>
      <c r="AH348" t="b">
        <f t="shared" si="83"/>
        <v>1</v>
      </c>
      <c r="AI348" t="b">
        <f t="shared" si="84"/>
        <v>1</v>
      </c>
      <c r="AJ348">
        <f>LOOKUP(A348,'Over to underbark'!$A$47:$A$48,'Over to underbark'!E$47:E$48)*M348</f>
        <v>300.678</v>
      </c>
      <c r="AK348" s="22">
        <f>LOOKUP(A348,'Over to underbark'!$A$47:$A$48,'Over to underbark'!$B$47:$B$48)*AJ348</f>
        <v>102.23052000000001</v>
      </c>
      <c r="AL348" s="22">
        <f>LOOKUP(A348,'Over to underbark'!$A$47:$A$48,'Over to underbark'!C$47:C$48)*AJ348</f>
        <v>105.23729999999999</v>
      </c>
      <c r="AM348" s="22">
        <f t="shared" si="85"/>
        <v>402.90852000000001</v>
      </c>
      <c r="AN348" s="36">
        <v>1097.5999999999999</v>
      </c>
      <c r="AO348" s="23">
        <f t="shared" si="86"/>
        <v>805.81704000000002</v>
      </c>
      <c r="AQ348">
        <f t="shared" si="87"/>
        <v>0.67164179104477606</v>
      </c>
    </row>
    <row r="349" spans="1:43" x14ac:dyDescent="0.35">
      <c r="A349" t="s">
        <v>41</v>
      </c>
      <c r="B349">
        <v>12</v>
      </c>
      <c r="C349">
        <v>2</v>
      </c>
      <c r="D349" t="s">
        <v>42</v>
      </c>
      <c r="E349">
        <v>2</v>
      </c>
      <c r="F349">
        <v>1</v>
      </c>
      <c r="G349" s="30">
        <v>71</v>
      </c>
      <c r="H349" s="30">
        <v>25.052</v>
      </c>
      <c r="I349" s="30">
        <v>845</v>
      </c>
      <c r="J349" s="30">
        <v>32.872</v>
      </c>
      <c r="K349" s="30">
        <v>71.688000000000002</v>
      </c>
      <c r="L349" s="30">
        <v>0.85899999999999999</v>
      </c>
      <c r="M349" s="32">
        <v>725.5</v>
      </c>
      <c r="N349" s="30">
        <v>12.067</v>
      </c>
      <c r="O349" s="29">
        <v>10.218</v>
      </c>
      <c r="P349" s="31">
        <v>71</v>
      </c>
      <c r="Q349" s="31">
        <v>32.872</v>
      </c>
      <c r="R349" s="31">
        <v>94.664000000000001</v>
      </c>
      <c r="S349" s="31">
        <v>630.83600000000001</v>
      </c>
      <c r="T349" s="10" t="b">
        <f t="shared" si="74"/>
        <v>1</v>
      </c>
      <c r="U349" s="10" t="b">
        <f t="shared" si="75"/>
        <v>1</v>
      </c>
      <c r="V349" s="11">
        <f>VLOOKUP(IF(J349&lt;10, 10, IF(J349&gt;50,50,J349)),'Over to underbark'!$A$3:$C$43,IF(A349="Scots pine",3,IF(A349="Sitka spruce",2, "error")),TRUE)/100</f>
        <v>0.85</v>
      </c>
      <c r="W349">
        <f t="shared" si="76"/>
        <v>72.417960000000008</v>
      </c>
      <c r="X349">
        <f t="shared" si="77"/>
        <v>482.58954000000006</v>
      </c>
      <c r="Y349">
        <f t="shared" si="78"/>
        <v>97.942500000000024</v>
      </c>
      <c r="Z349">
        <f t="shared" si="79"/>
        <v>242.67519282600003</v>
      </c>
      <c r="AA349">
        <f t="shared" si="80"/>
        <v>56.937225600000012</v>
      </c>
      <c r="AB349">
        <f t="shared" si="81"/>
        <v>86.948155494000005</v>
      </c>
      <c r="AC349">
        <f t="shared" si="82"/>
        <v>266.38942608000008</v>
      </c>
      <c r="AD349">
        <f>LOOKUP($A349,'Over to underbark'!$A$47:$A$48,'Over to underbark'!E$47:E$48)*Z349</f>
        <v>101.92358098692</v>
      </c>
      <c r="AE349">
        <f>LOOKUP($A349,'Over to underbark'!$A$47:$A$48,'Over to underbark'!E$47:E$48)*AA349</f>
        <v>23.913634752000004</v>
      </c>
      <c r="AF349">
        <f>LOOKUP($A349,'Over to underbark'!$A$47:$A$48,'Over to underbark'!E$47:E$48)*AB349</f>
        <v>36.518225307480002</v>
      </c>
      <c r="AG349">
        <f>LOOKUP($A349,'Over to underbark'!$A$47:$A$48,'Over to underbark'!E$47:E$48)*AC349</f>
        <v>111.88355895360003</v>
      </c>
      <c r="AH349" t="b">
        <f t="shared" si="83"/>
        <v>1</v>
      </c>
      <c r="AI349" t="b">
        <f t="shared" si="84"/>
        <v>1</v>
      </c>
      <c r="AJ349">
        <f>LOOKUP(A349,'Over to underbark'!$A$47:$A$48,'Over to underbark'!E$47:E$48)*M349</f>
        <v>304.70999999999998</v>
      </c>
      <c r="AK349" s="22">
        <f>LOOKUP(A349,'Over to underbark'!$A$47:$A$48,'Over to underbark'!$B$47:$B$48)*AJ349</f>
        <v>103.6014</v>
      </c>
      <c r="AL349" s="22">
        <f>LOOKUP(A349,'Over to underbark'!$A$47:$A$48,'Over to underbark'!C$47:C$48)*AJ349</f>
        <v>106.64849999999998</v>
      </c>
      <c r="AM349" s="22">
        <f t="shared" si="85"/>
        <v>408.31139999999999</v>
      </c>
      <c r="AN349" s="36">
        <v>1098.5999999999999</v>
      </c>
      <c r="AO349" s="23">
        <f t="shared" si="86"/>
        <v>816.62279999999998</v>
      </c>
      <c r="AQ349">
        <f t="shared" si="87"/>
        <v>0.67164179104477617</v>
      </c>
    </row>
    <row r="350" spans="1:43" x14ac:dyDescent="0.35">
      <c r="A350" t="s">
        <v>41</v>
      </c>
      <c r="B350">
        <v>12</v>
      </c>
      <c r="C350">
        <v>2</v>
      </c>
      <c r="D350" t="s">
        <v>42</v>
      </c>
      <c r="E350">
        <v>2</v>
      </c>
      <c r="F350">
        <v>1</v>
      </c>
      <c r="G350" s="30">
        <v>72</v>
      </c>
      <c r="H350" s="30">
        <v>25.228000000000002</v>
      </c>
      <c r="I350" s="30">
        <v>836</v>
      </c>
      <c r="J350" s="30">
        <v>33.158000000000001</v>
      </c>
      <c r="K350" s="30">
        <v>72.206999999999994</v>
      </c>
      <c r="L350" s="30">
        <v>0.879</v>
      </c>
      <c r="M350" s="32">
        <v>735.1</v>
      </c>
      <c r="N350" s="30">
        <v>12.116</v>
      </c>
      <c r="O350" s="29">
        <v>10.210000000000001</v>
      </c>
      <c r="P350" s="31">
        <v>72</v>
      </c>
      <c r="Q350" s="31">
        <v>33.158000000000001</v>
      </c>
      <c r="R350" s="31">
        <v>92.543999999999997</v>
      </c>
      <c r="S350" s="31">
        <v>642.55600000000004</v>
      </c>
      <c r="T350" s="10" t="b">
        <f t="shared" si="74"/>
        <v>1</v>
      </c>
      <c r="U350" s="10" t="b">
        <f t="shared" si="75"/>
        <v>1</v>
      </c>
      <c r="V350" s="11">
        <f>VLOOKUP(IF(J350&lt;10, 10, IF(J350&gt;50,50,J350)),'Over to underbark'!$A$3:$C$43,IF(A350="Scots pine",3,IF(A350="Sitka spruce",2, "error")),TRUE)/100</f>
        <v>0.85</v>
      </c>
      <c r="W350">
        <f t="shared" si="76"/>
        <v>70.796159999999986</v>
      </c>
      <c r="X350">
        <f t="shared" si="77"/>
        <v>491.55534000000006</v>
      </c>
      <c r="Y350">
        <f t="shared" si="78"/>
        <v>99.238500000000016</v>
      </c>
      <c r="Z350">
        <f t="shared" si="79"/>
        <v>245.37199899600003</v>
      </c>
      <c r="AA350">
        <f t="shared" si="80"/>
        <v>57.406827600000007</v>
      </c>
      <c r="AB350">
        <f t="shared" si="81"/>
        <v>87.472625724000011</v>
      </c>
      <c r="AC350">
        <f t="shared" si="82"/>
        <v>271.33854768000003</v>
      </c>
      <c r="AD350">
        <f>LOOKUP($A350,'Over to underbark'!$A$47:$A$48,'Over to underbark'!E$47:E$48)*Z350</f>
        <v>103.05623957832</v>
      </c>
      <c r="AE350">
        <f>LOOKUP($A350,'Over to underbark'!$A$47:$A$48,'Over to underbark'!E$47:E$48)*AA350</f>
        <v>24.110867592000002</v>
      </c>
      <c r="AF350">
        <f>LOOKUP($A350,'Over to underbark'!$A$47:$A$48,'Over to underbark'!E$47:E$48)*AB350</f>
        <v>36.738502804080007</v>
      </c>
      <c r="AG350">
        <f>LOOKUP($A350,'Over to underbark'!$A$47:$A$48,'Over to underbark'!E$47:E$48)*AC350</f>
        <v>113.96219002560001</v>
      </c>
      <c r="AH350" t="b">
        <f t="shared" si="83"/>
        <v>1</v>
      </c>
      <c r="AI350" t="b">
        <f t="shared" si="84"/>
        <v>1</v>
      </c>
      <c r="AJ350">
        <f>LOOKUP(A350,'Over to underbark'!$A$47:$A$48,'Over to underbark'!E$47:E$48)*M350</f>
        <v>308.74200000000002</v>
      </c>
      <c r="AK350" s="22">
        <f>LOOKUP(A350,'Over to underbark'!$A$47:$A$48,'Over to underbark'!$B$47:$B$48)*AJ350</f>
        <v>104.97228000000001</v>
      </c>
      <c r="AL350" s="22">
        <f>LOOKUP(A350,'Over to underbark'!$A$47:$A$48,'Over to underbark'!C$47:C$48)*AJ350</f>
        <v>108.05970000000001</v>
      </c>
      <c r="AM350" s="22">
        <f t="shared" si="85"/>
        <v>413.71428000000003</v>
      </c>
      <c r="AN350" s="36">
        <v>1099.5999999999999</v>
      </c>
      <c r="AO350" s="23">
        <f t="shared" si="86"/>
        <v>827.42856000000006</v>
      </c>
      <c r="AQ350">
        <f t="shared" si="87"/>
        <v>0.67164179104477617</v>
      </c>
    </row>
    <row r="351" spans="1:43" x14ac:dyDescent="0.35">
      <c r="A351" t="s">
        <v>41</v>
      </c>
      <c r="B351">
        <v>12</v>
      </c>
      <c r="C351">
        <v>2</v>
      </c>
      <c r="D351" t="s">
        <v>42</v>
      </c>
      <c r="E351">
        <v>2</v>
      </c>
      <c r="F351">
        <v>1</v>
      </c>
      <c r="G351" s="30">
        <v>73</v>
      </c>
      <c r="H351" s="30">
        <v>25.404</v>
      </c>
      <c r="I351" s="30">
        <v>828</v>
      </c>
      <c r="J351" s="30">
        <v>33.447000000000003</v>
      </c>
      <c r="K351" s="30">
        <v>72.724999999999994</v>
      </c>
      <c r="L351" s="30">
        <v>0.9</v>
      </c>
      <c r="M351" s="32">
        <v>744.7</v>
      </c>
      <c r="N351" s="30">
        <v>12.163</v>
      </c>
      <c r="O351" s="29">
        <v>10.201000000000001</v>
      </c>
      <c r="P351" s="31">
        <v>73</v>
      </c>
      <c r="Q351" s="31">
        <v>33.447000000000003</v>
      </c>
      <c r="R351" s="31">
        <v>90.415999999999997</v>
      </c>
      <c r="S351" s="31">
        <v>654.28399999999999</v>
      </c>
      <c r="T351" s="10" t="b">
        <f t="shared" si="74"/>
        <v>1</v>
      </c>
      <c r="U351" s="10" t="b">
        <f t="shared" si="75"/>
        <v>1</v>
      </c>
      <c r="V351" s="11">
        <f>VLOOKUP(IF(J351&lt;10, 10, IF(J351&gt;50,50,J351)),'Over to underbark'!$A$3:$C$43,IF(A351="Scots pine",3,IF(A351="Sitka spruce",2, "error")),TRUE)/100</f>
        <v>0.85</v>
      </c>
      <c r="W351">
        <f t="shared" si="76"/>
        <v>69.168239999999997</v>
      </c>
      <c r="X351">
        <f t="shared" si="77"/>
        <v>500.52725999999996</v>
      </c>
      <c r="Y351">
        <f t="shared" si="78"/>
        <v>100.53450000000002</v>
      </c>
      <c r="Z351">
        <f t="shared" si="79"/>
        <v>248.06758514399999</v>
      </c>
      <c r="AA351">
        <f t="shared" si="80"/>
        <v>57.875756400000014</v>
      </c>
      <c r="AB351">
        <f t="shared" si="81"/>
        <v>87.995610935999991</v>
      </c>
      <c r="AC351">
        <f t="shared" si="82"/>
        <v>276.29104752000001</v>
      </c>
      <c r="AD351">
        <f>LOOKUP($A351,'Over to underbark'!$A$47:$A$48,'Over to underbark'!E$47:E$48)*Z351</f>
        <v>104.18838576047999</v>
      </c>
      <c r="AE351">
        <f>LOOKUP($A351,'Over to underbark'!$A$47:$A$48,'Over to underbark'!E$47:E$48)*AA351</f>
        <v>24.307817688000004</v>
      </c>
      <c r="AF351">
        <f>LOOKUP($A351,'Over to underbark'!$A$47:$A$48,'Over to underbark'!E$47:E$48)*AB351</f>
        <v>36.958156593119995</v>
      </c>
      <c r="AG351">
        <f>LOOKUP($A351,'Over to underbark'!$A$47:$A$48,'Over to underbark'!E$47:E$48)*AC351</f>
        <v>116.0422399584</v>
      </c>
      <c r="AH351" t="b">
        <f t="shared" si="83"/>
        <v>1</v>
      </c>
      <c r="AI351" t="b">
        <f t="shared" si="84"/>
        <v>1</v>
      </c>
      <c r="AJ351">
        <f>LOOKUP(A351,'Over to underbark'!$A$47:$A$48,'Over to underbark'!E$47:E$48)*M351</f>
        <v>312.774</v>
      </c>
      <c r="AK351" s="22">
        <f>LOOKUP(A351,'Over to underbark'!$A$47:$A$48,'Over to underbark'!$B$47:$B$48)*AJ351</f>
        <v>106.34316000000001</v>
      </c>
      <c r="AL351" s="22">
        <f>LOOKUP(A351,'Over to underbark'!$A$47:$A$48,'Over to underbark'!C$47:C$48)*AJ351</f>
        <v>109.4709</v>
      </c>
      <c r="AM351" s="22">
        <f t="shared" si="85"/>
        <v>419.11716000000001</v>
      </c>
      <c r="AN351" s="36">
        <v>1100.5999999999999</v>
      </c>
      <c r="AO351" s="23">
        <f t="shared" si="86"/>
        <v>838.23432000000003</v>
      </c>
      <c r="AQ351">
        <f t="shared" si="87"/>
        <v>0.67164179104477606</v>
      </c>
    </row>
    <row r="352" spans="1:43" x14ac:dyDescent="0.35">
      <c r="A352" t="s">
        <v>41</v>
      </c>
      <c r="B352">
        <v>12</v>
      </c>
      <c r="C352">
        <v>2</v>
      </c>
      <c r="D352" t="s">
        <v>42</v>
      </c>
      <c r="E352">
        <v>2</v>
      </c>
      <c r="F352">
        <v>1</v>
      </c>
      <c r="G352" s="30">
        <v>74</v>
      </c>
      <c r="H352" s="30">
        <v>25.58</v>
      </c>
      <c r="I352" s="30">
        <v>819</v>
      </c>
      <c r="J352" s="30">
        <v>33.74</v>
      </c>
      <c r="K352" s="30">
        <v>73.244</v>
      </c>
      <c r="L352" s="30">
        <v>0.92100000000000004</v>
      </c>
      <c r="M352" s="32">
        <v>754.3</v>
      </c>
      <c r="N352" s="30">
        <v>12.209</v>
      </c>
      <c r="O352" s="29">
        <v>10.193</v>
      </c>
      <c r="P352" s="31">
        <v>74</v>
      </c>
      <c r="Q352" s="31">
        <v>33.74</v>
      </c>
      <c r="R352" s="31">
        <v>88.272000000000006</v>
      </c>
      <c r="S352" s="31">
        <v>666.02800000000002</v>
      </c>
      <c r="T352" s="10" t="b">
        <f t="shared" si="74"/>
        <v>1</v>
      </c>
      <c r="U352" s="10" t="b">
        <f t="shared" si="75"/>
        <v>1</v>
      </c>
      <c r="V352" s="11">
        <f>VLOOKUP(IF(J352&lt;10, 10, IF(J352&gt;50,50,J352)),'Over to underbark'!$A$3:$C$43,IF(A352="Scots pine",3,IF(A352="Sitka spruce",2, "error")),TRUE)/100</f>
        <v>0.85</v>
      </c>
      <c r="W352">
        <f t="shared" si="76"/>
        <v>67.528080000000003</v>
      </c>
      <c r="X352">
        <f t="shared" si="77"/>
        <v>509.51141999999999</v>
      </c>
      <c r="Y352">
        <f t="shared" si="78"/>
        <v>101.83050000000003</v>
      </c>
      <c r="Z352">
        <f t="shared" si="79"/>
        <v>250.76073124800001</v>
      </c>
      <c r="AA352">
        <f t="shared" si="80"/>
        <v>58.343338800000012</v>
      </c>
      <c r="AB352">
        <f t="shared" si="81"/>
        <v>88.515626112000007</v>
      </c>
      <c r="AC352">
        <f t="shared" si="82"/>
        <v>281.25030383999996</v>
      </c>
      <c r="AD352">
        <f>LOOKUP($A352,'Over to underbark'!$A$47:$A$48,'Over to underbark'!E$47:E$48)*Z352</f>
        <v>105.31950712416</v>
      </c>
      <c r="AE352">
        <f>LOOKUP($A352,'Over to underbark'!$A$47:$A$48,'Over to underbark'!E$47:E$48)*AA352</f>
        <v>24.504202296000003</v>
      </c>
      <c r="AF352">
        <f>LOOKUP($A352,'Over to underbark'!$A$47:$A$48,'Over to underbark'!E$47:E$48)*AB352</f>
        <v>37.176562967039999</v>
      </c>
      <c r="AG352">
        <f>LOOKUP($A352,'Over to underbark'!$A$47:$A$48,'Over to underbark'!E$47:E$48)*AC352</f>
        <v>118.12512761279997</v>
      </c>
      <c r="AH352" t="b">
        <f t="shared" si="83"/>
        <v>1</v>
      </c>
      <c r="AI352" t="b">
        <f t="shared" si="84"/>
        <v>1</v>
      </c>
      <c r="AJ352">
        <f>LOOKUP(A352,'Over to underbark'!$A$47:$A$48,'Over to underbark'!E$47:E$48)*M352</f>
        <v>316.80599999999998</v>
      </c>
      <c r="AK352" s="22">
        <f>LOOKUP(A352,'Over to underbark'!$A$47:$A$48,'Over to underbark'!$B$47:$B$48)*AJ352</f>
        <v>107.71404</v>
      </c>
      <c r="AL352" s="22">
        <f>LOOKUP(A352,'Over to underbark'!$A$47:$A$48,'Over to underbark'!C$47:C$48)*AJ352</f>
        <v>110.88209999999999</v>
      </c>
      <c r="AM352" s="22">
        <f t="shared" si="85"/>
        <v>424.52003999999999</v>
      </c>
      <c r="AN352" s="36">
        <v>1101.5999999999999</v>
      </c>
      <c r="AO352" s="23">
        <f t="shared" si="86"/>
        <v>849.04007999999999</v>
      </c>
      <c r="AQ352">
        <f t="shared" si="87"/>
        <v>0.67164179104477617</v>
      </c>
    </row>
    <row r="353" spans="1:43" x14ac:dyDescent="0.35">
      <c r="A353" t="s">
        <v>41</v>
      </c>
      <c r="B353">
        <v>12</v>
      </c>
      <c r="C353">
        <v>2</v>
      </c>
      <c r="D353" t="s">
        <v>42</v>
      </c>
      <c r="E353">
        <v>2</v>
      </c>
      <c r="F353">
        <v>1</v>
      </c>
      <c r="G353" s="30">
        <v>75</v>
      </c>
      <c r="H353" s="30">
        <v>25.738</v>
      </c>
      <c r="I353" s="30">
        <v>812</v>
      </c>
      <c r="J353" s="30">
        <v>33.994999999999997</v>
      </c>
      <c r="K353" s="30">
        <v>73.722999999999999</v>
      </c>
      <c r="L353" s="30">
        <v>0.94</v>
      </c>
      <c r="M353" s="32">
        <v>763.22</v>
      </c>
      <c r="N353" s="30">
        <v>12.237</v>
      </c>
      <c r="O353" s="29">
        <v>10.176</v>
      </c>
      <c r="P353" s="31">
        <v>75</v>
      </c>
      <c r="Q353" s="31">
        <v>33.994999999999997</v>
      </c>
      <c r="R353" s="31">
        <v>86.495000000000005</v>
      </c>
      <c r="S353" s="31">
        <v>676.72500000000002</v>
      </c>
      <c r="T353" s="10" t="b">
        <f t="shared" si="74"/>
        <v>1</v>
      </c>
      <c r="U353" s="10" t="b">
        <f t="shared" si="75"/>
        <v>1</v>
      </c>
      <c r="V353" s="11">
        <f>VLOOKUP(IF(J353&lt;10, 10, IF(J353&gt;50,50,J353)),'Over to underbark'!$A$3:$C$43,IF(A353="Scots pine",3,IF(A353="Sitka spruce",2, "error")),TRUE)/100</f>
        <v>0.85</v>
      </c>
      <c r="W353">
        <f t="shared" si="76"/>
        <v>66.168674999999993</v>
      </c>
      <c r="X353">
        <f t="shared" si="77"/>
        <v>517.69462499999997</v>
      </c>
      <c r="Y353">
        <f t="shared" si="78"/>
        <v>103.03470000000002</v>
      </c>
      <c r="Z353">
        <f t="shared" si="79"/>
        <v>253.29592126125002</v>
      </c>
      <c r="AA353">
        <f t="shared" si="80"/>
        <v>58.795904250000007</v>
      </c>
      <c r="AB353">
        <f t="shared" si="81"/>
        <v>89.038741488749992</v>
      </c>
      <c r="AC353">
        <f t="shared" si="82"/>
        <v>285.76743299999998</v>
      </c>
      <c r="AD353">
        <f>LOOKUP($A353,'Over to underbark'!$A$47:$A$48,'Over to underbark'!E$47:E$48)*Z353</f>
        <v>106.38428692972501</v>
      </c>
      <c r="AE353">
        <f>LOOKUP($A353,'Over to underbark'!$A$47:$A$48,'Over to underbark'!E$47:E$48)*AA353</f>
        <v>24.694279785000003</v>
      </c>
      <c r="AF353">
        <f>LOOKUP($A353,'Over to underbark'!$A$47:$A$48,'Over to underbark'!E$47:E$48)*AB353</f>
        <v>37.396271425274996</v>
      </c>
      <c r="AG353">
        <f>LOOKUP($A353,'Over to underbark'!$A$47:$A$48,'Over to underbark'!E$47:E$48)*AC353</f>
        <v>120.02232185999999</v>
      </c>
      <c r="AH353" t="b">
        <f t="shared" si="83"/>
        <v>1</v>
      </c>
      <c r="AI353" t="b">
        <f t="shared" si="84"/>
        <v>1</v>
      </c>
      <c r="AJ353">
        <f>LOOKUP(A353,'Over to underbark'!$A$47:$A$48,'Over to underbark'!E$47:E$48)*M353</f>
        <v>320.55239999999998</v>
      </c>
      <c r="AK353" s="22">
        <f>LOOKUP(A353,'Over to underbark'!$A$47:$A$48,'Over to underbark'!$B$47:$B$48)*AJ353</f>
        <v>108.987816</v>
      </c>
      <c r="AL353" s="22">
        <f>LOOKUP(A353,'Over to underbark'!$A$47:$A$48,'Over to underbark'!C$47:C$48)*AJ353</f>
        <v>112.19333999999998</v>
      </c>
      <c r="AM353" s="22">
        <f t="shared" si="85"/>
        <v>429.54021599999999</v>
      </c>
      <c r="AN353" s="36">
        <v>1102.5999999999999</v>
      </c>
      <c r="AO353" s="23">
        <f t="shared" si="86"/>
        <v>859.08043199999997</v>
      </c>
      <c r="AQ353">
        <f t="shared" si="87"/>
        <v>0.67164179104477617</v>
      </c>
    </row>
    <row r="354" spans="1:43" x14ac:dyDescent="0.35">
      <c r="A354" t="s">
        <v>41</v>
      </c>
      <c r="B354">
        <v>12</v>
      </c>
      <c r="C354">
        <v>2</v>
      </c>
      <c r="D354" t="s">
        <v>42</v>
      </c>
      <c r="E354">
        <v>2</v>
      </c>
      <c r="F354">
        <v>1</v>
      </c>
      <c r="G354" s="30">
        <v>76</v>
      </c>
      <c r="H354" s="30">
        <v>25.896000000000001</v>
      </c>
      <c r="I354" s="30">
        <v>805</v>
      </c>
      <c r="J354" s="30">
        <v>34.252000000000002</v>
      </c>
      <c r="K354" s="30">
        <v>74.201999999999998</v>
      </c>
      <c r="L354" s="30">
        <v>0.95899999999999996</v>
      </c>
      <c r="M354" s="32">
        <v>772.14</v>
      </c>
      <c r="N354" s="30">
        <v>12.265000000000001</v>
      </c>
      <c r="O354" s="29">
        <v>10.16</v>
      </c>
      <c r="P354" s="31">
        <v>76</v>
      </c>
      <c r="Q354" s="31">
        <v>34.252000000000002</v>
      </c>
      <c r="R354" s="31">
        <v>84.715999999999994</v>
      </c>
      <c r="S354" s="31">
        <v>687.42399999999998</v>
      </c>
      <c r="T354" s="10" t="b">
        <f t="shared" si="74"/>
        <v>1</v>
      </c>
      <c r="U354" s="10" t="b">
        <f t="shared" si="75"/>
        <v>1</v>
      </c>
      <c r="V354" s="11">
        <f>VLOOKUP(IF(J354&lt;10, 10, IF(J354&gt;50,50,J354)),'Over to underbark'!$A$3:$C$43,IF(A354="Scots pine",3,IF(A354="Sitka spruce",2, "error")),TRUE)/100</f>
        <v>0.85</v>
      </c>
      <c r="W354">
        <f t="shared" si="76"/>
        <v>64.807739999999995</v>
      </c>
      <c r="X354">
        <f t="shared" si="77"/>
        <v>525.87936000000002</v>
      </c>
      <c r="Y354">
        <f t="shared" si="78"/>
        <v>104.23890000000002</v>
      </c>
      <c r="Z354">
        <f t="shared" si="79"/>
        <v>255.83080626899999</v>
      </c>
      <c r="AA354">
        <f t="shared" si="80"/>
        <v>59.24830140000001</v>
      </c>
      <c r="AB354">
        <f t="shared" si="81"/>
        <v>89.561485610999995</v>
      </c>
      <c r="AC354">
        <f t="shared" si="82"/>
        <v>290.28540672000003</v>
      </c>
      <c r="AD354">
        <f>LOOKUP($A354,'Over to underbark'!$A$47:$A$48,'Over to underbark'!E$47:E$48)*Z354</f>
        <v>107.44893863297999</v>
      </c>
      <c r="AE354">
        <f>LOOKUP($A354,'Over to underbark'!$A$47:$A$48,'Over to underbark'!E$47:E$48)*AA354</f>
        <v>24.884286588000002</v>
      </c>
      <c r="AF354">
        <f>LOOKUP($A354,'Over to underbark'!$A$47:$A$48,'Over to underbark'!E$47:E$48)*AB354</f>
        <v>37.615823956619998</v>
      </c>
      <c r="AG354">
        <f>LOOKUP($A354,'Over to underbark'!$A$47:$A$48,'Over to underbark'!E$47:E$48)*AC354</f>
        <v>121.9198708224</v>
      </c>
      <c r="AH354" t="b">
        <f t="shared" si="83"/>
        <v>1</v>
      </c>
      <c r="AI354" t="b">
        <f t="shared" si="84"/>
        <v>1</v>
      </c>
      <c r="AJ354">
        <f>LOOKUP(A354,'Over to underbark'!$A$47:$A$48,'Over to underbark'!E$47:E$48)*M354</f>
        <v>324.29879999999997</v>
      </c>
      <c r="AK354" s="22">
        <f>LOOKUP(A354,'Over to underbark'!$A$47:$A$48,'Over to underbark'!$B$47:$B$48)*AJ354</f>
        <v>110.26159199999999</v>
      </c>
      <c r="AL354" s="22">
        <f>LOOKUP(A354,'Over to underbark'!$A$47:$A$48,'Over to underbark'!C$47:C$48)*AJ354</f>
        <v>113.50457999999998</v>
      </c>
      <c r="AM354" s="22">
        <f t="shared" si="85"/>
        <v>434.56039199999998</v>
      </c>
      <c r="AN354" s="36">
        <v>1103.5999999999999</v>
      </c>
      <c r="AO354" s="23">
        <f t="shared" si="86"/>
        <v>869.12078399999996</v>
      </c>
      <c r="AQ354">
        <f t="shared" si="87"/>
        <v>0.67164179104477617</v>
      </c>
    </row>
    <row r="355" spans="1:43" x14ac:dyDescent="0.35">
      <c r="A355" t="s">
        <v>41</v>
      </c>
      <c r="B355">
        <v>12</v>
      </c>
      <c r="C355">
        <v>2</v>
      </c>
      <c r="D355" t="s">
        <v>42</v>
      </c>
      <c r="E355">
        <v>2</v>
      </c>
      <c r="F355">
        <v>1</v>
      </c>
      <c r="G355" s="30">
        <v>77</v>
      </c>
      <c r="H355" s="30">
        <v>26.053999999999998</v>
      </c>
      <c r="I355" s="30">
        <v>798</v>
      </c>
      <c r="J355" s="30">
        <v>34.512</v>
      </c>
      <c r="K355" s="30">
        <v>74.682000000000002</v>
      </c>
      <c r="L355" s="30">
        <v>0.97799999999999998</v>
      </c>
      <c r="M355" s="32">
        <v>781.06</v>
      </c>
      <c r="N355" s="30">
        <v>12.292</v>
      </c>
      <c r="O355" s="29">
        <v>10.144</v>
      </c>
      <c r="P355" s="31">
        <v>77</v>
      </c>
      <c r="Q355" s="31">
        <v>34.512</v>
      </c>
      <c r="R355" s="31">
        <v>82.927000000000007</v>
      </c>
      <c r="S355" s="31">
        <v>698.13300000000004</v>
      </c>
      <c r="T355" s="10" t="b">
        <f t="shared" si="74"/>
        <v>1</v>
      </c>
      <c r="U355" s="10" t="b">
        <f t="shared" si="75"/>
        <v>1</v>
      </c>
      <c r="V355" s="11">
        <f>VLOOKUP(IF(J355&lt;10, 10, IF(J355&gt;50,50,J355)),'Over to underbark'!$A$3:$C$43,IF(A355="Scots pine",3,IF(A355="Sitka spruce",2, "error")),TRUE)/100</f>
        <v>0.85</v>
      </c>
      <c r="W355">
        <f t="shared" si="76"/>
        <v>63.439155000000007</v>
      </c>
      <c r="X355">
        <f t="shared" si="77"/>
        <v>534.07174499999996</v>
      </c>
      <c r="Y355">
        <f t="shared" si="78"/>
        <v>105.44310000000003</v>
      </c>
      <c r="Z355">
        <f t="shared" si="79"/>
        <v>258.36416624925005</v>
      </c>
      <c r="AA355">
        <f t="shared" si="80"/>
        <v>59.699857050000013</v>
      </c>
      <c r="AB355">
        <f t="shared" si="81"/>
        <v>90.082373460749992</v>
      </c>
      <c r="AC355">
        <f t="shared" si="82"/>
        <v>294.80760323999999</v>
      </c>
      <c r="AD355">
        <f>LOOKUP($A355,'Over to underbark'!$A$47:$A$48,'Over to underbark'!E$47:E$48)*Z355</f>
        <v>108.51294982468501</v>
      </c>
      <c r="AE355">
        <f>LOOKUP($A355,'Over to underbark'!$A$47:$A$48,'Over to underbark'!E$47:E$48)*AA355</f>
        <v>25.073939961000004</v>
      </c>
      <c r="AF355">
        <f>LOOKUP($A355,'Over to underbark'!$A$47:$A$48,'Over to underbark'!E$47:E$48)*AB355</f>
        <v>37.834596853514995</v>
      </c>
      <c r="AG355">
        <f>LOOKUP($A355,'Over to underbark'!$A$47:$A$48,'Over to underbark'!E$47:E$48)*AC355</f>
        <v>123.81919336079999</v>
      </c>
      <c r="AH355" t="b">
        <f t="shared" si="83"/>
        <v>1</v>
      </c>
      <c r="AI355" t="b">
        <f t="shared" si="84"/>
        <v>1</v>
      </c>
      <c r="AJ355">
        <f>LOOKUP(A355,'Over to underbark'!$A$47:$A$48,'Over to underbark'!E$47:E$48)*M355</f>
        <v>328.04519999999997</v>
      </c>
      <c r="AK355" s="22">
        <f>LOOKUP(A355,'Over to underbark'!$A$47:$A$48,'Over to underbark'!$B$47:$B$48)*AJ355</f>
        <v>111.53536799999999</v>
      </c>
      <c r="AL355" s="22">
        <f>LOOKUP(A355,'Over to underbark'!$A$47:$A$48,'Over to underbark'!C$47:C$48)*AJ355</f>
        <v>114.81581999999997</v>
      </c>
      <c r="AM355" s="22">
        <f t="shared" si="85"/>
        <v>439.58056799999997</v>
      </c>
      <c r="AN355" s="36">
        <v>1104.5999999999999</v>
      </c>
      <c r="AO355" s="23">
        <f t="shared" si="86"/>
        <v>879.16113599999994</v>
      </c>
      <c r="AQ355">
        <f t="shared" si="87"/>
        <v>0.67164179104477617</v>
      </c>
    </row>
    <row r="356" spans="1:43" x14ac:dyDescent="0.35">
      <c r="A356" t="s">
        <v>41</v>
      </c>
      <c r="B356">
        <v>12</v>
      </c>
      <c r="C356">
        <v>2</v>
      </c>
      <c r="D356" t="s">
        <v>42</v>
      </c>
      <c r="E356">
        <v>2</v>
      </c>
      <c r="F356">
        <v>1</v>
      </c>
      <c r="G356" s="30">
        <v>78</v>
      </c>
      <c r="H356" s="30">
        <v>26.212</v>
      </c>
      <c r="I356" s="30">
        <v>791</v>
      </c>
      <c r="J356" s="30">
        <v>34.774999999999999</v>
      </c>
      <c r="K356" s="30">
        <v>75.161000000000001</v>
      </c>
      <c r="L356" s="30">
        <v>0.998</v>
      </c>
      <c r="M356" s="32">
        <v>789.98</v>
      </c>
      <c r="N356" s="30">
        <v>12.318</v>
      </c>
      <c r="O356" s="29">
        <v>10.128</v>
      </c>
      <c r="P356" s="31">
        <v>78</v>
      </c>
      <c r="Q356" s="31">
        <v>34.774999999999999</v>
      </c>
      <c r="R356" s="31">
        <v>81.131</v>
      </c>
      <c r="S356" s="31">
        <v>708.84900000000005</v>
      </c>
      <c r="T356" s="10" t="b">
        <f t="shared" si="74"/>
        <v>1</v>
      </c>
      <c r="U356" s="10" t="b">
        <f t="shared" si="75"/>
        <v>1</v>
      </c>
      <c r="V356" s="11">
        <f>VLOOKUP(IF(J356&lt;10, 10, IF(J356&gt;50,50,J356)),'Over to underbark'!$A$3:$C$43,IF(A356="Scots pine",3,IF(A356="Sitka spruce",2, "error")),TRUE)/100</f>
        <v>0.85</v>
      </c>
      <c r="W356">
        <f t="shared" si="76"/>
        <v>62.065214999999995</v>
      </c>
      <c r="X356">
        <f t="shared" si="77"/>
        <v>542.26948500000003</v>
      </c>
      <c r="Y356">
        <f t="shared" si="78"/>
        <v>106.64730000000003</v>
      </c>
      <c r="Z356">
        <f t="shared" si="79"/>
        <v>260.89645871024999</v>
      </c>
      <c r="AA356">
        <f t="shared" si="80"/>
        <v>60.150823650000014</v>
      </c>
      <c r="AB356">
        <f t="shared" si="81"/>
        <v>90.601961919749996</v>
      </c>
      <c r="AC356">
        <f t="shared" si="82"/>
        <v>299.33275572000002</v>
      </c>
      <c r="AD356">
        <f>LOOKUP($A356,'Over to underbark'!$A$47:$A$48,'Over to underbark'!E$47:E$48)*Z356</f>
        <v>109.57651265830499</v>
      </c>
      <c r="AE356">
        <f>LOOKUP($A356,'Over to underbark'!$A$47:$A$48,'Over to underbark'!E$47:E$48)*AA356</f>
        <v>25.263345933000004</v>
      </c>
      <c r="AF356">
        <f>LOOKUP($A356,'Over to underbark'!$A$47:$A$48,'Over to underbark'!E$47:E$48)*AB356</f>
        <v>38.052824006294998</v>
      </c>
      <c r="AG356">
        <f>LOOKUP($A356,'Over to underbark'!$A$47:$A$48,'Over to underbark'!E$47:E$48)*AC356</f>
        <v>125.71975740240001</v>
      </c>
      <c r="AH356" t="b">
        <f t="shared" si="83"/>
        <v>1</v>
      </c>
      <c r="AI356" t="b">
        <f t="shared" si="84"/>
        <v>1</v>
      </c>
      <c r="AJ356">
        <f>LOOKUP(A356,'Over to underbark'!$A$47:$A$48,'Over to underbark'!E$47:E$48)*M356</f>
        <v>331.79160000000002</v>
      </c>
      <c r="AK356" s="22">
        <f>LOOKUP(A356,'Over to underbark'!$A$47:$A$48,'Over to underbark'!$B$47:$B$48)*AJ356</f>
        <v>112.80914400000002</v>
      </c>
      <c r="AL356" s="22">
        <f>LOOKUP(A356,'Over to underbark'!$A$47:$A$48,'Over to underbark'!C$47:C$48)*AJ356</f>
        <v>116.12706</v>
      </c>
      <c r="AM356" s="22">
        <f t="shared" si="85"/>
        <v>444.60074400000002</v>
      </c>
      <c r="AN356" s="36">
        <v>1105.5999999999999</v>
      </c>
      <c r="AO356" s="23">
        <f t="shared" si="86"/>
        <v>889.20148800000004</v>
      </c>
      <c r="AQ356">
        <f t="shared" si="87"/>
        <v>0.67164179104477606</v>
      </c>
    </row>
    <row r="357" spans="1:43" x14ac:dyDescent="0.35">
      <c r="A357" t="s">
        <v>41</v>
      </c>
      <c r="B357">
        <v>12</v>
      </c>
      <c r="C357">
        <v>2</v>
      </c>
      <c r="D357" t="s">
        <v>42</v>
      </c>
      <c r="E357">
        <v>2</v>
      </c>
      <c r="F357">
        <v>1</v>
      </c>
      <c r="G357" s="30">
        <v>79</v>
      </c>
      <c r="H357" s="30">
        <v>26.37</v>
      </c>
      <c r="I357" s="30">
        <v>784</v>
      </c>
      <c r="J357" s="30">
        <v>35.04</v>
      </c>
      <c r="K357" s="30">
        <v>75.641000000000005</v>
      </c>
      <c r="L357" s="30">
        <v>1.018</v>
      </c>
      <c r="M357" s="32">
        <v>798.9</v>
      </c>
      <c r="N357" s="30">
        <v>12.343999999999999</v>
      </c>
      <c r="O357" s="29">
        <v>10.113</v>
      </c>
      <c r="P357" s="31">
        <v>79</v>
      </c>
      <c r="Q357" s="31">
        <v>35.04</v>
      </c>
      <c r="R357" s="31">
        <v>79.338999999999999</v>
      </c>
      <c r="S357" s="31">
        <v>719.56100000000004</v>
      </c>
      <c r="T357" s="10" t="b">
        <f t="shared" si="74"/>
        <v>1</v>
      </c>
      <c r="U357" s="10" t="b">
        <f t="shared" si="75"/>
        <v>1</v>
      </c>
      <c r="V357" s="11">
        <f>VLOOKUP(IF(J357&lt;10, 10, IF(J357&gt;50,50,J357)),'Over to underbark'!$A$3:$C$43,IF(A357="Scots pine",3,IF(A357="Sitka spruce",2, "error")),TRUE)/100</f>
        <v>0.85</v>
      </c>
      <c r="W357">
        <f t="shared" si="76"/>
        <v>60.694335000000002</v>
      </c>
      <c r="X357">
        <f t="shared" si="77"/>
        <v>550.46416499999998</v>
      </c>
      <c r="Y357">
        <f t="shared" si="78"/>
        <v>107.85150000000003</v>
      </c>
      <c r="Z357">
        <f t="shared" si="79"/>
        <v>263.42936118224998</v>
      </c>
      <c r="AA357">
        <f t="shared" si="80"/>
        <v>60.602126850000019</v>
      </c>
      <c r="AB357">
        <f t="shared" si="81"/>
        <v>91.122292887750007</v>
      </c>
      <c r="AC357">
        <f t="shared" si="82"/>
        <v>303.85621907999996</v>
      </c>
      <c r="AD357">
        <f>LOOKUP($A357,'Over to underbark'!$A$47:$A$48,'Over to underbark'!E$47:E$48)*Z357</f>
        <v>110.64033169654499</v>
      </c>
      <c r="AE357">
        <f>LOOKUP($A357,'Over to underbark'!$A$47:$A$48,'Over to underbark'!E$47:E$48)*AA357</f>
        <v>25.452893277000008</v>
      </c>
      <c r="AF357">
        <f>LOOKUP($A357,'Over to underbark'!$A$47:$A$48,'Over to underbark'!E$47:E$48)*AB357</f>
        <v>38.271363012854998</v>
      </c>
      <c r="AG357">
        <f>LOOKUP($A357,'Over to underbark'!$A$47:$A$48,'Over to underbark'!E$47:E$48)*AC357</f>
        <v>127.61961201359998</v>
      </c>
      <c r="AH357" t="b">
        <f t="shared" si="83"/>
        <v>1</v>
      </c>
      <c r="AI357" t="b">
        <f t="shared" si="84"/>
        <v>1</v>
      </c>
      <c r="AJ357">
        <f>LOOKUP(A357,'Over to underbark'!$A$47:$A$48,'Over to underbark'!E$47:E$48)*M357</f>
        <v>335.53799999999995</v>
      </c>
      <c r="AK357" s="22">
        <f>LOOKUP(A357,'Over to underbark'!$A$47:$A$48,'Over to underbark'!$B$47:$B$48)*AJ357</f>
        <v>114.08291999999999</v>
      </c>
      <c r="AL357" s="22">
        <f>LOOKUP(A357,'Over to underbark'!$A$47:$A$48,'Over to underbark'!C$47:C$48)*AJ357</f>
        <v>117.43829999999997</v>
      </c>
      <c r="AM357" s="22">
        <f t="shared" si="85"/>
        <v>449.62091999999996</v>
      </c>
      <c r="AN357" s="36">
        <v>1106.5999999999999</v>
      </c>
      <c r="AO357" s="23">
        <f t="shared" si="86"/>
        <v>899.24183999999991</v>
      </c>
      <c r="AQ357">
        <f t="shared" si="87"/>
        <v>0.67164179104477617</v>
      </c>
    </row>
    <row r="358" spans="1:43" x14ac:dyDescent="0.35">
      <c r="A358" t="s">
        <v>41</v>
      </c>
      <c r="B358">
        <v>12</v>
      </c>
      <c r="C358">
        <v>2</v>
      </c>
      <c r="D358" t="s">
        <v>42</v>
      </c>
      <c r="E358">
        <v>2</v>
      </c>
      <c r="F358">
        <v>1</v>
      </c>
      <c r="G358" s="30">
        <v>80</v>
      </c>
      <c r="H358" s="30">
        <v>26.51</v>
      </c>
      <c r="I358" s="30">
        <v>779</v>
      </c>
      <c r="J358" s="30">
        <v>35.265999999999998</v>
      </c>
      <c r="K358" s="30">
        <v>76.063999999999993</v>
      </c>
      <c r="L358" s="30">
        <v>1.036</v>
      </c>
      <c r="M358" s="32">
        <v>807.02</v>
      </c>
      <c r="N358" s="30">
        <v>12.356999999999999</v>
      </c>
      <c r="O358" s="29">
        <v>10.087999999999999</v>
      </c>
      <c r="P358" s="31">
        <v>80</v>
      </c>
      <c r="Q358" s="31">
        <v>35.265999999999998</v>
      </c>
      <c r="R358" s="31">
        <v>77.881</v>
      </c>
      <c r="S358" s="31">
        <v>729.13900000000001</v>
      </c>
      <c r="T358" s="10" t="b">
        <f t="shared" si="74"/>
        <v>1</v>
      </c>
      <c r="U358" s="10" t="b">
        <f t="shared" si="75"/>
        <v>1</v>
      </c>
      <c r="V358" s="11">
        <f>VLOOKUP(IF(J358&lt;10, 10, IF(J358&gt;50,50,J358)),'Over to underbark'!$A$3:$C$43,IF(A358="Scots pine",3,IF(A358="Sitka spruce",2, "error")),TRUE)/100</f>
        <v>0.85</v>
      </c>
      <c r="W358">
        <f t="shared" si="76"/>
        <v>59.578964999999997</v>
      </c>
      <c r="X358">
        <f t="shared" si="77"/>
        <v>557.791335</v>
      </c>
      <c r="Y358">
        <f t="shared" si="78"/>
        <v>108.94770000000001</v>
      </c>
      <c r="Z358">
        <f t="shared" si="79"/>
        <v>265.76152357274998</v>
      </c>
      <c r="AA358">
        <f t="shared" si="80"/>
        <v>61.027536150000003</v>
      </c>
      <c r="AB358">
        <f t="shared" si="81"/>
        <v>91.628123357250004</v>
      </c>
      <c r="AC358">
        <f t="shared" si="82"/>
        <v>307.90081692000001</v>
      </c>
      <c r="AD358">
        <f>LOOKUP($A358,'Over to underbark'!$A$47:$A$48,'Over to underbark'!E$47:E$48)*Z358</f>
        <v>111.61983990055499</v>
      </c>
      <c r="AE358">
        <f>LOOKUP($A358,'Over to underbark'!$A$47:$A$48,'Over to underbark'!E$47:E$48)*AA358</f>
        <v>25.631565182999999</v>
      </c>
      <c r="AF358">
        <f>LOOKUP($A358,'Over to underbark'!$A$47:$A$48,'Over to underbark'!E$47:E$48)*AB358</f>
        <v>38.483811810044998</v>
      </c>
      <c r="AG358">
        <f>LOOKUP($A358,'Over to underbark'!$A$47:$A$48,'Over to underbark'!E$47:E$48)*AC358</f>
        <v>129.31834310639999</v>
      </c>
      <c r="AH358" t="b">
        <f t="shared" si="83"/>
        <v>1</v>
      </c>
      <c r="AI358" t="b">
        <f t="shared" si="84"/>
        <v>1</v>
      </c>
      <c r="AJ358">
        <f>LOOKUP(A358,'Over to underbark'!$A$47:$A$48,'Over to underbark'!E$47:E$48)*M358</f>
        <v>338.94839999999999</v>
      </c>
      <c r="AK358" s="22">
        <f>LOOKUP(A358,'Over to underbark'!$A$47:$A$48,'Over to underbark'!$B$47:$B$48)*AJ358</f>
        <v>115.242456</v>
      </c>
      <c r="AL358" s="22">
        <f>LOOKUP(A358,'Over to underbark'!$A$47:$A$48,'Over to underbark'!C$47:C$48)*AJ358</f>
        <v>118.63193999999999</v>
      </c>
      <c r="AM358" s="22">
        <f t="shared" si="85"/>
        <v>454.190856</v>
      </c>
      <c r="AN358" s="36">
        <v>1107.5999999999999</v>
      </c>
      <c r="AO358" s="23">
        <f t="shared" si="86"/>
        <v>908.38171199999999</v>
      </c>
      <c r="AQ358">
        <f t="shared" si="87"/>
        <v>0.67164179104477617</v>
      </c>
    </row>
    <row r="359" spans="1:43" x14ac:dyDescent="0.35">
      <c r="A359" t="s">
        <v>41</v>
      </c>
      <c r="B359">
        <v>12</v>
      </c>
      <c r="C359">
        <v>2</v>
      </c>
      <c r="D359" t="s">
        <v>42</v>
      </c>
      <c r="E359">
        <v>2</v>
      </c>
      <c r="F359">
        <v>1</v>
      </c>
      <c r="G359" s="30">
        <v>81</v>
      </c>
      <c r="H359" s="30">
        <v>26.65</v>
      </c>
      <c r="I359" s="30">
        <v>773</v>
      </c>
      <c r="J359" s="30">
        <v>35.494</v>
      </c>
      <c r="K359" s="30">
        <v>76.486999999999995</v>
      </c>
      <c r="L359" s="30">
        <v>1.0549999999999999</v>
      </c>
      <c r="M359" s="32">
        <v>815.14</v>
      </c>
      <c r="N359" s="30">
        <v>12.369</v>
      </c>
      <c r="O359" s="29">
        <v>10.063000000000001</v>
      </c>
      <c r="P359" s="31">
        <v>81</v>
      </c>
      <c r="Q359" s="31">
        <v>35.494</v>
      </c>
      <c r="R359" s="31">
        <v>76.42</v>
      </c>
      <c r="S359" s="31">
        <v>738.72</v>
      </c>
      <c r="T359" s="10" t="b">
        <f t="shared" si="74"/>
        <v>1</v>
      </c>
      <c r="U359" s="10" t="b">
        <f t="shared" si="75"/>
        <v>1</v>
      </c>
      <c r="V359" s="11">
        <f>VLOOKUP(IF(J359&lt;10, 10, IF(J359&gt;50,50,J359)),'Over to underbark'!$A$3:$C$43,IF(A359="Scots pine",3,IF(A359="Sitka spruce",2, "error")),TRUE)/100</f>
        <v>0.85</v>
      </c>
      <c r="W359">
        <f t="shared" si="76"/>
        <v>58.461300000000001</v>
      </c>
      <c r="X359">
        <f t="shared" si="77"/>
        <v>565.12080000000003</v>
      </c>
      <c r="Y359">
        <f t="shared" si="78"/>
        <v>110.04390000000001</v>
      </c>
      <c r="Z359">
        <f t="shared" si="79"/>
        <v>268.09322845500003</v>
      </c>
      <c r="AA359">
        <f t="shared" si="80"/>
        <v>61.452693000000004</v>
      </c>
      <c r="AB359">
        <f t="shared" si="81"/>
        <v>92.133396945000001</v>
      </c>
      <c r="AC359">
        <f t="shared" si="82"/>
        <v>311.94668159999998</v>
      </c>
      <c r="AD359">
        <f>LOOKUP($A359,'Over to underbark'!$A$47:$A$48,'Over to underbark'!E$47:E$48)*Z359</f>
        <v>112.5991559511</v>
      </c>
      <c r="AE359">
        <f>LOOKUP($A359,'Over to underbark'!$A$47:$A$48,'Over to underbark'!E$47:E$48)*AA359</f>
        <v>25.81013106</v>
      </c>
      <c r="AF359">
        <f>LOOKUP($A359,'Over to underbark'!$A$47:$A$48,'Over to underbark'!E$47:E$48)*AB359</f>
        <v>38.696026716900001</v>
      </c>
      <c r="AG359">
        <f>LOOKUP($A359,'Over to underbark'!$A$47:$A$48,'Over to underbark'!E$47:E$48)*AC359</f>
        <v>131.01760627199999</v>
      </c>
      <c r="AH359" t="b">
        <f t="shared" si="83"/>
        <v>1</v>
      </c>
      <c r="AI359" t="b">
        <f t="shared" si="84"/>
        <v>1</v>
      </c>
      <c r="AJ359">
        <f>LOOKUP(A359,'Over to underbark'!$A$47:$A$48,'Over to underbark'!E$47:E$48)*M359</f>
        <v>342.35879999999997</v>
      </c>
      <c r="AK359" s="22">
        <f>LOOKUP(A359,'Over to underbark'!$A$47:$A$48,'Over to underbark'!$B$47:$B$48)*AJ359</f>
        <v>116.40199199999999</v>
      </c>
      <c r="AL359" s="22">
        <f>LOOKUP(A359,'Over to underbark'!$A$47:$A$48,'Over to underbark'!C$47:C$48)*AJ359</f>
        <v>119.82557999999999</v>
      </c>
      <c r="AM359" s="22">
        <f t="shared" si="85"/>
        <v>458.76079199999998</v>
      </c>
      <c r="AN359" s="36">
        <v>1108.5999999999999</v>
      </c>
      <c r="AO359" s="23">
        <f t="shared" si="86"/>
        <v>917.52158399999996</v>
      </c>
      <c r="AQ359">
        <f t="shared" si="87"/>
        <v>0.67164179104477617</v>
      </c>
    </row>
    <row r="360" spans="1:43" x14ac:dyDescent="0.35">
      <c r="A360" t="s">
        <v>41</v>
      </c>
      <c r="B360">
        <v>12</v>
      </c>
      <c r="C360">
        <v>2</v>
      </c>
      <c r="D360" t="s">
        <v>42</v>
      </c>
      <c r="E360">
        <v>2</v>
      </c>
      <c r="F360">
        <v>1</v>
      </c>
      <c r="G360" s="30">
        <v>82</v>
      </c>
      <c r="H360" s="30">
        <v>26.79</v>
      </c>
      <c r="I360" s="30">
        <v>767</v>
      </c>
      <c r="J360" s="30">
        <v>35.723999999999997</v>
      </c>
      <c r="K360" s="30">
        <v>76.91</v>
      </c>
      <c r="L360" s="30">
        <v>1.073</v>
      </c>
      <c r="M360" s="32">
        <v>823.26</v>
      </c>
      <c r="N360" s="30">
        <v>12.382</v>
      </c>
      <c r="O360" s="29">
        <v>10.039999999999999</v>
      </c>
      <c r="P360" s="31">
        <v>82</v>
      </c>
      <c r="Q360" s="31">
        <v>35.723999999999997</v>
      </c>
      <c r="R360" s="31">
        <v>74.956999999999994</v>
      </c>
      <c r="S360" s="31">
        <v>748.303</v>
      </c>
      <c r="T360" s="10" t="b">
        <f t="shared" si="74"/>
        <v>1</v>
      </c>
      <c r="U360" s="10" t="b">
        <f t="shared" si="75"/>
        <v>1</v>
      </c>
      <c r="V360" s="11">
        <f>VLOOKUP(IF(J360&lt;10, 10, IF(J360&gt;50,50,J360)),'Over to underbark'!$A$3:$C$43,IF(A360="Scots pine",3,IF(A360="Sitka spruce",2, "error")),TRUE)/100</f>
        <v>0.85</v>
      </c>
      <c r="W360">
        <f t="shared" si="76"/>
        <v>57.342104999999997</v>
      </c>
      <c r="X360">
        <f t="shared" si="77"/>
        <v>572.45179500000006</v>
      </c>
      <c r="Y360">
        <f t="shared" si="78"/>
        <v>111.14010000000002</v>
      </c>
      <c r="Z360">
        <f t="shared" si="79"/>
        <v>270.42462833175006</v>
      </c>
      <c r="AA360">
        <f t="shared" si="80"/>
        <v>61.877681550000005</v>
      </c>
      <c r="AB360">
        <f t="shared" si="81"/>
        <v>92.638299278250003</v>
      </c>
      <c r="AC360">
        <f t="shared" si="82"/>
        <v>315.99339084000007</v>
      </c>
      <c r="AD360">
        <f>LOOKUP($A360,'Over to underbark'!$A$47:$A$48,'Over to underbark'!E$47:E$48)*Z360</f>
        <v>113.57834389933502</v>
      </c>
      <c r="AE360">
        <f>LOOKUP($A360,'Over to underbark'!$A$47:$A$48,'Over to underbark'!E$47:E$48)*AA360</f>
        <v>25.988626251000003</v>
      </c>
      <c r="AF360">
        <f>LOOKUP($A360,'Over to underbark'!$A$47:$A$48,'Over to underbark'!E$47:E$48)*AB360</f>
        <v>38.908085696865001</v>
      </c>
      <c r="AG360">
        <f>LOOKUP($A360,'Over to underbark'!$A$47:$A$48,'Over to underbark'!E$47:E$48)*AC360</f>
        <v>132.71722415280001</v>
      </c>
      <c r="AH360" t="b">
        <f t="shared" si="83"/>
        <v>1</v>
      </c>
      <c r="AI360" t="b">
        <f t="shared" si="84"/>
        <v>1</v>
      </c>
      <c r="AJ360">
        <f>LOOKUP(A360,'Over to underbark'!$A$47:$A$48,'Over to underbark'!E$47:E$48)*M360</f>
        <v>345.76919999999996</v>
      </c>
      <c r="AK360" s="22">
        <f>LOOKUP(A360,'Over to underbark'!$A$47:$A$48,'Over to underbark'!$B$47:$B$48)*AJ360</f>
        <v>117.561528</v>
      </c>
      <c r="AL360" s="22">
        <f>LOOKUP(A360,'Over to underbark'!$A$47:$A$48,'Over to underbark'!C$47:C$48)*AJ360</f>
        <v>121.01921999999998</v>
      </c>
      <c r="AM360" s="22">
        <f t="shared" si="85"/>
        <v>463.33072799999997</v>
      </c>
      <c r="AN360" s="36">
        <v>1109.5999999999999</v>
      </c>
      <c r="AO360" s="23">
        <f t="shared" si="86"/>
        <v>926.66145599999993</v>
      </c>
      <c r="AQ360">
        <f t="shared" si="87"/>
        <v>0.67164179104477639</v>
      </c>
    </row>
    <row r="361" spans="1:43" x14ac:dyDescent="0.35">
      <c r="A361" t="s">
        <v>41</v>
      </c>
      <c r="B361">
        <v>12</v>
      </c>
      <c r="C361">
        <v>2</v>
      </c>
      <c r="D361" t="s">
        <v>42</v>
      </c>
      <c r="E361">
        <v>2</v>
      </c>
      <c r="F361">
        <v>1</v>
      </c>
      <c r="G361" s="30">
        <v>83</v>
      </c>
      <c r="H361" s="30">
        <v>26.93</v>
      </c>
      <c r="I361" s="30">
        <v>762</v>
      </c>
      <c r="J361" s="30">
        <v>35.956000000000003</v>
      </c>
      <c r="K361" s="30">
        <v>77.332999999999998</v>
      </c>
      <c r="L361" s="30">
        <v>1.0920000000000001</v>
      </c>
      <c r="M361" s="32">
        <v>831.38</v>
      </c>
      <c r="N361" s="30">
        <v>12.394</v>
      </c>
      <c r="O361" s="29">
        <v>10.016999999999999</v>
      </c>
      <c r="P361" s="31">
        <v>83</v>
      </c>
      <c r="Q361" s="31">
        <v>35.956000000000003</v>
      </c>
      <c r="R361" s="31">
        <v>73.494</v>
      </c>
      <c r="S361" s="31">
        <v>757.88599999999997</v>
      </c>
      <c r="T361" s="10" t="b">
        <f t="shared" ref="T361:T458" si="88">G361=P361</f>
        <v>1</v>
      </c>
      <c r="U361" s="10" t="b">
        <f t="shared" ref="U361:U458" si="89">J361=Q361</f>
        <v>1</v>
      </c>
      <c r="V361" s="11">
        <f>VLOOKUP(IF(J361&lt;10, 10, IF(J361&gt;50,50,J361)),'Over to underbark'!$A$3:$C$43,IF(A361="Scots pine",3,IF(A361="Sitka spruce",2, "error")),TRUE)/100</f>
        <v>0.85</v>
      </c>
      <c r="W361">
        <f t="shared" ref="W361:W424" si="90">R361*0.9*V361</f>
        <v>56.222909999999999</v>
      </c>
      <c r="X361">
        <f t="shared" ref="X361:X424" si="91">S361*0.9*V361</f>
        <v>579.78278999999998</v>
      </c>
      <c r="Y361">
        <f t="shared" ref="Y361:Y424" si="92">(R361+S361)*0.9*(100%-V361)</f>
        <v>112.23630000000001</v>
      </c>
      <c r="Z361">
        <f t="shared" ref="Z361:Z424" si="93">(50%*Y361)+(46%*W361)+(15%*X361)+(43%*W361*10%)+(43%*W361*90%*5%)+(25%*X361*50%)+(60%*X361*8%)</f>
        <v>272.75602820849997</v>
      </c>
      <c r="AA361">
        <f t="shared" ref="AA361:AA424" si="94">(50%*Y361)+(11%*W361)</f>
        <v>62.302670100000007</v>
      </c>
      <c r="AB361">
        <f t="shared" ref="AB361:AB424" si="95">(43%*W361*90%*95%)+(25%*X361*50%)</f>
        <v>93.14320161149999</v>
      </c>
      <c r="AC361">
        <f t="shared" ref="AC361:AC424" si="96">60%*X361*92%</f>
        <v>320.04010008</v>
      </c>
      <c r="AD361">
        <f>LOOKUP($A361,'Over to underbark'!$A$47:$A$48,'Over to underbark'!E$47:E$48)*Z361</f>
        <v>114.55753184756999</v>
      </c>
      <c r="AE361">
        <f>LOOKUP($A361,'Over to underbark'!$A$47:$A$48,'Over to underbark'!E$47:E$48)*AA361</f>
        <v>26.167121442000003</v>
      </c>
      <c r="AF361">
        <f>LOOKUP($A361,'Over to underbark'!$A$47:$A$48,'Over to underbark'!E$47:E$48)*AB361</f>
        <v>39.120144676829995</v>
      </c>
      <c r="AG361">
        <f>LOOKUP($A361,'Over to underbark'!$A$47:$A$48,'Over to underbark'!E$47:E$48)*AC361</f>
        <v>134.41684203360001</v>
      </c>
      <c r="AH361" t="b">
        <f t="shared" ref="AH361:AH424" si="97">SUM(W361:Y361)=SUM(Z361:AC361)</f>
        <v>1</v>
      </c>
      <c r="AI361" t="b">
        <f t="shared" ref="AI361:AI424" si="98">SUM(R361:S361)*0.9 = SUM(W361:Y361)</f>
        <v>1</v>
      </c>
      <c r="AJ361">
        <f>LOOKUP(A361,'Over to underbark'!$A$47:$A$48,'Over to underbark'!E$47:E$48)*M361</f>
        <v>349.17959999999999</v>
      </c>
      <c r="AK361" s="22">
        <f>LOOKUP(A361,'Over to underbark'!$A$47:$A$48,'Over to underbark'!$B$47:$B$48)*AJ361</f>
        <v>118.72106400000001</v>
      </c>
      <c r="AL361" s="22">
        <f>LOOKUP(A361,'Over to underbark'!$A$47:$A$48,'Over to underbark'!C$47:C$48)*AJ361</f>
        <v>122.21285999999999</v>
      </c>
      <c r="AM361" s="22">
        <f t="shared" ref="AM361:AM424" si="99">AJ361+AK361</f>
        <v>467.90066400000001</v>
      </c>
      <c r="AN361" s="36">
        <v>1110.5999999999999</v>
      </c>
      <c r="AO361" s="23">
        <f t="shared" ref="AO361:AO424" si="100">AM361*2</f>
        <v>935.80132800000001</v>
      </c>
      <c r="AQ361">
        <f t="shared" si="87"/>
        <v>0.67164179104477606</v>
      </c>
    </row>
    <row r="362" spans="1:43" x14ac:dyDescent="0.35">
      <c r="A362" t="s">
        <v>41</v>
      </c>
      <c r="B362">
        <v>12</v>
      </c>
      <c r="C362">
        <v>2</v>
      </c>
      <c r="D362" t="s">
        <v>42</v>
      </c>
      <c r="E362">
        <v>2</v>
      </c>
      <c r="F362">
        <v>1</v>
      </c>
      <c r="G362" s="30">
        <v>84</v>
      </c>
      <c r="H362" s="30">
        <v>27.07</v>
      </c>
      <c r="I362" s="30">
        <v>756</v>
      </c>
      <c r="J362" s="30">
        <v>36.19</v>
      </c>
      <c r="K362" s="30">
        <v>77.756</v>
      </c>
      <c r="L362" s="30">
        <v>1.111</v>
      </c>
      <c r="M362" s="32">
        <v>839.5</v>
      </c>
      <c r="N362" s="30">
        <v>12.406000000000001</v>
      </c>
      <c r="O362" s="29">
        <v>9.9939999999999998</v>
      </c>
      <c r="P362" s="31">
        <v>84</v>
      </c>
      <c r="Q362" s="31">
        <v>36.19</v>
      </c>
      <c r="R362" s="31">
        <v>72.031999999999996</v>
      </c>
      <c r="S362" s="31">
        <v>767.46799999999996</v>
      </c>
      <c r="T362" s="10" t="b">
        <f t="shared" si="88"/>
        <v>1</v>
      </c>
      <c r="U362" s="10" t="b">
        <f t="shared" si="89"/>
        <v>1</v>
      </c>
      <c r="V362" s="11">
        <f>VLOOKUP(IF(J362&lt;10, 10, IF(J362&gt;50,50,J362)),'Over to underbark'!$A$3:$C$43,IF(A362="Scots pine",3,IF(A362="Sitka spruce",2, "error")),TRUE)/100</f>
        <v>0.85</v>
      </c>
      <c r="W362">
        <f t="shared" si="90"/>
        <v>55.104480000000002</v>
      </c>
      <c r="X362">
        <f t="shared" si="91"/>
        <v>587.11301999999989</v>
      </c>
      <c r="Y362">
        <f t="shared" si="92"/>
        <v>113.33250000000002</v>
      </c>
      <c r="Z362">
        <f t="shared" si="93"/>
        <v>275.08758058799998</v>
      </c>
      <c r="AA362">
        <f t="shared" si="94"/>
        <v>62.727742800000016</v>
      </c>
      <c r="AB362">
        <f t="shared" si="95"/>
        <v>93.648289571999982</v>
      </c>
      <c r="AC362">
        <f t="shared" si="96"/>
        <v>324.08638703999998</v>
      </c>
      <c r="AD362">
        <f>LOOKUP($A362,'Over to underbark'!$A$47:$A$48,'Over to underbark'!E$47:E$48)*Z362</f>
        <v>115.53678384695999</v>
      </c>
      <c r="AE362">
        <f>LOOKUP($A362,'Over to underbark'!$A$47:$A$48,'Over to underbark'!E$47:E$48)*AA362</f>
        <v>26.345651976000006</v>
      </c>
      <c r="AF362">
        <f>LOOKUP($A362,'Over to underbark'!$A$47:$A$48,'Over to underbark'!E$47:E$48)*AB362</f>
        <v>39.332281620239989</v>
      </c>
      <c r="AG362">
        <f>LOOKUP($A362,'Over to underbark'!$A$47:$A$48,'Over to underbark'!E$47:E$48)*AC362</f>
        <v>136.11628255679997</v>
      </c>
      <c r="AH362" t="b">
        <f t="shared" si="97"/>
        <v>1</v>
      </c>
      <c r="AI362" t="b">
        <f t="shared" si="98"/>
        <v>1</v>
      </c>
      <c r="AJ362">
        <f>LOOKUP(A362,'Over to underbark'!$A$47:$A$48,'Over to underbark'!E$47:E$48)*M362</f>
        <v>352.59</v>
      </c>
      <c r="AK362" s="22">
        <f>LOOKUP(A362,'Over to underbark'!$A$47:$A$48,'Over to underbark'!$B$47:$B$48)*AJ362</f>
        <v>119.8806</v>
      </c>
      <c r="AL362" s="22">
        <f>LOOKUP(A362,'Over to underbark'!$A$47:$A$48,'Over to underbark'!C$47:C$48)*AJ362</f>
        <v>123.40649999999998</v>
      </c>
      <c r="AM362" s="22">
        <f t="shared" si="99"/>
        <v>472.47059999999999</v>
      </c>
      <c r="AN362" s="36">
        <v>1111.5999999999999</v>
      </c>
      <c r="AO362" s="23">
        <f t="shared" si="100"/>
        <v>944.94119999999998</v>
      </c>
      <c r="AQ362">
        <f t="shared" si="87"/>
        <v>0.67164179104477606</v>
      </c>
    </row>
    <row r="363" spans="1:43" x14ac:dyDescent="0.35">
      <c r="A363" t="s">
        <v>41</v>
      </c>
      <c r="B363">
        <v>12</v>
      </c>
      <c r="C363">
        <v>2</v>
      </c>
      <c r="D363" t="s">
        <v>42</v>
      </c>
      <c r="E363">
        <v>2</v>
      </c>
      <c r="F363">
        <v>1</v>
      </c>
      <c r="G363" s="30">
        <v>85</v>
      </c>
      <c r="H363" s="30">
        <v>27.187999999999999</v>
      </c>
      <c r="I363" s="30">
        <v>751</v>
      </c>
      <c r="J363" s="30">
        <v>36.384999999999998</v>
      </c>
      <c r="K363" s="30">
        <v>78.116</v>
      </c>
      <c r="L363" s="30">
        <v>1.127</v>
      </c>
      <c r="M363" s="32">
        <v>846.42</v>
      </c>
      <c r="N363" s="30">
        <v>12.417</v>
      </c>
      <c r="O363" s="29">
        <v>9.9580000000000002</v>
      </c>
      <c r="P363" s="31">
        <v>85</v>
      </c>
      <c r="Q363" s="31">
        <v>36.384999999999998</v>
      </c>
      <c r="R363" s="31">
        <v>70.841999999999999</v>
      </c>
      <c r="S363" s="31">
        <v>775.57799999999997</v>
      </c>
      <c r="T363" s="10" t="b">
        <f t="shared" si="88"/>
        <v>1</v>
      </c>
      <c r="U363" s="10" t="b">
        <f t="shared" si="89"/>
        <v>1</v>
      </c>
      <c r="V363" s="11">
        <f>VLOOKUP(IF(J363&lt;10, 10, IF(J363&gt;50,50,J363)),'Over to underbark'!$A$3:$C$43,IF(A363="Scots pine",3,IF(A363="Sitka spruce",2, "error")),TRUE)/100</f>
        <v>0.85</v>
      </c>
      <c r="W363">
        <f t="shared" si="90"/>
        <v>54.194130000000001</v>
      </c>
      <c r="X363">
        <f t="shared" si="91"/>
        <v>593.31717000000003</v>
      </c>
      <c r="Y363">
        <f t="shared" si="92"/>
        <v>114.26670000000001</v>
      </c>
      <c r="Z363">
        <f t="shared" si="93"/>
        <v>277.0830997155</v>
      </c>
      <c r="AA363">
        <f t="shared" si="94"/>
        <v>63.094704300000004</v>
      </c>
      <c r="AB363">
        <f t="shared" si="95"/>
        <v>94.089118144500006</v>
      </c>
      <c r="AC363">
        <f t="shared" si="96"/>
        <v>327.51107783999998</v>
      </c>
      <c r="AD363">
        <f>LOOKUP($A363,'Over to underbark'!$A$47:$A$48,'Over to underbark'!E$47:E$48)*Z363</f>
        <v>116.37490188051</v>
      </c>
      <c r="AE363">
        <f>LOOKUP($A363,'Over to underbark'!$A$47:$A$48,'Over to underbark'!E$47:E$48)*AA363</f>
        <v>26.499775805999999</v>
      </c>
      <c r="AF363">
        <f>LOOKUP($A363,'Over to underbark'!$A$47:$A$48,'Over to underbark'!E$47:E$48)*AB363</f>
        <v>39.517429620690002</v>
      </c>
      <c r="AG363">
        <f>LOOKUP($A363,'Over to underbark'!$A$47:$A$48,'Over to underbark'!E$47:E$48)*AC363</f>
        <v>137.55465269279998</v>
      </c>
      <c r="AH363" t="b">
        <f t="shared" si="97"/>
        <v>1</v>
      </c>
      <c r="AI363" t="b">
        <f t="shared" si="98"/>
        <v>1</v>
      </c>
      <c r="AJ363">
        <f>LOOKUP(A363,'Over to underbark'!$A$47:$A$48,'Over to underbark'!E$47:E$48)*M363</f>
        <v>355.49639999999999</v>
      </c>
      <c r="AK363" s="22">
        <f>LOOKUP(A363,'Over to underbark'!$A$47:$A$48,'Over to underbark'!$B$47:$B$48)*AJ363</f>
        <v>120.86877600000001</v>
      </c>
      <c r="AL363" s="22">
        <f>LOOKUP(A363,'Over to underbark'!$A$47:$A$48,'Over to underbark'!C$47:C$48)*AJ363</f>
        <v>124.42374</v>
      </c>
      <c r="AM363" s="22">
        <f t="shared" si="99"/>
        <v>476.36517600000002</v>
      </c>
      <c r="AN363" s="36">
        <v>1112.5999999999999</v>
      </c>
      <c r="AO363" s="23">
        <f t="shared" si="100"/>
        <v>952.73035200000004</v>
      </c>
      <c r="AQ363">
        <f t="shared" si="87"/>
        <v>0.67164179104477595</v>
      </c>
    </row>
    <row r="364" spans="1:43" x14ac:dyDescent="0.35">
      <c r="A364" t="s">
        <v>41</v>
      </c>
      <c r="B364">
        <v>12</v>
      </c>
      <c r="C364">
        <v>2</v>
      </c>
      <c r="D364" t="s">
        <v>42</v>
      </c>
      <c r="E364">
        <v>2</v>
      </c>
      <c r="F364">
        <v>1</v>
      </c>
      <c r="G364" s="30">
        <v>86</v>
      </c>
      <c r="H364" s="30">
        <v>27.306000000000001</v>
      </c>
      <c r="I364" s="30">
        <v>747</v>
      </c>
      <c r="J364" s="30">
        <v>36.582000000000001</v>
      </c>
      <c r="K364" s="30">
        <v>78.477000000000004</v>
      </c>
      <c r="L364" s="30">
        <v>1.143</v>
      </c>
      <c r="M364" s="32">
        <v>853.34</v>
      </c>
      <c r="N364" s="30">
        <v>12.428000000000001</v>
      </c>
      <c r="O364" s="29">
        <v>9.923</v>
      </c>
      <c r="P364" s="31">
        <v>86</v>
      </c>
      <c r="Q364" s="31">
        <v>36.582000000000001</v>
      </c>
      <c r="R364" s="31">
        <v>69.647000000000006</v>
      </c>
      <c r="S364" s="31">
        <v>783.69299999999998</v>
      </c>
      <c r="T364" s="10" t="b">
        <f t="shared" si="88"/>
        <v>1</v>
      </c>
      <c r="U364" s="10" t="b">
        <f t="shared" si="89"/>
        <v>1</v>
      </c>
      <c r="V364" s="11">
        <f>VLOOKUP(IF(J364&lt;10, 10, IF(J364&gt;50,50,J364)),'Over to underbark'!$A$3:$C$43,IF(A364="Scots pine",3,IF(A364="Sitka spruce",2, "error")),TRUE)/100</f>
        <v>0.85</v>
      </c>
      <c r="W364">
        <f t="shared" si="90"/>
        <v>53.279955000000001</v>
      </c>
      <c r="X364">
        <f t="shared" si="91"/>
        <v>599.52514500000007</v>
      </c>
      <c r="Y364">
        <f t="shared" si="92"/>
        <v>115.20090000000003</v>
      </c>
      <c r="Z364">
        <f t="shared" si="93"/>
        <v>279.07785632925004</v>
      </c>
      <c r="AA364">
        <f t="shared" si="94"/>
        <v>63.461245050000016</v>
      </c>
      <c r="AB364">
        <f t="shared" si="95"/>
        <v>94.529018580750005</v>
      </c>
      <c r="AC364">
        <f t="shared" si="96"/>
        <v>330.93788004000004</v>
      </c>
      <c r="AD364">
        <f>LOOKUP($A364,'Over to underbark'!$A$47:$A$48,'Over to underbark'!E$47:E$48)*Z364</f>
        <v>117.21269965828502</v>
      </c>
      <c r="AE364">
        <f>LOOKUP($A364,'Over to underbark'!$A$47:$A$48,'Over to underbark'!E$47:E$48)*AA364</f>
        <v>26.653722921000007</v>
      </c>
      <c r="AF364">
        <f>LOOKUP($A364,'Over to underbark'!$A$47:$A$48,'Over to underbark'!E$47:E$48)*AB364</f>
        <v>39.702187803915002</v>
      </c>
      <c r="AG364">
        <f>LOOKUP($A364,'Over to underbark'!$A$47:$A$48,'Over to underbark'!E$47:E$48)*AC364</f>
        <v>138.99390961680001</v>
      </c>
      <c r="AH364" t="b">
        <f t="shared" si="97"/>
        <v>1</v>
      </c>
      <c r="AI364" t="b">
        <f t="shared" si="98"/>
        <v>1</v>
      </c>
      <c r="AJ364">
        <f>LOOKUP(A364,'Over to underbark'!$A$47:$A$48,'Over to underbark'!E$47:E$48)*M364</f>
        <v>358.40280000000001</v>
      </c>
      <c r="AK364" s="22">
        <f>LOOKUP(A364,'Over to underbark'!$A$47:$A$48,'Over to underbark'!$B$47:$B$48)*AJ364</f>
        <v>121.85695200000001</v>
      </c>
      <c r="AL364" s="22">
        <f>LOOKUP(A364,'Over to underbark'!$A$47:$A$48,'Over to underbark'!C$47:C$48)*AJ364</f>
        <v>125.44098</v>
      </c>
      <c r="AM364" s="22">
        <f t="shared" si="99"/>
        <v>480.25975200000005</v>
      </c>
      <c r="AN364" s="36">
        <v>1113.5999999999999</v>
      </c>
      <c r="AO364" s="23">
        <f t="shared" si="100"/>
        <v>960.5195040000001</v>
      </c>
      <c r="AQ364">
        <f t="shared" si="87"/>
        <v>0.67164179104477617</v>
      </c>
    </row>
    <row r="365" spans="1:43" x14ac:dyDescent="0.35">
      <c r="A365" t="s">
        <v>41</v>
      </c>
      <c r="B365">
        <v>12</v>
      </c>
      <c r="C365">
        <v>2</v>
      </c>
      <c r="D365" t="s">
        <v>42</v>
      </c>
      <c r="E365">
        <v>2</v>
      </c>
      <c r="F365">
        <v>1</v>
      </c>
      <c r="G365" s="30">
        <v>87</v>
      </c>
      <c r="H365" s="30">
        <v>27.423999999999999</v>
      </c>
      <c r="I365" s="30">
        <v>742</v>
      </c>
      <c r="J365" s="30">
        <v>36.78</v>
      </c>
      <c r="K365" s="30">
        <v>78.837999999999994</v>
      </c>
      <c r="L365" s="30">
        <v>1.159</v>
      </c>
      <c r="M365" s="32">
        <v>860.26</v>
      </c>
      <c r="N365" s="30">
        <v>12.438000000000001</v>
      </c>
      <c r="O365" s="29">
        <v>9.8879999999999999</v>
      </c>
      <c r="P365" s="31">
        <v>87</v>
      </c>
      <c r="Q365" s="31">
        <v>36.78</v>
      </c>
      <c r="R365" s="31">
        <v>68.457999999999998</v>
      </c>
      <c r="S365" s="31">
        <v>791.80200000000002</v>
      </c>
      <c r="T365" s="10" t="b">
        <f t="shared" si="88"/>
        <v>1</v>
      </c>
      <c r="U365" s="10" t="b">
        <f t="shared" si="89"/>
        <v>1</v>
      </c>
      <c r="V365" s="11">
        <f>VLOOKUP(IF(J365&lt;10, 10, IF(J365&gt;50,50,J365)),'Over to underbark'!$A$3:$C$43,IF(A365="Scots pine",3,IF(A365="Sitka spruce",2, "error")),TRUE)/100</f>
        <v>0.85</v>
      </c>
      <c r="W365">
        <f t="shared" si="90"/>
        <v>52.370370000000001</v>
      </c>
      <c r="X365">
        <f t="shared" si="91"/>
        <v>605.72852999999998</v>
      </c>
      <c r="Y365">
        <f t="shared" si="92"/>
        <v>116.13510000000002</v>
      </c>
      <c r="Z365">
        <f t="shared" si="93"/>
        <v>281.07352795950004</v>
      </c>
      <c r="AA365">
        <f t="shared" si="94"/>
        <v>63.828290700000011</v>
      </c>
      <c r="AB365">
        <f t="shared" si="95"/>
        <v>94.970032780499992</v>
      </c>
      <c r="AC365">
        <f t="shared" si="96"/>
        <v>334.36214856000004</v>
      </c>
      <c r="AD365">
        <f>LOOKUP($A365,'Over to underbark'!$A$47:$A$48,'Over to underbark'!E$47:E$48)*Z365</f>
        <v>118.05088174299001</v>
      </c>
      <c r="AE365">
        <f>LOOKUP($A365,'Over to underbark'!$A$47:$A$48,'Over to underbark'!E$47:E$48)*AA365</f>
        <v>26.807882094000004</v>
      </c>
      <c r="AF365">
        <f>LOOKUP($A365,'Over to underbark'!$A$47:$A$48,'Over to underbark'!E$47:E$48)*AB365</f>
        <v>39.887413767809996</v>
      </c>
      <c r="AG365">
        <f>LOOKUP($A365,'Over to underbark'!$A$47:$A$48,'Over to underbark'!E$47:E$48)*AC365</f>
        <v>140.43210239520002</v>
      </c>
      <c r="AH365" t="b">
        <f t="shared" si="97"/>
        <v>1</v>
      </c>
      <c r="AI365" t="b">
        <f t="shared" si="98"/>
        <v>1</v>
      </c>
      <c r="AJ365">
        <f>LOOKUP(A365,'Over to underbark'!$A$47:$A$48,'Over to underbark'!E$47:E$48)*M365</f>
        <v>361.30919999999998</v>
      </c>
      <c r="AK365" s="22">
        <f>LOOKUP(A365,'Over to underbark'!$A$47:$A$48,'Over to underbark'!$B$47:$B$48)*AJ365</f>
        <v>122.845128</v>
      </c>
      <c r="AL365" s="22">
        <f>LOOKUP(A365,'Over to underbark'!$A$47:$A$48,'Over to underbark'!C$47:C$48)*AJ365</f>
        <v>126.45821999999998</v>
      </c>
      <c r="AM365" s="22">
        <f t="shared" si="99"/>
        <v>484.15432799999996</v>
      </c>
      <c r="AN365" s="36">
        <v>1114.5999999999999</v>
      </c>
      <c r="AO365" s="23">
        <f t="shared" si="100"/>
        <v>968.30865599999993</v>
      </c>
      <c r="AQ365">
        <f t="shared" si="87"/>
        <v>0.67164179104477628</v>
      </c>
    </row>
    <row r="366" spans="1:43" x14ac:dyDescent="0.35">
      <c r="A366" t="s">
        <v>41</v>
      </c>
      <c r="B366">
        <v>12</v>
      </c>
      <c r="C366">
        <v>2</v>
      </c>
      <c r="D366" t="s">
        <v>42</v>
      </c>
      <c r="E366">
        <v>2</v>
      </c>
      <c r="F366">
        <v>1</v>
      </c>
      <c r="G366" s="30">
        <v>88</v>
      </c>
      <c r="H366" s="30">
        <v>27.542000000000002</v>
      </c>
      <c r="I366" s="30">
        <v>737</v>
      </c>
      <c r="J366" s="30">
        <v>36.978999999999999</v>
      </c>
      <c r="K366" s="30">
        <v>79.198999999999998</v>
      </c>
      <c r="L366" s="30">
        <v>1.1759999999999999</v>
      </c>
      <c r="M366" s="32">
        <v>867.18</v>
      </c>
      <c r="N366" s="30">
        <v>12.449</v>
      </c>
      <c r="O366" s="29">
        <v>9.8539999999999992</v>
      </c>
      <c r="P366" s="31">
        <v>88</v>
      </c>
      <c r="Q366" s="31">
        <v>36.978999999999999</v>
      </c>
      <c r="R366" s="31">
        <v>67.275000000000006</v>
      </c>
      <c r="S366" s="31">
        <v>799.90499999999997</v>
      </c>
      <c r="T366" s="10" t="b">
        <f t="shared" si="88"/>
        <v>1</v>
      </c>
      <c r="U366" s="10" t="b">
        <f t="shared" si="89"/>
        <v>1</v>
      </c>
      <c r="V366" s="11">
        <f>VLOOKUP(IF(J366&lt;10, 10, IF(J366&gt;50,50,J366)),'Over to underbark'!$A$3:$C$43,IF(A366="Scots pine",3,IF(A366="Sitka spruce",2, "error")),TRUE)/100</f>
        <v>0.85</v>
      </c>
      <c r="W366">
        <f t="shared" si="90"/>
        <v>51.465375000000002</v>
      </c>
      <c r="X366">
        <f t="shared" si="91"/>
        <v>611.927325</v>
      </c>
      <c r="Y366">
        <f t="shared" si="92"/>
        <v>117.06930000000001</v>
      </c>
      <c r="Z366">
        <f t="shared" si="93"/>
        <v>283.07011460625</v>
      </c>
      <c r="AA366">
        <f t="shared" si="94"/>
        <v>64.195841250000001</v>
      </c>
      <c r="AB366">
        <f t="shared" si="95"/>
        <v>95.412160743750007</v>
      </c>
      <c r="AC366">
        <f t="shared" si="96"/>
        <v>337.78388339999998</v>
      </c>
      <c r="AD366">
        <f>LOOKUP($A366,'Over to underbark'!$A$47:$A$48,'Over to underbark'!E$47:E$48)*Z366</f>
        <v>118.889448134625</v>
      </c>
      <c r="AE366">
        <f>LOOKUP($A366,'Over to underbark'!$A$47:$A$48,'Over to underbark'!E$47:E$48)*AA366</f>
        <v>26.962253324999999</v>
      </c>
      <c r="AF366">
        <f>LOOKUP($A366,'Over to underbark'!$A$47:$A$48,'Over to underbark'!E$47:E$48)*AB366</f>
        <v>40.073107512375003</v>
      </c>
      <c r="AG366">
        <f>LOOKUP($A366,'Over to underbark'!$A$47:$A$48,'Over to underbark'!E$47:E$48)*AC366</f>
        <v>141.86923102799997</v>
      </c>
      <c r="AH366" t="b">
        <f t="shared" si="97"/>
        <v>1</v>
      </c>
      <c r="AI366" t="b">
        <f t="shared" si="98"/>
        <v>1</v>
      </c>
      <c r="AJ366">
        <f>LOOKUP(A366,'Over to underbark'!$A$47:$A$48,'Over to underbark'!E$47:E$48)*M366</f>
        <v>364.21559999999994</v>
      </c>
      <c r="AK366" s="22">
        <f>LOOKUP(A366,'Over to underbark'!$A$47:$A$48,'Over to underbark'!$B$47:$B$48)*AJ366</f>
        <v>123.83330399999998</v>
      </c>
      <c r="AL366" s="22">
        <f>LOOKUP(A366,'Over to underbark'!$A$47:$A$48,'Over to underbark'!C$47:C$48)*AJ366</f>
        <v>127.47545999999997</v>
      </c>
      <c r="AM366" s="22">
        <f t="shared" si="99"/>
        <v>488.04890399999994</v>
      </c>
      <c r="AN366" s="36">
        <v>1115.5999999999999</v>
      </c>
      <c r="AO366" s="23">
        <f t="shared" si="100"/>
        <v>976.09780799999987</v>
      </c>
      <c r="AQ366">
        <f t="shared" si="87"/>
        <v>0.67164179104477617</v>
      </c>
    </row>
    <row r="367" spans="1:43" x14ac:dyDescent="0.35">
      <c r="A367" t="s">
        <v>41</v>
      </c>
      <c r="B367">
        <v>12</v>
      </c>
      <c r="C367">
        <v>2</v>
      </c>
      <c r="D367" t="s">
        <v>42</v>
      </c>
      <c r="E367">
        <v>2</v>
      </c>
      <c r="F367">
        <v>1</v>
      </c>
      <c r="G367" s="30">
        <v>89</v>
      </c>
      <c r="H367" s="30">
        <v>27.66</v>
      </c>
      <c r="I367" s="30">
        <v>733</v>
      </c>
      <c r="J367" s="30">
        <v>37.18</v>
      </c>
      <c r="K367" s="30">
        <v>79.56</v>
      </c>
      <c r="L367" s="30">
        <v>1.1930000000000001</v>
      </c>
      <c r="M367" s="32">
        <v>874.1</v>
      </c>
      <c r="N367" s="30">
        <v>12.459</v>
      </c>
      <c r="O367" s="29">
        <v>9.8209999999999997</v>
      </c>
      <c r="P367" s="31">
        <v>89</v>
      </c>
      <c r="Q367" s="31">
        <v>37.18</v>
      </c>
      <c r="R367" s="31">
        <v>66.09</v>
      </c>
      <c r="S367" s="31">
        <v>808.01</v>
      </c>
      <c r="T367" s="10" t="b">
        <f t="shared" si="88"/>
        <v>1</v>
      </c>
      <c r="U367" s="10" t="b">
        <f t="shared" si="89"/>
        <v>1</v>
      </c>
      <c r="V367" s="11">
        <f>VLOOKUP(IF(J367&lt;10, 10, IF(J367&gt;50,50,J367)),'Over to underbark'!$A$3:$C$43,IF(A367="Scots pine",3,IF(A367="Sitka spruce",2, "error")),TRUE)/100</f>
        <v>0.85</v>
      </c>
      <c r="W367">
        <f t="shared" si="90"/>
        <v>50.55885</v>
      </c>
      <c r="X367">
        <f t="shared" si="91"/>
        <v>618.12765000000002</v>
      </c>
      <c r="Y367">
        <f t="shared" si="92"/>
        <v>118.00350000000003</v>
      </c>
      <c r="Z367">
        <f t="shared" si="93"/>
        <v>285.06639624750005</v>
      </c>
      <c r="AA367">
        <f t="shared" si="94"/>
        <v>64.563223500000021</v>
      </c>
      <c r="AB367">
        <f t="shared" si="95"/>
        <v>95.853917452499999</v>
      </c>
      <c r="AC367">
        <f t="shared" si="96"/>
        <v>341.20646280000005</v>
      </c>
      <c r="AD367">
        <f>LOOKUP($A367,'Over to underbark'!$A$47:$A$48,'Over to underbark'!E$47:E$48)*Z367</f>
        <v>119.72788642395001</v>
      </c>
      <c r="AE367">
        <f>LOOKUP($A367,'Over to underbark'!$A$47:$A$48,'Over to underbark'!E$47:E$48)*AA367</f>
        <v>27.116553870000008</v>
      </c>
      <c r="AF367">
        <f>LOOKUP($A367,'Over to underbark'!$A$47:$A$48,'Over to underbark'!E$47:E$48)*AB367</f>
        <v>40.258645330050001</v>
      </c>
      <c r="AG367">
        <f>LOOKUP($A367,'Over to underbark'!$A$47:$A$48,'Over to underbark'!E$47:E$48)*AC367</f>
        <v>143.30671437600003</v>
      </c>
      <c r="AH367" t="b">
        <f t="shared" si="97"/>
        <v>1</v>
      </c>
      <c r="AI367" t="b">
        <f t="shared" si="98"/>
        <v>1</v>
      </c>
      <c r="AJ367">
        <f>LOOKUP(A367,'Over to underbark'!$A$47:$A$48,'Over to underbark'!E$47:E$48)*M367</f>
        <v>367.12200000000001</v>
      </c>
      <c r="AK367" s="22">
        <f>LOOKUP(A367,'Over to underbark'!$A$47:$A$48,'Over to underbark'!$B$47:$B$48)*AJ367</f>
        <v>124.82148000000001</v>
      </c>
      <c r="AL367" s="22">
        <f>LOOKUP(A367,'Over to underbark'!$A$47:$A$48,'Over to underbark'!C$47:C$48)*AJ367</f>
        <v>128.49269999999999</v>
      </c>
      <c r="AM367" s="22">
        <f t="shared" si="99"/>
        <v>491.94348000000002</v>
      </c>
      <c r="AN367" s="36">
        <v>1116.5999999999999</v>
      </c>
      <c r="AO367" s="23">
        <f t="shared" si="100"/>
        <v>983.88696000000004</v>
      </c>
      <c r="AQ367">
        <f t="shared" si="87"/>
        <v>0.67164179104477617</v>
      </c>
    </row>
    <row r="368" spans="1:43" x14ac:dyDescent="0.35">
      <c r="A368" t="s">
        <v>41</v>
      </c>
      <c r="B368">
        <v>12</v>
      </c>
      <c r="C368">
        <v>2</v>
      </c>
      <c r="D368" t="s">
        <v>42</v>
      </c>
      <c r="E368">
        <v>2</v>
      </c>
      <c r="F368">
        <v>1</v>
      </c>
      <c r="G368" s="30">
        <v>90</v>
      </c>
      <c r="H368" s="30">
        <v>27.756</v>
      </c>
      <c r="I368" s="30">
        <v>729</v>
      </c>
      <c r="J368" s="30">
        <v>37.340000000000003</v>
      </c>
      <c r="K368" s="30">
        <v>79.847999999999999</v>
      </c>
      <c r="L368" s="30">
        <v>1.206</v>
      </c>
      <c r="M368" s="32">
        <v>879.58</v>
      </c>
      <c r="N368" s="30">
        <v>12.478</v>
      </c>
      <c r="O368" s="29">
        <v>9.7729999999999997</v>
      </c>
      <c r="P368" s="31">
        <v>90</v>
      </c>
      <c r="Q368" s="31">
        <v>37.340000000000003</v>
      </c>
      <c r="R368" s="31">
        <v>65.155000000000001</v>
      </c>
      <c r="S368" s="31">
        <v>814.42499999999995</v>
      </c>
      <c r="T368" s="10" t="b">
        <f t="shared" si="88"/>
        <v>1</v>
      </c>
      <c r="U368" s="10" t="b">
        <f t="shared" si="89"/>
        <v>1</v>
      </c>
      <c r="V368" s="11">
        <f>VLOOKUP(IF(J368&lt;10, 10, IF(J368&gt;50,50,J368)),'Over to underbark'!$A$3:$C$43,IF(A368="Scots pine",3,IF(A368="Sitka spruce",2, "error")),TRUE)/100</f>
        <v>0.85</v>
      </c>
      <c r="W368">
        <f t="shared" si="90"/>
        <v>49.843575000000001</v>
      </c>
      <c r="X368">
        <f t="shared" si="91"/>
        <v>623.03512499999999</v>
      </c>
      <c r="Y368">
        <f t="shared" si="92"/>
        <v>118.7433</v>
      </c>
      <c r="Z368">
        <f t="shared" si="93"/>
        <v>286.64778677625003</v>
      </c>
      <c r="AA368">
        <f t="shared" si="94"/>
        <v>64.854443250000003</v>
      </c>
      <c r="AB368">
        <f t="shared" si="95"/>
        <v>96.204380973750006</v>
      </c>
      <c r="AC368">
        <f t="shared" si="96"/>
        <v>343.915389</v>
      </c>
      <c r="AD368">
        <f>LOOKUP($A368,'Over to underbark'!$A$47:$A$48,'Over to underbark'!E$47:E$48)*Z368</f>
        <v>120.392070446025</v>
      </c>
      <c r="AE368">
        <f>LOOKUP($A368,'Over to underbark'!$A$47:$A$48,'Over to underbark'!E$47:E$48)*AA368</f>
        <v>27.238866165000001</v>
      </c>
      <c r="AF368">
        <f>LOOKUP($A368,'Over to underbark'!$A$47:$A$48,'Over to underbark'!E$47:E$48)*AB368</f>
        <v>40.405840008974998</v>
      </c>
      <c r="AG368">
        <f>LOOKUP($A368,'Over to underbark'!$A$47:$A$48,'Over to underbark'!E$47:E$48)*AC368</f>
        <v>144.44446338</v>
      </c>
      <c r="AH368" t="b">
        <f t="shared" si="97"/>
        <v>1</v>
      </c>
      <c r="AI368" t="b">
        <f t="shared" si="98"/>
        <v>1</v>
      </c>
      <c r="AJ368">
        <f>LOOKUP(A368,'Over to underbark'!$A$47:$A$48,'Over to underbark'!E$47:E$48)*M368</f>
        <v>369.42360000000002</v>
      </c>
      <c r="AK368" s="22">
        <f>LOOKUP(A368,'Over to underbark'!$A$47:$A$48,'Over to underbark'!$B$47:$B$48)*AJ368</f>
        <v>125.60402400000001</v>
      </c>
      <c r="AL368" s="22">
        <f>LOOKUP(A368,'Over to underbark'!$A$47:$A$48,'Over to underbark'!C$47:C$48)*AJ368</f>
        <v>129.29826</v>
      </c>
      <c r="AM368" s="22">
        <f t="shared" si="99"/>
        <v>495.02762400000006</v>
      </c>
      <c r="AN368" s="36">
        <v>1117.5999999999999</v>
      </c>
      <c r="AO368" s="23">
        <f t="shared" si="100"/>
        <v>990.05524800000012</v>
      </c>
      <c r="AQ368">
        <f t="shared" si="87"/>
        <v>0.67164179104477595</v>
      </c>
    </row>
    <row r="369" spans="1:43" x14ac:dyDescent="0.35">
      <c r="A369" t="s">
        <v>41</v>
      </c>
      <c r="B369">
        <v>12</v>
      </c>
      <c r="C369">
        <v>2</v>
      </c>
      <c r="D369" t="s">
        <v>42</v>
      </c>
      <c r="E369">
        <v>2</v>
      </c>
      <c r="F369">
        <v>1</v>
      </c>
      <c r="G369" s="30">
        <v>91</v>
      </c>
      <c r="H369" s="30">
        <v>27.852</v>
      </c>
      <c r="I369" s="30">
        <v>726</v>
      </c>
      <c r="J369" s="30">
        <v>37.500999999999998</v>
      </c>
      <c r="K369" s="30">
        <v>80.135999999999996</v>
      </c>
      <c r="L369" s="30">
        <v>1.22</v>
      </c>
      <c r="M369" s="32">
        <v>885.06</v>
      </c>
      <c r="N369" s="30">
        <v>12.497</v>
      </c>
      <c r="O369" s="29">
        <v>9.7260000000000009</v>
      </c>
      <c r="P369" s="31">
        <v>91</v>
      </c>
      <c r="Q369" s="31">
        <v>37.500999999999998</v>
      </c>
      <c r="R369" s="31">
        <v>64.221999999999994</v>
      </c>
      <c r="S369" s="31">
        <v>820.83799999999997</v>
      </c>
      <c r="T369" s="10" t="b">
        <f t="shared" si="88"/>
        <v>1</v>
      </c>
      <c r="U369" s="10" t="b">
        <f t="shared" si="89"/>
        <v>1</v>
      </c>
      <c r="V369" s="11">
        <f>VLOOKUP(IF(J369&lt;10, 10, IF(J369&gt;50,50,J369)),'Over to underbark'!$A$3:$C$43,IF(A369="Scots pine",3,IF(A369="Sitka spruce",2, "error")),TRUE)/100</f>
        <v>0.85</v>
      </c>
      <c r="W369">
        <f t="shared" si="90"/>
        <v>49.129829999999998</v>
      </c>
      <c r="X369">
        <f t="shared" si="91"/>
        <v>627.94106999999997</v>
      </c>
      <c r="Y369">
        <f t="shared" si="92"/>
        <v>119.48310000000001</v>
      </c>
      <c r="Z369">
        <f t="shared" si="93"/>
        <v>288.22948231049998</v>
      </c>
      <c r="AA369">
        <f t="shared" si="94"/>
        <v>65.145831299999998</v>
      </c>
      <c r="AB369">
        <f t="shared" si="95"/>
        <v>96.555215749499993</v>
      </c>
      <c r="AC369">
        <f t="shared" si="96"/>
        <v>346.62347063999999</v>
      </c>
      <c r="AD369">
        <f>LOOKUP($A369,'Over to underbark'!$A$47:$A$48,'Over to underbark'!E$47:E$48)*Z369</f>
        <v>121.05638257040998</v>
      </c>
      <c r="AE369">
        <f>LOOKUP($A369,'Over to underbark'!$A$47:$A$48,'Over to underbark'!E$47:E$48)*AA369</f>
        <v>27.361249145999999</v>
      </c>
      <c r="AF369">
        <f>LOOKUP($A369,'Over to underbark'!$A$47:$A$48,'Over to underbark'!E$47:E$48)*AB369</f>
        <v>40.553190614789997</v>
      </c>
      <c r="AG369">
        <f>LOOKUP($A369,'Over to underbark'!$A$47:$A$48,'Over to underbark'!E$47:E$48)*AC369</f>
        <v>145.58185766879998</v>
      </c>
      <c r="AH369" t="b">
        <f t="shared" si="97"/>
        <v>1</v>
      </c>
      <c r="AI369" t="b">
        <f t="shared" si="98"/>
        <v>1</v>
      </c>
      <c r="AJ369">
        <f>LOOKUP(A369,'Over to underbark'!$A$47:$A$48,'Over to underbark'!E$47:E$48)*M369</f>
        <v>371.72519999999997</v>
      </c>
      <c r="AK369" s="22">
        <f>LOOKUP(A369,'Over to underbark'!$A$47:$A$48,'Over to underbark'!$B$47:$B$48)*AJ369</f>
        <v>126.386568</v>
      </c>
      <c r="AL369" s="22">
        <f>LOOKUP(A369,'Over to underbark'!$A$47:$A$48,'Over to underbark'!C$47:C$48)*AJ369</f>
        <v>130.10381999999998</v>
      </c>
      <c r="AM369" s="22">
        <f t="shared" si="99"/>
        <v>498.11176799999998</v>
      </c>
      <c r="AN369" s="36">
        <v>1118.5999999999999</v>
      </c>
      <c r="AO369" s="23">
        <f t="shared" si="100"/>
        <v>996.22353599999997</v>
      </c>
      <c r="AQ369">
        <f t="shared" si="87"/>
        <v>0.67164179104477606</v>
      </c>
    </row>
    <row r="370" spans="1:43" x14ac:dyDescent="0.35">
      <c r="A370" t="s">
        <v>41</v>
      </c>
      <c r="B370">
        <v>12</v>
      </c>
      <c r="C370">
        <v>2</v>
      </c>
      <c r="D370" t="s">
        <v>42</v>
      </c>
      <c r="E370">
        <v>2</v>
      </c>
      <c r="F370">
        <v>1</v>
      </c>
      <c r="G370" s="30">
        <v>92</v>
      </c>
      <c r="H370" s="30">
        <v>27.948</v>
      </c>
      <c r="I370" s="30">
        <v>722</v>
      </c>
      <c r="J370" s="30">
        <v>37.662999999999997</v>
      </c>
      <c r="K370" s="30">
        <v>80.424999999999997</v>
      </c>
      <c r="L370" s="30">
        <v>1.234</v>
      </c>
      <c r="M370" s="32">
        <v>890.54</v>
      </c>
      <c r="N370" s="30">
        <v>12.515000000000001</v>
      </c>
      <c r="O370" s="29">
        <v>9.68</v>
      </c>
      <c r="P370" s="31">
        <v>92</v>
      </c>
      <c r="Q370" s="31">
        <v>37.662999999999997</v>
      </c>
      <c r="R370" s="31">
        <v>63.290999999999997</v>
      </c>
      <c r="S370" s="31">
        <v>827.24900000000002</v>
      </c>
      <c r="T370" s="10" t="b">
        <f t="shared" si="88"/>
        <v>1</v>
      </c>
      <c r="U370" s="10" t="b">
        <f t="shared" si="89"/>
        <v>1</v>
      </c>
      <c r="V370" s="11">
        <f>VLOOKUP(IF(J370&lt;10, 10, IF(J370&gt;50,50,J370)),'Over to underbark'!$A$3:$C$43,IF(A370="Scots pine",3,IF(A370="Sitka spruce",2, "error")),TRUE)/100</f>
        <v>0.85</v>
      </c>
      <c r="W370">
        <f t="shared" si="90"/>
        <v>48.417614999999998</v>
      </c>
      <c r="X370">
        <f t="shared" si="91"/>
        <v>632.84548500000005</v>
      </c>
      <c r="Y370">
        <f t="shared" si="92"/>
        <v>120.22290000000001</v>
      </c>
      <c r="Z370">
        <f t="shared" si="93"/>
        <v>289.81148285025</v>
      </c>
      <c r="AA370">
        <f t="shared" si="94"/>
        <v>65.437387650000005</v>
      </c>
      <c r="AB370">
        <f t="shared" si="95"/>
        <v>96.906421779750005</v>
      </c>
      <c r="AC370">
        <f t="shared" si="96"/>
        <v>349.33070772000002</v>
      </c>
      <c r="AD370">
        <f>LOOKUP($A370,'Over to underbark'!$A$47:$A$48,'Over to underbark'!E$47:E$48)*Z370</f>
        <v>121.720822797105</v>
      </c>
      <c r="AE370">
        <f>LOOKUP($A370,'Over to underbark'!$A$47:$A$48,'Over to underbark'!E$47:E$48)*AA370</f>
        <v>27.483702813000001</v>
      </c>
      <c r="AF370">
        <f>LOOKUP($A370,'Over to underbark'!$A$47:$A$48,'Over to underbark'!E$47:E$48)*AB370</f>
        <v>40.700697147494999</v>
      </c>
      <c r="AG370">
        <f>LOOKUP($A370,'Over to underbark'!$A$47:$A$48,'Over to underbark'!E$47:E$48)*AC370</f>
        <v>146.7188972424</v>
      </c>
      <c r="AH370" t="b">
        <f t="shared" si="97"/>
        <v>1</v>
      </c>
      <c r="AI370" t="b">
        <f t="shared" si="98"/>
        <v>1</v>
      </c>
      <c r="AJ370">
        <f>LOOKUP(A370,'Over to underbark'!$A$47:$A$48,'Over to underbark'!E$47:E$48)*M370</f>
        <v>374.02679999999998</v>
      </c>
      <c r="AK370" s="22">
        <f>LOOKUP(A370,'Over to underbark'!$A$47:$A$48,'Over to underbark'!$B$47:$B$48)*AJ370</f>
        <v>127.169112</v>
      </c>
      <c r="AL370" s="22">
        <f>LOOKUP(A370,'Over to underbark'!$A$47:$A$48,'Over to underbark'!C$47:C$48)*AJ370</f>
        <v>130.90938</v>
      </c>
      <c r="AM370" s="22">
        <f t="shared" si="99"/>
        <v>501.19591199999996</v>
      </c>
      <c r="AN370" s="36">
        <v>1119.5999999999999</v>
      </c>
      <c r="AO370" s="23">
        <f t="shared" si="100"/>
        <v>1002.3918239999999</v>
      </c>
      <c r="AQ370">
        <f t="shared" si="87"/>
        <v>0.67164179104477617</v>
      </c>
    </row>
    <row r="371" spans="1:43" x14ac:dyDescent="0.35">
      <c r="A371" t="s">
        <v>41</v>
      </c>
      <c r="B371">
        <v>12</v>
      </c>
      <c r="C371">
        <v>2</v>
      </c>
      <c r="D371" t="s">
        <v>42</v>
      </c>
      <c r="E371">
        <v>2</v>
      </c>
      <c r="F371">
        <v>1</v>
      </c>
      <c r="G371" s="30">
        <v>93</v>
      </c>
      <c r="H371" s="30">
        <v>28.044</v>
      </c>
      <c r="I371" s="30">
        <v>718</v>
      </c>
      <c r="J371" s="30">
        <v>37.826000000000001</v>
      </c>
      <c r="K371" s="30">
        <v>80.712999999999994</v>
      </c>
      <c r="L371" s="30">
        <v>1.248</v>
      </c>
      <c r="M371" s="32">
        <v>896.02</v>
      </c>
      <c r="N371" s="30">
        <v>12.534000000000001</v>
      </c>
      <c r="O371" s="29">
        <v>9.6349999999999998</v>
      </c>
      <c r="P371" s="31">
        <v>93</v>
      </c>
      <c r="Q371" s="31">
        <v>37.826000000000001</v>
      </c>
      <c r="R371" s="31">
        <v>62.362000000000002</v>
      </c>
      <c r="S371" s="31">
        <v>833.65800000000002</v>
      </c>
      <c r="T371" s="10" t="b">
        <f t="shared" si="88"/>
        <v>1</v>
      </c>
      <c r="U371" s="10" t="b">
        <f t="shared" si="89"/>
        <v>1</v>
      </c>
      <c r="V371" s="11">
        <f>VLOOKUP(IF(J371&lt;10, 10, IF(J371&gt;50,50,J371)),'Over to underbark'!$A$3:$C$43,IF(A371="Scots pine",3,IF(A371="Sitka spruce",2, "error")),TRUE)/100</f>
        <v>0.85</v>
      </c>
      <c r="W371">
        <f t="shared" si="90"/>
        <v>47.70693</v>
      </c>
      <c r="X371">
        <f t="shared" si="91"/>
        <v>637.74837000000002</v>
      </c>
      <c r="Y371">
        <f t="shared" si="92"/>
        <v>120.96270000000001</v>
      </c>
      <c r="Z371">
        <f t="shared" si="93"/>
        <v>291.3937883955</v>
      </c>
      <c r="AA371">
        <f t="shared" si="94"/>
        <v>65.729112300000011</v>
      </c>
      <c r="AB371">
        <f t="shared" si="95"/>
        <v>97.257999064499998</v>
      </c>
      <c r="AC371">
        <f t="shared" si="96"/>
        <v>352.03710024000003</v>
      </c>
      <c r="AD371">
        <f>LOOKUP($A371,'Over to underbark'!$A$47:$A$48,'Over to underbark'!E$47:E$48)*Z371</f>
        <v>122.38539112610999</v>
      </c>
      <c r="AE371">
        <f>LOOKUP($A371,'Over to underbark'!$A$47:$A$48,'Over to underbark'!E$47:E$48)*AA371</f>
        <v>27.606227166000004</v>
      </c>
      <c r="AF371">
        <f>LOOKUP($A371,'Over to underbark'!$A$47:$A$48,'Over to underbark'!E$47:E$48)*AB371</f>
        <v>40.848359607089996</v>
      </c>
      <c r="AG371">
        <f>LOOKUP($A371,'Over to underbark'!$A$47:$A$48,'Over to underbark'!E$47:E$48)*AC371</f>
        <v>147.85558210080001</v>
      </c>
      <c r="AH371" t="b">
        <f t="shared" si="97"/>
        <v>1</v>
      </c>
      <c r="AI371" t="b">
        <f t="shared" si="98"/>
        <v>1</v>
      </c>
      <c r="AJ371">
        <f>LOOKUP(A371,'Over to underbark'!$A$47:$A$48,'Over to underbark'!E$47:E$48)*M371</f>
        <v>376.32839999999999</v>
      </c>
      <c r="AK371" s="22">
        <f>LOOKUP(A371,'Over to underbark'!$A$47:$A$48,'Over to underbark'!$B$47:$B$48)*AJ371</f>
        <v>127.951656</v>
      </c>
      <c r="AL371" s="22">
        <f>LOOKUP(A371,'Over to underbark'!$A$47:$A$48,'Over to underbark'!C$47:C$48)*AJ371</f>
        <v>131.71493999999998</v>
      </c>
      <c r="AM371" s="22">
        <f t="shared" si="99"/>
        <v>504.280056</v>
      </c>
      <c r="AN371" s="36">
        <v>1120.5999999999999</v>
      </c>
      <c r="AO371" s="23">
        <f t="shared" si="100"/>
        <v>1008.560112</v>
      </c>
      <c r="AQ371">
        <f t="shared" si="87"/>
        <v>0.67164179104477617</v>
      </c>
    </row>
    <row r="372" spans="1:43" x14ac:dyDescent="0.35">
      <c r="A372" t="s">
        <v>41</v>
      </c>
      <c r="B372">
        <v>12</v>
      </c>
      <c r="C372">
        <v>2</v>
      </c>
      <c r="D372" t="s">
        <v>42</v>
      </c>
      <c r="E372">
        <v>2</v>
      </c>
      <c r="F372">
        <v>1</v>
      </c>
      <c r="G372" s="30">
        <v>94</v>
      </c>
      <c r="H372" s="30">
        <v>28.14</v>
      </c>
      <c r="I372" s="30">
        <v>715</v>
      </c>
      <c r="J372" s="30">
        <v>37.99</v>
      </c>
      <c r="K372" s="30">
        <v>81.001000000000005</v>
      </c>
      <c r="L372" s="30">
        <v>1.262</v>
      </c>
      <c r="M372" s="32">
        <v>901.5</v>
      </c>
      <c r="N372" s="30">
        <v>12.552</v>
      </c>
      <c r="O372" s="29">
        <v>9.59</v>
      </c>
      <c r="P372" s="31">
        <v>94</v>
      </c>
      <c r="Q372" s="31">
        <v>37.99</v>
      </c>
      <c r="R372" s="31">
        <v>61.436</v>
      </c>
      <c r="S372" s="31">
        <v>840.06399999999996</v>
      </c>
      <c r="T372" s="10" t="b">
        <f t="shared" si="88"/>
        <v>1</v>
      </c>
      <c r="U372" s="10" t="b">
        <f t="shared" si="89"/>
        <v>1</v>
      </c>
      <c r="V372" s="11">
        <f>VLOOKUP(IF(J372&lt;10, 10, IF(J372&gt;50,50,J372)),'Over to underbark'!$A$3:$C$43,IF(A372="Scots pine",3,IF(A372="Sitka spruce",2, "error")),TRUE)/100</f>
        <v>0.85</v>
      </c>
      <c r="W372">
        <f t="shared" si="90"/>
        <v>46.998539999999998</v>
      </c>
      <c r="X372">
        <f t="shared" si="91"/>
        <v>642.64895999999999</v>
      </c>
      <c r="Y372">
        <f t="shared" si="92"/>
        <v>121.70250000000001</v>
      </c>
      <c r="Z372">
        <f t="shared" si="93"/>
        <v>292.976551449</v>
      </c>
      <c r="AA372">
        <f t="shared" si="94"/>
        <v>66.021089400000008</v>
      </c>
      <c r="AB372">
        <f t="shared" si="95"/>
        <v>97.610133230999992</v>
      </c>
      <c r="AC372">
        <f t="shared" si="96"/>
        <v>354.74222591999995</v>
      </c>
      <c r="AD372">
        <f>LOOKUP($A372,'Over to underbark'!$A$47:$A$48,'Over to underbark'!E$47:E$48)*Z372</f>
        <v>123.05015160857999</v>
      </c>
      <c r="AE372">
        <f>LOOKUP($A372,'Over to underbark'!$A$47:$A$48,'Over to underbark'!E$47:E$48)*AA372</f>
        <v>27.728857548000004</v>
      </c>
      <c r="AF372">
        <f>LOOKUP($A372,'Over to underbark'!$A$47:$A$48,'Over to underbark'!E$47:E$48)*AB372</f>
        <v>40.996255957019997</v>
      </c>
      <c r="AG372">
        <f>LOOKUP($A372,'Over to underbark'!$A$47:$A$48,'Over to underbark'!E$47:E$48)*AC372</f>
        <v>148.99173488639997</v>
      </c>
      <c r="AH372" t="b">
        <f t="shared" si="97"/>
        <v>1</v>
      </c>
      <c r="AI372" t="b">
        <f t="shared" si="98"/>
        <v>1</v>
      </c>
      <c r="AJ372">
        <f>LOOKUP(A372,'Over to underbark'!$A$47:$A$48,'Over to underbark'!E$47:E$48)*M372</f>
        <v>378.63</v>
      </c>
      <c r="AK372" s="22">
        <f>LOOKUP(A372,'Over to underbark'!$A$47:$A$48,'Over to underbark'!$B$47:$B$48)*AJ372</f>
        <v>128.73420000000002</v>
      </c>
      <c r="AL372" s="22">
        <f>LOOKUP(A372,'Over to underbark'!$A$47:$A$48,'Over to underbark'!C$47:C$48)*AJ372</f>
        <v>132.5205</v>
      </c>
      <c r="AM372" s="22">
        <f t="shared" si="99"/>
        <v>507.36419999999998</v>
      </c>
      <c r="AN372" s="36">
        <v>1121.5999999999999</v>
      </c>
      <c r="AO372" s="23">
        <f t="shared" si="100"/>
        <v>1014.7284</v>
      </c>
      <c r="AQ372">
        <f t="shared" si="87"/>
        <v>0.67164179104477606</v>
      </c>
    </row>
    <row r="373" spans="1:43" x14ac:dyDescent="0.35">
      <c r="A373" t="s">
        <v>41</v>
      </c>
      <c r="B373">
        <v>12</v>
      </c>
      <c r="C373">
        <v>2</v>
      </c>
      <c r="D373" t="s">
        <v>42</v>
      </c>
      <c r="E373">
        <v>2</v>
      </c>
      <c r="F373">
        <v>1</v>
      </c>
      <c r="G373" s="30">
        <v>95</v>
      </c>
      <c r="H373" s="30">
        <v>28.22</v>
      </c>
      <c r="I373" s="30">
        <v>712</v>
      </c>
      <c r="J373" s="30">
        <v>38.127000000000002</v>
      </c>
      <c r="K373" s="30">
        <v>81.245000000000005</v>
      </c>
      <c r="L373" s="30">
        <v>1.2729999999999999</v>
      </c>
      <c r="M373" s="32">
        <v>906.16</v>
      </c>
      <c r="N373" s="30">
        <v>12.573</v>
      </c>
      <c r="O373" s="29">
        <v>9.5389999999999997</v>
      </c>
      <c r="P373" s="31">
        <v>95</v>
      </c>
      <c r="Q373" s="31">
        <v>38.127000000000002</v>
      </c>
      <c r="R373" s="31">
        <v>60.676000000000002</v>
      </c>
      <c r="S373" s="31">
        <v>845.48400000000004</v>
      </c>
      <c r="T373" s="10" t="b">
        <f t="shared" si="88"/>
        <v>1</v>
      </c>
      <c r="U373" s="10" t="b">
        <f t="shared" si="89"/>
        <v>1</v>
      </c>
      <c r="V373" s="11">
        <f>VLOOKUP(IF(J373&lt;10, 10, IF(J373&gt;50,50,J373)),'Over to underbark'!$A$3:$C$43,IF(A373="Scots pine",3,IF(A373="Sitka spruce",2, "error")),TRUE)/100</f>
        <v>0.85</v>
      </c>
      <c r="W373">
        <f t="shared" si="90"/>
        <v>46.417140000000003</v>
      </c>
      <c r="X373">
        <f t="shared" si="91"/>
        <v>646.79525999999998</v>
      </c>
      <c r="Y373">
        <f t="shared" si="92"/>
        <v>122.33160000000004</v>
      </c>
      <c r="Z373">
        <f t="shared" si="93"/>
        <v>294.32666205900006</v>
      </c>
      <c r="AA373">
        <f t="shared" si="94"/>
        <v>66.271685400000024</v>
      </c>
      <c r="AB373">
        <f t="shared" si="95"/>
        <v>97.914669020999995</v>
      </c>
      <c r="AC373">
        <f t="shared" si="96"/>
        <v>357.03098352000001</v>
      </c>
      <c r="AD373">
        <f>LOOKUP($A373,'Over to underbark'!$A$47:$A$48,'Over to underbark'!E$47:E$48)*Z373</f>
        <v>123.61719806478001</v>
      </c>
      <c r="AE373">
        <f>LOOKUP($A373,'Over to underbark'!$A$47:$A$48,'Over to underbark'!E$47:E$48)*AA373</f>
        <v>27.834107868000007</v>
      </c>
      <c r="AF373">
        <f>LOOKUP($A373,'Over to underbark'!$A$47:$A$48,'Over to underbark'!E$47:E$48)*AB373</f>
        <v>41.124160988819995</v>
      </c>
      <c r="AG373">
        <f>LOOKUP($A373,'Over to underbark'!$A$47:$A$48,'Over to underbark'!E$47:E$48)*AC373</f>
        <v>149.95301307840001</v>
      </c>
      <c r="AH373" t="b">
        <f t="shared" si="97"/>
        <v>1</v>
      </c>
      <c r="AI373" t="b">
        <f t="shared" si="98"/>
        <v>1</v>
      </c>
      <c r="AJ373">
        <f>LOOKUP(A373,'Over to underbark'!$A$47:$A$48,'Over to underbark'!E$47:E$48)*M373</f>
        <v>380.5872</v>
      </c>
      <c r="AK373" s="22">
        <f>LOOKUP(A373,'Over to underbark'!$A$47:$A$48,'Over to underbark'!$B$47:$B$48)*AJ373</f>
        <v>129.39964800000001</v>
      </c>
      <c r="AL373" s="22">
        <f>LOOKUP(A373,'Over to underbark'!$A$47:$A$48,'Over to underbark'!C$47:C$48)*AJ373</f>
        <v>133.20551999999998</v>
      </c>
      <c r="AM373" s="22">
        <f t="shared" si="99"/>
        <v>509.98684800000001</v>
      </c>
      <c r="AN373" s="36">
        <v>1122.5999999999999</v>
      </c>
      <c r="AO373" s="23">
        <f t="shared" si="100"/>
        <v>1019.973696</v>
      </c>
      <c r="AQ373">
        <f t="shared" si="87"/>
        <v>0.67164179104477617</v>
      </c>
    </row>
    <row r="374" spans="1:43" x14ac:dyDescent="0.35">
      <c r="A374" t="s">
        <v>41</v>
      </c>
      <c r="B374">
        <v>12</v>
      </c>
      <c r="C374">
        <v>2</v>
      </c>
      <c r="D374" t="s">
        <v>42</v>
      </c>
      <c r="E374">
        <v>2</v>
      </c>
      <c r="F374">
        <v>1</v>
      </c>
      <c r="G374" s="30">
        <v>96</v>
      </c>
      <c r="H374" s="30">
        <v>28.3</v>
      </c>
      <c r="I374" s="30">
        <v>709</v>
      </c>
      <c r="J374" s="30">
        <v>38.264000000000003</v>
      </c>
      <c r="K374" s="30">
        <v>81.489000000000004</v>
      </c>
      <c r="L374" s="30">
        <v>1.2849999999999999</v>
      </c>
      <c r="M374" s="32">
        <v>910.82</v>
      </c>
      <c r="N374" s="30">
        <v>12.593999999999999</v>
      </c>
      <c r="O374" s="29">
        <v>9.4879999999999995</v>
      </c>
      <c r="P374" s="31">
        <v>96</v>
      </c>
      <c r="Q374" s="31">
        <v>38.264000000000003</v>
      </c>
      <c r="R374" s="31">
        <v>59.923999999999999</v>
      </c>
      <c r="S374" s="31">
        <v>850.89599999999996</v>
      </c>
      <c r="T374" s="10" t="b">
        <f t="shared" si="88"/>
        <v>1</v>
      </c>
      <c r="U374" s="10" t="b">
        <f t="shared" si="89"/>
        <v>1</v>
      </c>
      <c r="V374" s="11">
        <f>VLOOKUP(IF(J374&lt;10, 10, IF(J374&gt;50,50,J374)),'Over to underbark'!$A$3:$C$43,IF(A374="Scots pine",3,IF(A374="Sitka spruce",2, "error")),TRUE)/100</f>
        <v>0.85</v>
      </c>
      <c r="W374">
        <f t="shared" si="90"/>
        <v>45.841860000000004</v>
      </c>
      <c r="X374">
        <f t="shared" si="91"/>
        <v>650.93543999999997</v>
      </c>
      <c r="Y374">
        <f t="shared" si="92"/>
        <v>122.9607</v>
      </c>
      <c r="Z374">
        <f t="shared" si="93"/>
        <v>295.67799269099999</v>
      </c>
      <c r="AA374">
        <f t="shared" si="94"/>
        <v>66.522954600000006</v>
      </c>
      <c r="AB374">
        <f t="shared" si="95"/>
        <v>98.220689828999994</v>
      </c>
      <c r="AC374">
        <f t="shared" si="96"/>
        <v>359.31636287999999</v>
      </c>
      <c r="AD374">
        <f>LOOKUP($A374,'Over to underbark'!$A$47:$A$48,'Over to underbark'!E$47:E$48)*Z374</f>
        <v>124.18475693021999</v>
      </c>
      <c r="AE374">
        <f>LOOKUP($A374,'Over to underbark'!$A$47:$A$48,'Over to underbark'!E$47:E$48)*AA374</f>
        <v>27.939640932</v>
      </c>
      <c r="AF374">
        <f>LOOKUP($A374,'Over to underbark'!$A$47:$A$48,'Over to underbark'!E$47:E$48)*AB374</f>
        <v>41.252689728179995</v>
      </c>
      <c r="AG374">
        <f>LOOKUP($A374,'Over to underbark'!$A$47:$A$48,'Over to underbark'!E$47:E$48)*AC374</f>
        <v>150.9128724096</v>
      </c>
      <c r="AH374" t="b">
        <f t="shared" si="97"/>
        <v>1</v>
      </c>
      <c r="AI374" t="b">
        <f t="shared" si="98"/>
        <v>1</v>
      </c>
      <c r="AJ374">
        <f>LOOKUP(A374,'Over to underbark'!$A$47:$A$48,'Over to underbark'!E$47:E$48)*M374</f>
        <v>382.5444</v>
      </c>
      <c r="AK374" s="22">
        <f>LOOKUP(A374,'Over to underbark'!$A$47:$A$48,'Over to underbark'!$B$47:$B$48)*AJ374</f>
        <v>130.06509600000001</v>
      </c>
      <c r="AL374" s="22">
        <f>LOOKUP(A374,'Over to underbark'!$A$47:$A$48,'Over to underbark'!C$47:C$48)*AJ374</f>
        <v>133.89053999999999</v>
      </c>
      <c r="AM374" s="22">
        <f t="shared" si="99"/>
        <v>512.60949600000004</v>
      </c>
      <c r="AN374" s="36">
        <v>1123.5999999999999</v>
      </c>
      <c r="AO374" s="23">
        <f t="shared" si="100"/>
        <v>1025.2189920000001</v>
      </c>
      <c r="AQ374">
        <f t="shared" si="87"/>
        <v>0.67164179104477595</v>
      </c>
    </row>
    <row r="375" spans="1:43" x14ac:dyDescent="0.35">
      <c r="A375" t="s">
        <v>41</v>
      </c>
      <c r="B375">
        <v>12</v>
      </c>
      <c r="C375">
        <v>2</v>
      </c>
      <c r="D375" t="s">
        <v>42</v>
      </c>
      <c r="E375">
        <v>2</v>
      </c>
      <c r="F375">
        <v>1</v>
      </c>
      <c r="G375" s="30">
        <v>97</v>
      </c>
      <c r="H375" s="30">
        <v>28.38</v>
      </c>
      <c r="I375" s="30">
        <v>706</v>
      </c>
      <c r="J375" s="30">
        <v>38.402000000000001</v>
      </c>
      <c r="K375" s="30">
        <v>81.731999999999999</v>
      </c>
      <c r="L375" s="30">
        <v>1.2969999999999999</v>
      </c>
      <c r="M375" s="32">
        <v>915.48</v>
      </c>
      <c r="N375" s="30">
        <v>12.615</v>
      </c>
      <c r="O375" s="29">
        <v>9.4380000000000006</v>
      </c>
      <c r="P375" s="31">
        <v>97</v>
      </c>
      <c r="Q375" s="31">
        <v>38.402000000000001</v>
      </c>
      <c r="R375" s="31">
        <v>59.170999999999999</v>
      </c>
      <c r="S375" s="31">
        <v>856.30899999999997</v>
      </c>
      <c r="T375" s="10" t="b">
        <f t="shared" si="88"/>
        <v>1</v>
      </c>
      <c r="U375" s="10" t="b">
        <f t="shared" si="89"/>
        <v>1</v>
      </c>
      <c r="V375" s="11">
        <f>VLOOKUP(IF(J375&lt;10, 10, IF(J375&gt;50,50,J375)),'Over to underbark'!$A$3:$C$43,IF(A375="Scots pine",3,IF(A375="Sitka spruce",2, "error")),TRUE)/100</f>
        <v>0.85</v>
      </c>
      <c r="W375">
        <f t="shared" si="90"/>
        <v>45.265815000000003</v>
      </c>
      <c r="X375">
        <f t="shared" si="91"/>
        <v>655.07638499999996</v>
      </c>
      <c r="Y375">
        <f t="shared" si="92"/>
        <v>123.58980000000003</v>
      </c>
      <c r="Z375">
        <f t="shared" si="93"/>
        <v>297.02917082024999</v>
      </c>
      <c r="AA375">
        <f t="shared" si="94"/>
        <v>66.774139650000009</v>
      </c>
      <c r="AB375">
        <f t="shared" si="95"/>
        <v>98.526525009750003</v>
      </c>
      <c r="AC375">
        <f t="shared" si="96"/>
        <v>361.60216451999997</v>
      </c>
      <c r="AD375">
        <f>LOOKUP($A375,'Over to underbark'!$A$47:$A$48,'Over to underbark'!E$47:E$48)*Z375</f>
        <v>124.75225174450499</v>
      </c>
      <c r="AE375">
        <f>LOOKUP($A375,'Over to underbark'!$A$47:$A$48,'Over to underbark'!E$47:E$48)*AA375</f>
        <v>28.045138653000002</v>
      </c>
      <c r="AF375">
        <f>LOOKUP($A375,'Over to underbark'!$A$47:$A$48,'Over to underbark'!E$47:E$48)*AB375</f>
        <v>41.381140504095001</v>
      </c>
      <c r="AG375">
        <f>LOOKUP($A375,'Over to underbark'!$A$47:$A$48,'Over to underbark'!E$47:E$48)*AC375</f>
        <v>151.87290909839999</v>
      </c>
      <c r="AH375" t="b">
        <f t="shared" si="97"/>
        <v>1</v>
      </c>
      <c r="AI375" t="b">
        <f t="shared" si="98"/>
        <v>1</v>
      </c>
      <c r="AJ375">
        <f>LOOKUP(A375,'Over to underbark'!$A$47:$A$48,'Over to underbark'!E$47:E$48)*M375</f>
        <v>384.5016</v>
      </c>
      <c r="AK375" s="22">
        <f>LOOKUP(A375,'Over to underbark'!$A$47:$A$48,'Over to underbark'!$B$47:$B$48)*AJ375</f>
        <v>130.73054400000001</v>
      </c>
      <c r="AL375" s="22">
        <f>LOOKUP(A375,'Over to underbark'!$A$47:$A$48,'Over to underbark'!C$47:C$48)*AJ375</f>
        <v>134.57556</v>
      </c>
      <c r="AM375" s="22">
        <f t="shared" si="99"/>
        <v>515.23214400000006</v>
      </c>
      <c r="AN375" s="36">
        <v>1124.5999999999999</v>
      </c>
      <c r="AO375" s="23">
        <f t="shared" si="100"/>
        <v>1030.4642880000001</v>
      </c>
      <c r="AQ375">
        <f t="shared" si="87"/>
        <v>0.67164179104477595</v>
      </c>
    </row>
    <row r="376" spans="1:43" x14ac:dyDescent="0.35">
      <c r="A376" t="s">
        <v>41</v>
      </c>
      <c r="B376">
        <v>12</v>
      </c>
      <c r="C376">
        <v>2</v>
      </c>
      <c r="D376" t="s">
        <v>42</v>
      </c>
      <c r="E376">
        <v>2</v>
      </c>
      <c r="F376">
        <v>1</v>
      </c>
      <c r="G376" s="30">
        <v>98</v>
      </c>
      <c r="H376" s="30">
        <v>28.46</v>
      </c>
      <c r="I376" s="30">
        <v>703</v>
      </c>
      <c r="J376" s="30">
        <v>38.540999999999997</v>
      </c>
      <c r="K376" s="30">
        <v>81.975999999999999</v>
      </c>
      <c r="L376" s="30">
        <v>1.3089999999999999</v>
      </c>
      <c r="M376" s="32">
        <v>920.14</v>
      </c>
      <c r="N376" s="30">
        <v>12.635999999999999</v>
      </c>
      <c r="O376" s="29">
        <v>9.3889999999999993</v>
      </c>
      <c r="P376" s="31">
        <v>98</v>
      </c>
      <c r="Q376" s="31">
        <v>38.540999999999997</v>
      </c>
      <c r="R376" s="31">
        <v>58.417999999999999</v>
      </c>
      <c r="S376" s="31">
        <v>861.72199999999998</v>
      </c>
      <c r="T376" s="10" t="b">
        <f t="shared" si="88"/>
        <v>1</v>
      </c>
      <c r="U376" s="10" t="b">
        <f t="shared" si="89"/>
        <v>1</v>
      </c>
      <c r="V376" s="11">
        <f>VLOOKUP(IF(J376&lt;10, 10, IF(J376&gt;50,50,J376)),'Over to underbark'!$A$3:$C$43,IF(A376="Scots pine",3,IF(A376="Sitka spruce",2, "error")),TRUE)/100</f>
        <v>0.85</v>
      </c>
      <c r="W376">
        <f t="shared" si="90"/>
        <v>44.689769999999996</v>
      </c>
      <c r="X376">
        <f t="shared" si="91"/>
        <v>659.21732999999995</v>
      </c>
      <c r="Y376">
        <f t="shared" si="92"/>
        <v>124.21890000000002</v>
      </c>
      <c r="Z376">
        <f t="shared" si="93"/>
        <v>298.38034894949999</v>
      </c>
      <c r="AA376">
        <f t="shared" si="94"/>
        <v>67.025324700000013</v>
      </c>
      <c r="AB376">
        <f t="shared" si="95"/>
        <v>98.832360190499998</v>
      </c>
      <c r="AC376">
        <f t="shared" si="96"/>
        <v>363.88796615999996</v>
      </c>
      <c r="AD376">
        <f>LOOKUP($A376,'Over to underbark'!$A$47:$A$48,'Over to underbark'!E$47:E$48)*Z376</f>
        <v>125.31974655878999</v>
      </c>
      <c r="AE376">
        <f>LOOKUP($A376,'Over to underbark'!$A$47:$A$48,'Over to underbark'!E$47:E$48)*AA376</f>
        <v>28.150636374000005</v>
      </c>
      <c r="AF376">
        <f>LOOKUP($A376,'Over to underbark'!$A$47:$A$48,'Over to underbark'!E$47:E$48)*AB376</f>
        <v>41.50959128001</v>
      </c>
      <c r="AG376">
        <f>LOOKUP($A376,'Over to underbark'!$A$47:$A$48,'Over to underbark'!E$47:E$48)*AC376</f>
        <v>152.83294578719998</v>
      </c>
      <c r="AH376" t="b">
        <f t="shared" si="97"/>
        <v>1</v>
      </c>
      <c r="AI376" t="b">
        <f t="shared" si="98"/>
        <v>1</v>
      </c>
      <c r="AJ376">
        <f>LOOKUP(A376,'Over to underbark'!$A$47:$A$48,'Over to underbark'!E$47:E$48)*M376</f>
        <v>386.4588</v>
      </c>
      <c r="AK376" s="22">
        <f>LOOKUP(A376,'Over to underbark'!$A$47:$A$48,'Over to underbark'!$B$47:$B$48)*AJ376</f>
        <v>131.39599200000001</v>
      </c>
      <c r="AL376" s="22">
        <f>LOOKUP(A376,'Over to underbark'!$A$47:$A$48,'Over to underbark'!C$47:C$48)*AJ376</f>
        <v>135.26057999999998</v>
      </c>
      <c r="AM376" s="22">
        <f t="shared" si="99"/>
        <v>517.85479199999997</v>
      </c>
      <c r="AN376" s="36">
        <v>1125.5999999999999</v>
      </c>
      <c r="AO376" s="23">
        <f t="shared" si="100"/>
        <v>1035.7095839999999</v>
      </c>
      <c r="AQ376">
        <f t="shared" si="87"/>
        <v>0.67164179104477606</v>
      </c>
    </row>
    <row r="377" spans="1:43" x14ac:dyDescent="0.35">
      <c r="A377" t="s">
        <v>41</v>
      </c>
      <c r="B377">
        <v>12</v>
      </c>
      <c r="C377">
        <v>2</v>
      </c>
      <c r="D377" t="s">
        <v>42</v>
      </c>
      <c r="E377">
        <v>2</v>
      </c>
      <c r="F377">
        <v>1</v>
      </c>
      <c r="G377" s="30">
        <v>99</v>
      </c>
      <c r="H377" s="30">
        <v>28.54</v>
      </c>
      <c r="I377" s="30">
        <v>700</v>
      </c>
      <c r="J377" s="30">
        <v>38.68</v>
      </c>
      <c r="K377" s="30">
        <v>82.218999999999994</v>
      </c>
      <c r="L377" s="30">
        <v>1.3220000000000001</v>
      </c>
      <c r="M377" s="32">
        <v>924.8</v>
      </c>
      <c r="N377" s="30">
        <v>12.656000000000001</v>
      </c>
      <c r="O377" s="29">
        <v>9.3409999999999993</v>
      </c>
      <c r="P377" s="31">
        <v>99</v>
      </c>
      <c r="Q377" s="31">
        <v>38.68</v>
      </c>
      <c r="R377" s="31">
        <v>57.671999999999997</v>
      </c>
      <c r="S377" s="31">
        <v>867.12800000000004</v>
      </c>
      <c r="T377" s="10" t="b">
        <f t="shared" si="88"/>
        <v>1</v>
      </c>
      <c r="U377" s="10" t="b">
        <f t="shared" si="89"/>
        <v>1</v>
      </c>
      <c r="V377" s="11">
        <f>VLOOKUP(IF(J377&lt;10, 10, IF(J377&gt;50,50,J377)),'Over to underbark'!$A$3:$C$43,IF(A377="Scots pine",3,IF(A377="Sitka spruce",2, "error")),TRUE)/100</f>
        <v>0.85</v>
      </c>
      <c r="W377">
        <f t="shared" si="90"/>
        <v>44.119079999999997</v>
      </c>
      <c r="X377">
        <f t="shared" si="91"/>
        <v>663.35292000000004</v>
      </c>
      <c r="Y377">
        <f t="shared" si="92"/>
        <v>124.84800000000003</v>
      </c>
      <c r="Z377">
        <f t="shared" si="93"/>
        <v>299.73259459800005</v>
      </c>
      <c r="AA377">
        <f t="shared" si="94"/>
        <v>67.277098800000019</v>
      </c>
      <c r="AB377">
        <f t="shared" si="95"/>
        <v>99.139494761999998</v>
      </c>
      <c r="AC377">
        <f t="shared" si="96"/>
        <v>366.17081184</v>
      </c>
      <c r="AD377">
        <f>LOOKUP($A377,'Over to underbark'!$A$47:$A$48,'Over to underbark'!E$47:E$48)*Z377</f>
        <v>125.88768973116001</v>
      </c>
      <c r="AE377">
        <f>LOOKUP($A377,'Over to underbark'!$A$47:$A$48,'Over to underbark'!E$47:E$48)*AA377</f>
        <v>28.256381496000007</v>
      </c>
      <c r="AF377">
        <f>LOOKUP($A377,'Over to underbark'!$A$47:$A$48,'Over to underbark'!E$47:E$48)*AB377</f>
        <v>41.63858780004</v>
      </c>
      <c r="AG377">
        <f>LOOKUP($A377,'Over to underbark'!$A$47:$A$48,'Over to underbark'!E$47:E$48)*AC377</f>
        <v>153.7917409728</v>
      </c>
      <c r="AH377" t="b">
        <f t="shared" si="97"/>
        <v>1</v>
      </c>
      <c r="AI377" t="b">
        <f t="shared" si="98"/>
        <v>1</v>
      </c>
      <c r="AJ377">
        <f>LOOKUP(A377,'Over to underbark'!$A$47:$A$48,'Over to underbark'!E$47:E$48)*M377</f>
        <v>388.41599999999994</v>
      </c>
      <c r="AK377" s="22">
        <f>LOOKUP(A377,'Over to underbark'!$A$47:$A$48,'Over to underbark'!$B$47:$B$48)*AJ377</f>
        <v>132.06143999999998</v>
      </c>
      <c r="AL377" s="22">
        <f>LOOKUP(A377,'Over to underbark'!$A$47:$A$48,'Over to underbark'!C$47:C$48)*AJ377</f>
        <v>135.94559999999996</v>
      </c>
      <c r="AM377" s="22">
        <f t="shared" si="99"/>
        <v>520.47743999999989</v>
      </c>
      <c r="AN377" s="36">
        <v>1126.5999999999999</v>
      </c>
      <c r="AO377" s="23">
        <f t="shared" si="100"/>
        <v>1040.9548799999998</v>
      </c>
      <c r="AQ377">
        <f t="shared" si="87"/>
        <v>0.67164179104477628</v>
      </c>
    </row>
    <row r="378" spans="1:43" x14ac:dyDescent="0.35">
      <c r="A378" t="s">
        <v>41</v>
      </c>
      <c r="B378">
        <v>14</v>
      </c>
      <c r="C378">
        <v>2</v>
      </c>
      <c r="D378" t="s">
        <v>42</v>
      </c>
      <c r="E378">
        <v>2</v>
      </c>
      <c r="F378">
        <v>1</v>
      </c>
      <c r="G378" s="30">
        <v>17</v>
      </c>
      <c r="H378" s="30">
        <v>8.84</v>
      </c>
      <c r="I378" s="30">
        <v>2159</v>
      </c>
      <c r="J378" s="30">
        <v>11.64</v>
      </c>
      <c r="K378" s="30">
        <v>22.975000000000001</v>
      </c>
      <c r="L378" s="30">
        <v>3.5000000000000003E-2</v>
      </c>
      <c r="M378" s="32">
        <v>75.099999999999994</v>
      </c>
      <c r="N378" s="30">
        <v>0</v>
      </c>
      <c r="O378" s="29">
        <v>4.4180000000000001</v>
      </c>
      <c r="P378" s="31">
        <v>17</v>
      </c>
      <c r="Q378" s="31">
        <v>11.64</v>
      </c>
      <c r="R378" s="31">
        <v>75.099999999999994</v>
      </c>
      <c r="S378" s="31">
        <v>0</v>
      </c>
      <c r="T378" s="10" t="b">
        <f t="shared" si="88"/>
        <v>1</v>
      </c>
      <c r="U378" s="10" t="b">
        <f t="shared" si="89"/>
        <v>1</v>
      </c>
      <c r="V378" s="11">
        <f>VLOOKUP(IF(J378&lt;10, 10, IF(J378&gt;50,50,J378)),'Over to underbark'!$A$3:$C$43,IF(A378="Scots pine",3,IF(A378="Sitka spruce",2, "error")),TRUE)/100</f>
        <v>0.66</v>
      </c>
      <c r="W378">
        <f t="shared" si="90"/>
        <v>44.609400000000001</v>
      </c>
      <c r="X378">
        <f t="shared" si="91"/>
        <v>0</v>
      </c>
      <c r="Y378">
        <f t="shared" si="92"/>
        <v>22.980599999999999</v>
      </c>
      <c r="Z378">
        <f t="shared" si="93"/>
        <v>34.792020090000001</v>
      </c>
      <c r="AA378">
        <f t="shared" si="94"/>
        <v>16.397334000000001</v>
      </c>
      <c r="AB378">
        <f t="shared" si="95"/>
        <v>16.400645910000001</v>
      </c>
      <c r="AC378">
        <f t="shared" si="96"/>
        <v>0</v>
      </c>
      <c r="AD378">
        <f>LOOKUP($A378,'Over to underbark'!$A$47:$A$48,'Over to underbark'!E$47:E$48)*Z378</f>
        <v>14.612648437800001</v>
      </c>
      <c r="AE378">
        <f>LOOKUP($A378,'Over to underbark'!$A$47:$A$48,'Over to underbark'!E$47:E$48)*AA378</f>
        <v>6.8868802799999997</v>
      </c>
      <c r="AF378">
        <f>LOOKUP($A378,'Over to underbark'!$A$47:$A$48,'Over to underbark'!E$47:E$48)*AB378</f>
        <v>6.8882712822000007</v>
      </c>
      <c r="AG378">
        <f>LOOKUP($A378,'Over to underbark'!$A$47:$A$48,'Over to underbark'!E$47:E$48)*AC378</f>
        <v>0</v>
      </c>
      <c r="AH378" t="b">
        <f t="shared" si="97"/>
        <v>1</v>
      </c>
      <c r="AI378" t="b">
        <f t="shared" si="98"/>
        <v>1</v>
      </c>
      <c r="AJ378">
        <f>LOOKUP(A378,'Over to underbark'!$A$47:$A$48,'Over to underbark'!E$47:E$48)*M378</f>
        <v>31.541999999999998</v>
      </c>
      <c r="AK378" s="22">
        <f>LOOKUP(A378,'Over to underbark'!$A$47:$A$48,'Over to underbark'!$B$47:$B$48)*AJ378</f>
        <v>10.72428</v>
      </c>
      <c r="AL378" s="22">
        <f>LOOKUP(A378,'Over to underbark'!$A$47:$A$48,'Over to underbark'!C$47:C$48)*AJ378</f>
        <v>11.039699999999998</v>
      </c>
      <c r="AM378" s="22">
        <f t="shared" si="99"/>
        <v>42.266279999999995</v>
      </c>
      <c r="AN378" s="36">
        <v>1127.5999999999999</v>
      </c>
      <c r="AO378" s="23">
        <f t="shared" si="100"/>
        <v>84.532559999999989</v>
      </c>
      <c r="AQ378">
        <f t="shared" si="87"/>
        <v>0.67164179104477628</v>
      </c>
    </row>
    <row r="379" spans="1:43" x14ac:dyDescent="0.35">
      <c r="A379" t="s">
        <v>41</v>
      </c>
      <c r="B379">
        <v>14</v>
      </c>
      <c r="C379">
        <v>2</v>
      </c>
      <c r="D379" t="s">
        <v>42</v>
      </c>
      <c r="E379">
        <v>2</v>
      </c>
      <c r="F379">
        <v>1</v>
      </c>
      <c r="G379" s="30">
        <v>18</v>
      </c>
      <c r="H379" s="30">
        <v>9.3680000000000003</v>
      </c>
      <c r="I379" s="30">
        <v>2120</v>
      </c>
      <c r="J379" s="30">
        <v>12.169</v>
      </c>
      <c r="K379" s="30">
        <v>24.655999999999999</v>
      </c>
      <c r="L379" s="30">
        <v>4.2000000000000003E-2</v>
      </c>
      <c r="M379" s="32">
        <v>88.78</v>
      </c>
      <c r="N379" s="30">
        <v>0</v>
      </c>
      <c r="O379" s="29">
        <v>4.9320000000000004</v>
      </c>
      <c r="P379" s="31">
        <v>18</v>
      </c>
      <c r="Q379" s="31">
        <v>12.169</v>
      </c>
      <c r="R379" s="31">
        <v>88.78</v>
      </c>
      <c r="S379" s="31">
        <v>0</v>
      </c>
      <c r="T379" s="10" t="b">
        <f t="shared" si="88"/>
        <v>1</v>
      </c>
      <c r="U379" s="10" t="b">
        <f t="shared" si="89"/>
        <v>1</v>
      </c>
      <c r="V379" s="11">
        <f>VLOOKUP(IF(J379&lt;10, 10, IF(J379&gt;50,50,J379)),'Over to underbark'!$A$3:$C$43,IF(A379="Scots pine",3,IF(A379="Sitka spruce",2, "error")),TRUE)/100</f>
        <v>0.74</v>
      </c>
      <c r="W379">
        <f t="shared" si="90"/>
        <v>59.127479999999998</v>
      </c>
      <c r="X379">
        <f t="shared" si="91"/>
        <v>0</v>
      </c>
      <c r="Y379">
        <f t="shared" si="92"/>
        <v>20.774520000000003</v>
      </c>
      <c r="Z379">
        <f t="shared" si="93"/>
        <v>41.272499178000004</v>
      </c>
      <c r="AA379">
        <f t="shared" si="94"/>
        <v>16.891282799999999</v>
      </c>
      <c r="AB379">
        <f t="shared" si="95"/>
        <v>21.738218021999998</v>
      </c>
      <c r="AC379">
        <f t="shared" si="96"/>
        <v>0</v>
      </c>
      <c r="AD379">
        <f>LOOKUP($A379,'Over to underbark'!$A$47:$A$48,'Over to underbark'!E$47:E$48)*Z379</f>
        <v>17.33444965476</v>
      </c>
      <c r="AE379">
        <f>LOOKUP($A379,'Over to underbark'!$A$47:$A$48,'Over to underbark'!E$47:E$48)*AA379</f>
        <v>7.094338775999999</v>
      </c>
      <c r="AF379">
        <f>LOOKUP($A379,'Over to underbark'!$A$47:$A$48,'Over to underbark'!E$47:E$48)*AB379</f>
        <v>9.1300515692399991</v>
      </c>
      <c r="AG379">
        <f>LOOKUP($A379,'Over to underbark'!$A$47:$A$48,'Over to underbark'!E$47:E$48)*AC379</f>
        <v>0</v>
      </c>
      <c r="AH379" t="b">
        <f t="shared" si="97"/>
        <v>1</v>
      </c>
      <c r="AI379" t="b">
        <f t="shared" si="98"/>
        <v>1</v>
      </c>
      <c r="AJ379">
        <f>LOOKUP(A379,'Over to underbark'!$A$47:$A$48,'Over to underbark'!E$47:E$48)*M379</f>
        <v>37.287599999999998</v>
      </c>
      <c r="AK379" s="22">
        <f>LOOKUP(A379,'Over to underbark'!$A$47:$A$48,'Over to underbark'!$B$47:$B$48)*AJ379</f>
        <v>12.677784000000001</v>
      </c>
      <c r="AL379" s="22">
        <f>LOOKUP(A379,'Over to underbark'!$A$47:$A$48,'Over to underbark'!C$47:C$48)*AJ379</f>
        <v>13.050659999999999</v>
      </c>
      <c r="AM379" s="22">
        <f t="shared" si="99"/>
        <v>49.965384</v>
      </c>
      <c r="AN379" s="36">
        <v>1128.5999999999999</v>
      </c>
      <c r="AO379" s="23">
        <f t="shared" si="100"/>
        <v>99.930768</v>
      </c>
      <c r="AQ379">
        <f t="shared" si="87"/>
        <v>0.67164179104477617</v>
      </c>
    </row>
    <row r="380" spans="1:43" x14ac:dyDescent="0.35">
      <c r="A380" t="s">
        <v>41</v>
      </c>
      <c r="B380">
        <v>14</v>
      </c>
      <c r="C380">
        <v>2</v>
      </c>
      <c r="D380" t="s">
        <v>42</v>
      </c>
      <c r="E380">
        <v>2</v>
      </c>
      <c r="F380">
        <v>1</v>
      </c>
      <c r="G380" s="30">
        <v>19</v>
      </c>
      <c r="H380" s="30">
        <v>9.8960000000000008</v>
      </c>
      <c r="I380" s="30">
        <v>2081</v>
      </c>
      <c r="J380" s="30">
        <v>12.694000000000001</v>
      </c>
      <c r="K380" s="30">
        <v>26.338000000000001</v>
      </c>
      <c r="L380" s="30">
        <v>4.9000000000000002E-2</v>
      </c>
      <c r="M380" s="32">
        <v>102.46</v>
      </c>
      <c r="N380" s="30">
        <v>0</v>
      </c>
      <c r="O380" s="29">
        <v>5.3929999999999998</v>
      </c>
      <c r="P380" s="31">
        <v>19</v>
      </c>
      <c r="Q380" s="31">
        <v>12.694000000000001</v>
      </c>
      <c r="R380" s="31">
        <v>102.43</v>
      </c>
      <c r="S380" s="31">
        <v>0.03</v>
      </c>
      <c r="T380" s="10" t="b">
        <f t="shared" si="88"/>
        <v>1</v>
      </c>
      <c r="U380" s="10" t="b">
        <f t="shared" si="89"/>
        <v>1</v>
      </c>
      <c r="V380" s="11">
        <f>VLOOKUP(IF(J380&lt;10, 10, IF(J380&gt;50,50,J380)),'Over to underbark'!$A$3:$C$43,IF(A380="Scots pine",3,IF(A380="Sitka spruce",2, "error")),TRUE)/100</f>
        <v>0.74</v>
      </c>
      <c r="W380">
        <f t="shared" si="90"/>
        <v>68.21838000000001</v>
      </c>
      <c r="X380">
        <f t="shared" si="91"/>
        <v>1.9980000000000001E-2</v>
      </c>
      <c r="Y380">
        <f t="shared" si="92"/>
        <v>23.975640000000006</v>
      </c>
      <c r="Z380">
        <f t="shared" si="93"/>
        <v>47.628144333000009</v>
      </c>
      <c r="AA380">
        <f t="shared" si="94"/>
        <v>19.491841800000003</v>
      </c>
      <c r="AB380">
        <f t="shared" si="95"/>
        <v>25.082984907000004</v>
      </c>
      <c r="AC380">
        <f t="shared" si="96"/>
        <v>1.1028960000000001E-2</v>
      </c>
      <c r="AD380">
        <f>LOOKUP($A380,'Over to underbark'!$A$47:$A$48,'Over to underbark'!E$47:E$48)*Z380</f>
        <v>20.003820619860004</v>
      </c>
      <c r="AE380">
        <f>LOOKUP($A380,'Over to underbark'!$A$47:$A$48,'Over to underbark'!E$47:E$48)*AA380</f>
        <v>8.1865735560000008</v>
      </c>
      <c r="AF380">
        <f>LOOKUP($A380,'Over to underbark'!$A$47:$A$48,'Over to underbark'!E$47:E$48)*AB380</f>
        <v>10.534853660940001</v>
      </c>
      <c r="AG380">
        <f>LOOKUP($A380,'Over to underbark'!$A$47:$A$48,'Over to underbark'!E$47:E$48)*AC380</f>
        <v>4.6321632E-3</v>
      </c>
      <c r="AH380" t="b">
        <f t="shared" si="97"/>
        <v>1</v>
      </c>
      <c r="AI380" t="b">
        <f t="shared" si="98"/>
        <v>1</v>
      </c>
      <c r="AJ380">
        <f>LOOKUP(A380,'Over to underbark'!$A$47:$A$48,'Over to underbark'!E$47:E$48)*M380</f>
        <v>43.033199999999994</v>
      </c>
      <c r="AK380" s="22">
        <f>LOOKUP(A380,'Over to underbark'!$A$47:$A$48,'Over to underbark'!$B$47:$B$48)*AJ380</f>
        <v>14.631288</v>
      </c>
      <c r="AL380" s="22">
        <f>LOOKUP(A380,'Over to underbark'!$A$47:$A$48,'Over to underbark'!C$47:C$48)*AJ380</f>
        <v>15.061619999999996</v>
      </c>
      <c r="AM380" s="22">
        <f t="shared" si="99"/>
        <v>57.664487999999992</v>
      </c>
      <c r="AN380" s="36">
        <v>1129.5999999999999</v>
      </c>
      <c r="AO380" s="23">
        <f t="shared" si="100"/>
        <v>115.32897599999998</v>
      </c>
      <c r="AQ380">
        <f t="shared" si="87"/>
        <v>0.67164179104477639</v>
      </c>
    </row>
    <row r="381" spans="1:43" x14ac:dyDescent="0.35">
      <c r="A381" t="s">
        <v>41</v>
      </c>
      <c r="B381">
        <v>14</v>
      </c>
      <c r="C381">
        <v>2</v>
      </c>
      <c r="D381" t="s">
        <v>42</v>
      </c>
      <c r="E381">
        <v>2</v>
      </c>
      <c r="F381">
        <v>1</v>
      </c>
      <c r="G381" s="30">
        <v>20</v>
      </c>
      <c r="H381" s="30">
        <v>10.423999999999999</v>
      </c>
      <c r="I381" s="30">
        <v>2042</v>
      </c>
      <c r="J381" s="30">
        <v>13.218</v>
      </c>
      <c r="K381" s="30">
        <v>28.02</v>
      </c>
      <c r="L381" s="30">
        <v>5.7000000000000002E-2</v>
      </c>
      <c r="M381" s="32">
        <v>116.14</v>
      </c>
      <c r="N381" s="30">
        <v>0</v>
      </c>
      <c r="O381" s="29">
        <v>5.8070000000000004</v>
      </c>
      <c r="P381" s="31">
        <v>20</v>
      </c>
      <c r="Q381" s="31">
        <v>13.218</v>
      </c>
      <c r="R381" s="31">
        <v>112.721</v>
      </c>
      <c r="S381" s="31">
        <v>3.419</v>
      </c>
      <c r="T381" s="10" t="b">
        <f t="shared" si="88"/>
        <v>1</v>
      </c>
      <c r="U381" s="10" t="b">
        <f t="shared" si="89"/>
        <v>1</v>
      </c>
      <c r="V381" s="11">
        <f>VLOOKUP(IF(J381&lt;10, 10, IF(J381&gt;50,50,J381)),'Over to underbark'!$A$3:$C$43,IF(A381="Scots pine",3,IF(A381="Sitka spruce",2, "error")),TRUE)/100</f>
        <v>0.79</v>
      </c>
      <c r="W381">
        <f t="shared" si="90"/>
        <v>80.144631000000004</v>
      </c>
      <c r="X381">
        <f t="shared" si="91"/>
        <v>2.4309090000000002</v>
      </c>
      <c r="Y381">
        <f t="shared" si="92"/>
        <v>21.950459999999996</v>
      </c>
      <c r="Z381">
        <f t="shared" si="93"/>
        <v>53.623961609849992</v>
      </c>
      <c r="AA381">
        <f t="shared" si="94"/>
        <v>19.79113941</v>
      </c>
      <c r="AB381">
        <f t="shared" si="95"/>
        <v>29.769037212150003</v>
      </c>
      <c r="AC381">
        <f t="shared" si="96"/>
        <v>1.341861768</v>
      </c>
      <c r="AD381">
        <f>LOOKUP($A381,'Over to underbark'!$A$47:$A$48,'Over to underbark'!E$47:E$48)*Z381</f>
        <v>22.522063876136997</v>
      </c>
      <c r="AE381">
        <f>LOOKUP($A381,'Over to underbark'!$A$47:$A$48,'Over to underbark'!E$47:E$48)*AA381</f>
        <v>8.3122785521999987</v>
      </c>
      <c r="AF381">
        <f>LOOKUP($A381,'Over to underbark'!$A$47:$A$48,'Over to underbark'!E$47:E$48)*AB381</f>
        <v>12.502995629103001</v>
      </c>
      <c r="AG381">
        <f>LOOKUP($A381,'Over to underbark'!$A$47:$A$48,'Over to underbark'!E$47:E$48)*AC381</f>
        <v>0.56358194255999994</v>
      </c>
      <c r="AH381" t="b">
        <f t="shared" si="97"/>
        <v>1</v>
      </c>
      <c r="AI381" t="b">
        <f t="shared" si="98"/>
        <v>1</v>
      </c>
      <c r="AJ381">
        <f>LOOKUP(A381,'Over to underbark'!$A$47:$A$48,'Over to underbark'!E$47:E$48)*M381</f>
        <v>48.778799999999997</v>
      </c>
      <c r="AK381" s="22">
        <f>LOOKUP(A381,'Over to underbark'!$A$47:$A$48,'Over to underbark'!$B$47:$B$48)*AJ381</f>
        <v>16.584792</v>
      </c>
      <c r="AL381" s="22">
        <f>LOOKUP(A381,'Over to underbark'!$A$47:$A$48,'Over to underbark'!C$47:C$48)*AJ381</f>
        <v>17.072579999999999</v>
      </c>
      <c r="AM381" s="22">
        <f t="shared" si="99"/>
        <v>65.363591999999997</v>
      </c>
      <c r="AN381" s="36">
        <v>1130.5999999999999</v>
      </c>
      <c r="AO381" s="23">
        <f t="shared" si="100"/>
        <v>130.72718399999999</v>
      </c>
      <c r="AQ381">
        <f t="shared" si="87"/>
        <v>0.67164179104477606</v>
      </c>
    </row>
    <row r="382" spans="1:43" x14ac:dyDescent="0.35">
      <c r="A382" t="s">
        <v>41</v>
      </c>
      <c r="B382">
        <v>14</v>
      </c>
      <c r="C382">
        <v>2</v>
      </c>
      <c r="D382" t="s">
        <v>42</v>
      </c>
      <c r="E382">
        <v>2</v>
      </c>
      <c r="F382">
        <v>1</v>
      </c>
      <c r="G382" s="30">
        <v>21</v>
      </c>
      <c r="H382" s="30">
        <v>10.952</v>
      </c>
      <c r="I382" s="30">
        <v>2003</v>
      </c>
      <c r="J382" s="30">
        <v>13.74</v>
      </c>
      <c r="K382" s="30">
        <v>29.701000000000001</v>
      </c>
      <c r="L382" s="30">
        <v>6.5000000000000002E-2</v>
      </c>
      <c r="M382" s="32">
        <v>129.82</v>
      </c>
      <c r="N382" s="30">
        <v>0</v>
      </c>
      <c r="O382" s="29">
        <v>6.1820000000000004</v>
      </c>
      <c r="P382" s="31">
        <v>21</v>
      </c>
      <c r="Q382" s="31">
        <v>13.74</v>
      </c>
      <c r="R382" s="31">
        <v>122.107</v>
      </c>
      <c r="S382" s="31">
        <v>7.7130000000000001</v>
      </c>
      <c r="T382" s="10" t="b">
        <f t="shared" si="88"/>
        <v>1</v>
      </c>
      <c r="U382" s="10" t="b">
        <f t="shared" si="89"/>
        <v>1</v>
      </c>
      <c r="V382" s="11">
        <f>VLOOKUP(IF(J382&lt;10, 10, IF(J382&gt;50,50,J382)),'Over to underbark'!$A$3:$C$43,IF(A382="Scots pine",3,IF(A382="Sitka spruce",2, "error")),TRUE)/100</f>
        <v>0.79</v>
      </c>
      <c r="W382">
        <f t="shared" si="90"/>
        <v>86.818077000000002</v>
      </c>
      <c r="X382">
        <f t="shared" si="91"/>
        <v>5.483943</v>
      </c>
      <c r="Y382">
        <f t="shared" si="92"/>
        <v>24.535979999999995</v>
      </c>
      <c r="Z382">
        <f t="shared" si="93"/>
        <v>59.388726109949999</v>
      </c>
      <c r="AA382">
        <f t="shared" si="94"/>
        <v>21.81797847</v>
      </c>
      <c r="AB382">
        <f t="shared" si="95"/>
        <v>32.604158884050001</v>
      </c>
      <c r="AC382">
        <f t="shared" si="96"/>
        <v>3.027136536</v>
      </c>
      <c r="AD382">
        <f>LOOKUP($A382,'Over to underbark'!$A$47:$A$48,'Over to underbark'!E$47:E$48)*Z382</f>
        <v>24.943264966178997</v>
      </c>
      <c r="AE382">
        <f>LOOKUP($A382,'Over to underbark'!$A$47:$A$48,'Over to underbark'!E$47:E$48)*AA382</f>
        <v>9.1635509574</v>
      </c>
      <c r="AF382">
        <f>LOOKUP($A382,'Over to underbark'!$A$47:$A$48,'Over to underbark'!E$47:E$48)*AB382</f>
        <v>13.693746731300999</v>
      </c>
      <c r="AG382">
        <f>LOOKUP($A382,'Over to underbark'!$A$47:$A$48,'Over to underbark'!E$47:E$48)*AC382</f>
        <v>1.27139734512</v>
      </c>
      <c r="AH382" t="b">
        <f t="shared" si="97"/>
        <v>1</v>
      </c>
      <c r="AI382" t="b">
        <f t="shared" si="98"/>
        <v>1</v>
      </c>
      <c r="AJ382">
        <f>LOOKUP(A382,'Over to underbark'!$A$47:$A$48,'Over to underbark'!E$47:E$48)*M382</f>
        <v>54.524399999999993</v>
      </c>
      <c r="AK382" s="22">
        <f>LOOKUP(A382,'Over to underbark'!$A$47:$A$48,'Over to underbark'!$B$47:$B$48)*AJ382</f>
        <v>18.538295999999999</v>
      </c>
      <c r="AL382" s="22">
        <f>LOOKUP(A382,'Over to underbark'!$A$47:$A$48,'Over to underbark'!C$47:C$48)*AJ382</f>
        <v>19.083539999999996</v>
      </c>
      <c r="AM382" s="22">
        <f t="shared" si="99"/>
        <v>73.062695999999988</v>
      </c>
      <c r="AN382" s="36">
        <v>1131.5999999999999</v>
      </c>
      <c r="AO382" s="23">
        <f t="shared" si="100"/>
        <v>146.12539199999998</v>
      </c>
      <c r="AQ382">
        <f t="shared" si="87"/>
        <v>0.67164179104477617</v>
      </c>
    </row>
    <row r="383" spans="1:43" x14ac:dyDescent="0.35">
      <c r="A383" t="s">
        <v>41</v>
      </c>
      <c r="B383">
        <v>14</v>
      </c>
      <c r="C383">
        <v>2</v>
      </c>
      <c r="D383" t="s">
        <v>42</v>
      </c>
      <c r="E383">
        <v>2</v>
      </c>
      <c r="F383">
        <v>1</v>
      </c>
      <c r="G383" s="30">
        <v>22</v>
      </c>
      <c r="H383" s="30">
        <v>11.48</v>
      </c>
      <c r="I383" s="30">
        <v>1965</v>
      </c>
      <c r="J383" s="30">
        <v>14.26</v>
      </c>
      <c r="K383" s="30">
        <v>31.382999999999999</v>
      </c>
      <c r="L383" s="30">
        <v>7.2999999999999995E-2</v>
      </c>
      <c r="M383" s="32">
        <v>143.5</v>
      </c>
      <c r="N383" s="30">
        <v>0</v>
      </c>
      <c r="O383" s="29">
        <v>6.5229999999999997</v>
      </c>
      <c r="P383" s="31">
        <v>22</v>
      </c>
      <c r="Q383" s="31">
        <v>14.26</v>
      </c>
      <c r="R383" s="31">
        <v>130.58099999999999</v>
      </c>
      <c r="S383" s="31">
        <v>12.919</v>
      </c>
      <c r="T383" s="10" t="b">
        <f t="shared" si="88"/>
        <v>1</v>
      </c>
      <c r="U383" s="10" t="b">
        <f t="shared" si="89"/>
        <v>1</v>
      </c>
      <c r="V383" s="11">
        <f>VLOOKUP(IF(J383&lt;10, 10, IF(J383&gt;50,50,J383)),'Over to underbark'!$A$3:$C$43,IF(A383="Scots pine",3,IF(A383="Sitka spruce",2, "error")),TRUE)/100</f>
        <v>0.82</v>
      </c>
      <c r="W383">
        <f t="shared" si="90"/>
        <v>96.368777999999992</v>
      </c>
      <c r="X383">
        <f t="shared" si="91"/>
        <v>9.5342219999999998</v>
      </c>
      <c r="Y383">
        <f t="shared" si="92"/>
        <v>23.247000000000007</v>
      </c>
      <c r="Z383">
        <f t="shared" si="93"/>
        <v>65.041284894300006</v>
      </c>
      <c r="AA383">
        <f t="shared" si="94"/>
        <v>22.224065580000001</v>
      </c>
      <c r="AB383">
        <f t="shared" si="95"/>
        <v>36.621758981699998</v>
      </c>
      <c r="AC383">
        <f t="shared" si="96"/>
        <v>5.2628905439999993</v>
      </c>
      <c r="AD383">
        <f>LOOKUP($A383,'Over to underbark'!$A$47:$A$48,'Over to underbark'!E$47:E$48)*Z383</f>
        <v>27.317339655606002</v>
      </c>
      <c r="AE383">
        <f>LOOKUP($A383,'Over to underbark'!$A$47:$A$48,'Over to underbark'!E$47:E$48)*AA383</f>
        <v>9.3341075436000001</v>
      </c>
      <c r="AF383">
        <f>LOOKUP($A383,'Over to underbark'!$A$47:$A$48,'Over to underbark'!E$47:E$48)*AB383</f>
        <v>15.381138772313998</v>
      </c>
      <c r="AG383">
        <f>LOOKUP($A383,'Over to underbark'!$A$47:$A$48,'Over to underbark'!E$47:E$48)*AC383</f>
        <v>2.2104140284799998</v>
      </c>
      <c r="AH383" t="b">
        <f t="shared" si="97"/>
        <v>1</v>
      </c>
      <c r="AI383" t="b">
        <f t="shared" si="98"/>
        <v>1</v>
      </c>
      <c r="AJ383">
        <f>LOOKUP(A383,'Over to underbark'!$A$47:$A$48,'Over to underbark'!E$47:E$48)*M383</f>
        <v>60.269999999999996</v>
      </c>
      <c r="AK383" s="22">
        <f>LOOKUP(A383,'Over to underbark'!$A$47:$A$48,'Over to underbark'!$B$47:$B$48)*AJ383</f>
        <v>20.491800000000001</v>
      </c>
      <c r="AL383" s="22">
        <f>LOOKUP(A383,'Over to underbark'!$A$47:$A$48,'Over to underbark'!C$47:C$48)*AJ383</f>
        <v>21.094499999999996</v>
      </c>
      <c r="AM383" s="22">
        <f t="shared" si="99"/>
        <v>80.761799999999994</v>
      </c>
      <c r="AN383" s="36">
        <v>1132.5999999999999</v>
      </c>
      <c r="AO383" s="23">
        <f t="shared" si="100"/>
        <v>161.52359999999999</v>
      </c>
      <c r="AQ383">
        <f t="shared" si="87"/>
        <v>0.67164179104477617</v>
      </c>
    </row>
    <row r="384" spans="1:43" x14ac:dyDescent="0.35">
      <c r="A384" t="s">
        <v>41</v>
      </c>
      <c r="B384">
        <v>14</v>
      </c>
      <c r="C384">
        <v>2</v>
      </c>
      <c r="D384" t="s">
        <v>42</v>
      </c>
      <c r="E384">
        <v>2</v>
      </c>
      <c r="F384">
        <v>1</v>
      </c>
      <c r="G384" s="30">
        <v>23</v>
      </c>
      <c r="H384" s="30">
        <v>11.942</v>
      </c>
      <c r="I384" s="30">
        <v>1918</v>
      </c>
      <c r="J384" s="30">
        <v>14.760999999999999</v>
      </c>
      <c r="K384" s="30">
        <v>32.822000000000003</v>
      </c>
      <c r="L384" s="30">
        <v>8.3000000000000004E-2</v>
      </c>
      <c r="M384" s="32">
        <v>159.06</v>
      </c>
      <c r="N384" s="30">
        <v>0.5</v>
      </c>
      <c r="O384" s="29">
        <v>6.9160000000000004</v>
      </c>
      <c r="P384" s="31">
        <v>23</v>
      </c>
      <c r="Q384" s="31">
        <v>14.760999999999999</v>
      </c>
      <c r="R384" s="31">
        <v>139.96</v>
      </c>
      <c r="S384" s="31">
        <v>19.100000000000001</v>
      </c>
      <c r="T384" s="10" t="b">
        <f t="shared" si="88"/>
        <v>1</v>
      </c>
      <c r="U384" s="10" t="b">
        <f t="shared" si="89"/>
        <v>1</v>
      </c>
      <c r="V384" s="11">
        <f>VLOOKUP(IF(J384&lt;10, 10, IF(J384&gt;50,50,J384)),'Over to underbark'!$A$3:$C$43,IF(A384="Scots pine",3,IF(A384="Sitka spruce",2, "error")),TRUE)/100</f>
        <v>0.82</v>
      </c>
      <c r="W384">
        <f t="shared" si="90"/>
        <v>103.29048</v>
      </c>
      <c r="X384">
        <f t="shared" si="91"/>
        <v>14.095800000000001</v>
      </c>
      <c r="Y384">
        <f t="shared" si="92"/>
        <v>25.767720000000008</v>
      </c>
      <c r="Z384">
        <f t="shared" si="93"/>
        <v>71.390585628000025</v>
      </c>
      <c r="AA384">
        <f t="shared" si="94"/>
        <v>24.245812800000003</v>
      </c>
      <c r="AB384">
        <f t="shared" si="95"/>
        <v>39.736719971999996</v>
      </c>
      <c r="AC384">
        <f t="shared" si="96"/>
        <v>7.7808816000000007</v>
      </c>
      <c r="AD384">
        <f>LOOKUP($A384,'Over to underbark'!$A$47:$A$48,'Over to underbark'!E$47:E$48)*Z384</f>
        <v>29.984045963760011</v>
      </c>
      <c r="AE384">
        <f>LOOKUP($A384,'Over to underbark'!$A$47:$A$48,'Over to underbark'!E$47:E$48)*AA384</f>
        <v>10.183241376000002</v>
      </c>
      <c r="AF384">
        <f>LOOKUP($A384,'Over to underbark'!$A$47:$A$48,'Over to underbark'!E$47:E$48)*AB384</f>
        <v>16.689422388239997</v>
      </c>
      <c r="AG384">
        <f>LOOKUP($A384,'Over to underbark'!$A$47:$A$48,'Over to underbark'!E$47:E$48)*AC384</f>
        <v>3.2679702720000003</v>
      </c>
      <c r="AH384" t="b">
        <f t="shared" si="97"/>
        <v>1</v>
      </c>
      <c r="AI384" t="b">
        <f t="shared" si="98"/>
        <v>1</v>
      </c>
      <c r="AJ384">
        <f>LOOKUP(A384,'Over to underbark'!$A$47:$A$48,'Over to underbark'!E$47:E$48)*M384</f>
        <v>66.805199999999999</v>
      </c>
      <c r="AK384" s="22">
        <f>LOOKUP(A384,'Over to underbark'!$A$47:$A$48,'Over to underbark'!$B$47:$B$48)*AJ384</f>
        <v>22.713768000000002</v>
      </c>
      <c r="AL384" s="22">
        <f>LOOKUP(A384,'Over to underbark'!$A$47:$A$48,'Over to underbark'!C$47:C$48)*AJ384</f>
        <v>23.381819999999998</v>
      </c>
      <c r="AM384" s="22">
        <f t="shared" si="99"/>
        <v>89.518968000000001</v>
      </c>
      <c r="AN384" s="36">
        <v>1133.5999999999999</v>
      </c>
      <c r="AO384" s="23">
        <f t="shared" si="100"/>
        <v>179.037936</v>
      </c>
      <c r="AQ384">
        <f t="shared" si="87"/>
        <v>0.67164179104477617</v>
      </c>
    </row>
    <row r="385" spans="1:43" x14ac:dyDescent="0.35">
      <c r="A385" t="s">
        <v>41</v>
      </c>
      <c r="B385">
        <v>14</v>
      </c>
      <c r="C385">
        <v>2</v>
      </c>
      <c r="D385" t="s">
        <v>42</v>
      </c>
      <c r="E385">
        <v>2</v>
      </c>
      <c r="F385">
        <v>1</v>
      </c>
      <c r="G385" s="30">
        <v>24</v>
      </c>
      <c r="H385" s="30">
        <v>12.404</v>
      </c>
      <c r="I385" s="30">
        <v>1871</v>
      </c>
      <c r="J385" s="30">
        <v>15.269</v>
      </c>
      <c r="K385" s="30">
        <v>34.261000000000003</v>
      </c>
      <c r="L385" s="30">
        <v>9.2999999999999999E-2</v>
      </c>
      <c r="M385" s="32">
        <v>174.62</v>
      </c>
      <c r="N385" s="30">
        <v>0.90800000000000003</v>
      </c>
      <c r="O385" s="29">
        <v>7.2759999999999998</v>
      </c>
      <c r="P385" s="31">
        <v>24</v>
      </c>
      <c r="Q385" s="31">
        <v>15.269</v>
      </c>
      <c r="R385" s="31">
        <v>148.26300000000001</v>
      </c>
      <c r="S385" s="31">
        <v>26.356999999999999</v>
      </c>
      <c r="T385" s="10" t="b">
        <f t="shared" si="88"/>
        <v>1</v>
      </c>
      <c r="U385" s="10" t="b">
        <f t="shared" si="89"/>
        <v>1</v>
      </c>
      <c r="V385" s="11">
        <f>VLOOKUP(IF(J385&lt;10, 10, IF(J385&gt;50,50,J385)),'Over to underbark'!$A$3:$C$43,IF(A385="Scots pine",3,IF(A385="Sitka spruce",2, "error")),TRUE)/100</f>
        <v>0.84</v>
      </c>
      <c r="W385">
        <f t="shared" si="90"/>
        <v>112.086828</v>
      </c>
      <c r="X385">
        <f t="shared" si="91"/>
        <v>19.925891999999997</v>
      </c>
      <c r="Y385">
        <f t="shared" si="92"/>
        <v>25.145280000000007</v>
      </c>
      <c r="Z385">
        <f t="shared" si="93"/>
        <v>77.557257721799999</v>
      </c>
      <c r="AA385">
        <f t="shared" si="94"/>
        <v>24.902191080000001</v>
      </c>
      <c r="AB385">
        <f t="shared" si="95"/>
        <v>43.699458814199993</v>
      </c>
      <c r="AC385">
        <f t="shared" si="96"/>
        <v>10.999092383999999</v>
      </c>
      <c r="AD385">
        <f>LOOKUP($A385,'Over to underbark'!$A$47:$A$48,'Over to underbark'!E$47:E$48)*Z385</f>
        <v>32.574048243156</v>
      </c>
      <c r="AE385">
        <f>LOOKUP($A385,'Over to underbark'!$A$47:$A$48,'Over to underbark'!E$47:E$48)*AA385</f>
        <v>10.458920253600001</v>
      </c>
      <c r="AF385">
        <f>LOOKUP($A385,'Over to underbark'!$A$47:$A$48,'Over to underbark'!E$47:E$48)*AB385</f>
        <v>18.353772701963997</v>
      </c>
      <c r="AG385">
        <f>LOOKUP($A385,'Over to underbark'!$A$47:$A$48,'Over to underbark'!E$47:E$48)*AC385</f>
        <v>4.6196188012799997</v>
      </c>
      <c r="AH385" t="b">
        <f t="shared" si="97"/>
        <v>1</v>
      </c>
      <c r="AI385" t="b">
        <f t="shared" si="98"/>
        <v>1</v>
      </c>
      <c r="AJ385">
        <f>LOOKUP(A385,'Over to underbark'!$A$47:$A$48,'Over to underbark'!E$47:E$48)*M385</f>
        <v>73.340400000000002</v>
      </c>
      <c r="AK385" s="22">
        <f>LOOKUP(A385,'Over to underbark'!$A$47:$A$48,'Over to underbark'!$B$47:$B$48)*AJ385</f>
        <v>24.935736000000002</v>
      </c>
      <c r="AL385" s="22">
        <f>LOOKUP(A385,'Over to underbark'!$A$47:$A$48,'Over to underbark'!C$47:C$48)*AJ385</f>
        <v>25.669139999999999</v>
      </c>
      <c r="AM385" s="22">
        <f t="shared" si="99"/>
        <v>98.276136000000008</v>
      </c>
      <c r="AN385" s="36">
        <v>1134.5999999999999</v>
      </c>
      <c r="AO385" s="23">
        <f t="shared" si="100"/>
        <v>196.55227200000002</v>
      </c>
      <c r="AQ385">
        <f t="shared" si="87"/>
        <v>0.67164179104477606</v>
      </c>
    </row>
    <row r="386" spans="1:43" x14ac:dyDescent="0.35">
      <c r="A386" t="s">
        <v>41</v>
      </c>
      <c r="B386">
        <v>14</v>
      </c>
      <c r="C386">
        <v>2</v>
      </c>
      <c r="D386" t="s">
        <v>42</v>
      </c>
      <c r="E386">
        <v>2</v>
      </c>
      <c r="F386">
        <v>1</v>
      </c>
      <c r="G386" s="30">
        <v>25</v>
      </c>
      <c r="H386" s="30">
        <v>12.866</v>
      </c>
      <c r="I386" s="30">
        <v>1824</v>
      </c>
      <c r="J386" s="30">
        <v>15.786</v>
      </c>
      <c r="K386" s="30">
        <v>35.700000000000003</v>
      </c>
      <c r="L386" s="30">
        <v>0.104</v>
      </c>
      <c r="M386" s="32">
        <v>190.18</v>
      </c>
      <c r="N386" s="30">
        <v>1.246</v>
      </c>
      <c r="O386" s="29">
        <v>7.6070000000000002</v>
      </c>
      <c r="P386" s="31">
        <v>25</v>
      </c>
      <c r="Q386" s="31">
        <v>15.786</v>
      </c>
      <c r="R386" s="31">
        <v>155.45599999999999</v>
      </c>
      <c r="S386" s="31">
        <v>34.723999999999997</v>
      </c>
      <c r="T386" s="10" t="b">
        <f t="shared" si="88"/>
        <v>1</v>
      </c>
      <c r="U386" s="10" t="b">
        <f t="shared" si="89"/>
        <v>1</v>
      </c>
      <c r="V386" s="11">
        <f>VLOOKUP(IF(J386&lt;10, 10, IF(J386&gt;50,50,J386)),'Over to underbark'!$A$3:$C$43,IF(A386="Scots pine",3,IF(A386="Sitka spruce",2, "error")),TRUE)/100</f>
        <v>0.84</v>
      </c>
      <c r="W386">
        <f t="shared" si="90"/>
        <v>117.52473599999998</v>
      </c>
      <c r="X386">
        <f t="shared" si="91"/>
        <v>26.251343999999996</v>
      </c>
      <c r="Y386">
        <f t="shared" si="92"/>
        <v>27.385920000000002</v>
      </c>
      <c r="Z386">
        <f t="shared" si="93"/>
        <v>83.561189961599979</v>
      </c>
      <c r="AA386">
        <f t="shared" si="94"/>
        <v>26.620680959999998</v>
      </c>
      <c r="AB386">
        <f t="shared" si="95"/>
        <v>46.489387190399988</v>
      </c>
      <c r="AC386">
        <f t="shared" si="96"/>
        <v>14.490741887999997</v>
      </c>
      <c r="AD386">
        <f>LOOKUP($A386,'Over to underbark'!$A$47:$A$48,'Over to underbark'!E$47:E$48)*Z386</f>
        <v>35.095699783871993</v>
      </c>
      <c r="AE386">
        <f>LOOKUP($A386,'Over to underbark'!$A$47:$A$48,'Over to underbark'!E$47:E$48)*AA386</f>
        <v>11.180686003199998</v>
      </c>
      <c r="AF386">
        <f>LOOKUP($A386,'Over to underbark'!$A$47:$A$48,'Over to underbark'!E$47:E$48)*AB386</f>
        <v>19.525542619967993</v>
      </c>
      <c r="AG386">
        <f>LOOKUP($A386,'Over to underbark'!$A$47:$A$48,'Over to underbark'!E$47:E$48)*AC386</f>
        <v>6.0861115929599983</v>
      </c>
      <c r="AH386" t="b">
        <f t="shared" si="97"/>
        <v>1</v>
      </c>
      <c r="AI386" t="b">
        <f t="shared" si="98"/>
        <v>1</v>
      </c>
      <c r="AJ386">
        <f>LOOKUP(A386,'Over to underbark'!$A$47:$A$48,'Over to underbark'!E$47:E$48)*M386</f>
        <v>79.875600000000006</v>
      </c>
      <c r="AK386" s="22">
        <f>LOOKUP(A386,'Over to underbark'!$A$47:$A$48,'Over to underbark'!$B$47:$B$48)*AJ386</f>
        <v>27.157704000000003</v>
      </c>
      <c r="AL386" s="22">
        <f>LOOKUP(A386,'Over to underbark'!$A$47:$A$48,'Over to underbark'!C$47:C$48)*AJ386</f>
        <v>27.95646</v>
      </c>
      <c r="AM386" s="22">
        <f t="shared" si="99"/>
        <v>107.03330400000002</v>
      </c>
      <c r="AN386" s="36">
        <v>1135.5999999999999</v>
      </c>
      <c r="AO386" s="23">
        <f t="shared" si="100"/>
        <v>214.06660800000003</v>
      </c>
      <c r="AQ386">
        <f t="shared" si="87"/>
        <v>0.67164179104477584</v>
      </c>
    </row>
    <row r="387" spans="1:43" x14ac:dyDescent="0.35">
      <c r="A387" t="s">
        <v>41</v>
      </c>
      <c r="B387">
        <v>14</v>
      </c>
      <c r="C387">
        <v>2</v>
      </c>
      <c r="D387" t="s">
        <v>42</v>
      </c>
      <c r="E387">
        <v>2</v>
      </c>
      <c r="F387">
        <v>1</v>
      </c>
      <c r="G387" s="30">
        <v>26</v>
      </c>
      <c r="H387" s="30">
        <v>13.327999999999999</v>
      </c>
      <c r="I387" s="30">
        <v>1777</v>
      </c>
      <c r="J387" s="30">
        <v>16.312999999999999</v>
      </c>
      <c r="K387" s="30">
        <v>37.139000000000003</v>
      </c>
      <c r="L387" s="30">
        <v>0.11600000000000001</v>
      </c>
      <c r="M387" s="32">
        <v>205.74</v>
      </c>
      <c r="N387" s="30">
        <v>1.532</v>
      </c>
      <c r="O387" s="29">
        <v>7.9130000000000003</v>
      </c>
      <c r="P387" s="31">
        <v>26</v>
      </c>
      <c r="Q387" s="31">
        <v>16.312999999999999</v>
      </c>
      <c r="R387" s="31">
        <v>161.518</v>
      </c>
      <c r="S387" s="31">
        <v>44.222000000000001</v>
      </c>
      <c r="T387" s="10" t="b">
        <f t="shared" si="88"/>
        <v>1</v>
      </c>
      <c r="U387" s="10" t="b">
        <f t="shared" si="89"/>
        <v>1</v>
      </c>
      <c r="V387" s="11">
        <f>VLOOKUP(IF(J387&lt;10, 10, IF(J387&gt;50,50,J387)),'Over to underbark'!$A$3:$C$43,IF(A387="Scots pine",3,IF(A387="Sitka spruce",2, "error")),TRUE)/100</f>
        <v>0.84</v>
      </c>
      <c r="W387">
        <f t="shared" si="90"/>
        <v>122.10760799999998</v>
      </c>
      <c r="X387">
        <f t="shared" si="91"/>
        <v>33.431832</v>
      </c>
      <c r="Y387">
        <f t="shared" si="92"/>
        <v>29.626560000000008</v>
      </c>
      <c r="Z387">
        <f t="shared" si="93"/>
        <v>89.394670774799991</v>
      </c>
      <c r="AA387">
        <f t="shared" si="94"/>
        <v>28.245116880000005</v>
      </c>
      <c r="AB387">
        <f t="shared" si="95"/>
        <v>49.071841081199992</v>
      </c>
      <c r="AC387">
        <f t="shared" si="96"/>
        <v>18.454371263999999</v>
      </c>
      <c r="AD387">
        <f>LOOKUP($A387,'Over to underbark'!$A$47:$A$48,'Over to underbark'!E$47:E$48)*Z387</f>
        <v>37.545761725415993</v>
      </c>
      <c r="AE387">
        <f>LOOKUP($A387,'Over to underbark'!$A$47:$A$48,'Over to underbark'!E$47:E$48)*AA387</f>
        <v>11.862949089600001</v>
      </c>
      <c r="AF387">
        <f>LOOKUP($A387,'Over to underbark'!$A$47:$A$48,'Over to underbark'!E$47:E$48)*AB387</f>
        <v>20.610173254103994</v>
      </c>
      <c r="AG387">
        <f>LOOKUP($A387,'Over to underbark'!$A$47:$A$48,'Over to underbark'!E$47:E$48)*AC387</f>
        <v>7.7508359308799992</v>
      </c>
      <c r="AH387" t="b">
        <f t="shared" si="97"/>
        <v>1</v>
      </c>
      <c r="AI387" t="b">
        <f t="shared" si="98"/>
        <v>1</v>
      </c>
      <c r="AJ387">
        <f>LOOKUP(A387,'Over to underbark'!$A$47:$A$48,'Over to underbark'!E$47:E$48)*M387</f>
        <v>86.410799999999995</v>
      </c>
      <c r="AK387" s="22">
        <f>LOOKUP(A387,'Over to underbark'!$A$47:$A$48,'Over to underbark'!$B$47:$B$48)*AJ387</f>
        <v>29.379671999999999</v>
      </c>
      <c r="AL387" s="22">
        <f>LOOKUP(A387,'Over to underbark'!$A$47:$A$48,'Over to underbark'!C$47:C$48)*AJ387</f>
        <v>30.243779999999997</v>
      </c>
      <c r="AM387" s="22">
        <f t="shared" si="99"/>
        <v>115.79047199999999</v>
      </c>
      <c r="AN387" s="36">
        <v>1136.5999999999999</v>
      </c>
      <c r="AO387" s="23">
        <f t="shared" si="100"/>
        <v>231.58094399999999</v>
      </c>
      <c r="AQ387">
        <f t="shared" si="87"/>
        <v>0.67164179104477606</v>
      </c>
    </row>
    <row r="388" spans="1:43" x14ac:dyDescent="0.35">
      <c r="A388" t="s">
        <v>41</v>
      </c>
      <c r="B388">
        <v>14</v>
      </c>
      <c r="C388">
        <v>2</v>
      </c>
      <c r="D388" t="s">
        <v>42</v>
      </c>
      <c r="E388">
        <v>2</v>
      </c>
      <c r="F388">
        <v>1</v>
      </c>
      <c r="G388" s="30">
        <v>27</v>
      </c>
      <c r="H388" s="30">
        <v>13.79</v>
      </c>
      <c r="I388" s="30">
        <v>1730</v>
      </c>
      <c r="J388" s="30">
        <v>16.850000000000001</v>
      </c>
      <c r="K388" s="30">
        <v>38.578000000000003</v>
      </c>
      <c r="L388" s="30">
        <v>0.128</v>
      </c>
      <c r="M388" s="32">
        <v>221.3</v>
      </c>
      <c r="N388" s="30">
        <v>1.7749999999999999</v>
      </c>
      <c r="O388" s="29">
        <v>8.1959999999999997</v>
      </c>
      <c r="P388" s="31">
        <v>27</v>
      </c>
      <c r="Q388" s="31">
        <v>16.850000000000001</v>
      </c>
      <c r="R388" s="31">
        <v>166.453</v>
      </c>
      <c r="S388" s="31">
        <v>54.847000000000001</v>
      </c>
      <c r="T388" s="10" t="b">
        <f t="shared" si="88"/>
        <v>1</v>
      </c>
      <c r="U388" s="10" t="b">
        <f t="shared" si="89"/>
        <v>1</v>
      </c>
      <c r="V388" s="11">
        <f>VLOOKUP(IF(J388&lt;10, 10, IF(J388&gt;50,50,J388)),'Over to underbark'!$A$3:$C$43,IF(A388="Scots pine",3,IF(A388="Sitka spruce",2, "error")),TRUE)/100</f>
        <v>0.84</v>
      </c>
      <c r="W388">
        <f t="shared" si="90"/>
        <v>125.83846800000001</v>
      </c>
      <c r="X388">
        <f t="shared" si="91"/>
        <v>41.464332000000006</v>
      </c>
      <c r="Y388">
        <f t="shared" si="92"/>
        <v>31.867200000000008</v>
      </c>
      <c r="Z388">
        <f t="shared" si="93"/>
        <v>95.058302995800005</v>
      </c>
      <c r="AA388">
        <f t="shared" si="94"/>
        <v>29.775831480000004</v>
      </c>
      <c r="AB388">
        <f t="shared" si="95"/>
        <v>51.447554260200008</v>
      </c>
      <c r="AC388">
        <f t="shared" si="96"/>
        <v>22.888311264000006</v>
      </c>
      <c r="AD388">
        <f>LOOKUP($A388,'Over to underbark'!$A$47:$A$48,'Over to underbark'!E$47:E$48)*Z388</f>
        <v>39.924487258235999</v>
      </c>
      <c r="AE388">
        <f>LOOKUP($A388,'Over to underbark'!$A$47:$A$48,'Over to underbark'!E$47:E$48)*AA388</f>
        <v>12.505849221600002</v>
      </c>
      <c r="AF388">
        <f>LOOKUP($A388,'Over to underbark'!$A$47:$A$48,'Over to underbark'!E$47:E$48)*AB388</f>
        <v>21.607972789284002</v>
      </c>
      <c r="AG388">
        <f>LOOKUP($A388,'Over to underbark'!$A$47:$A$48,'Over to underbark'!E$47:E$48)*AC388</f>
        <v>9.6130907308800015</v>
      </c>
      <c r="AH388" t="b">
        <f t="shared" si="97"/>
        <v>1</v>
      </c>
      <c r="AI388" t="b">
        <f t="shared" si="98"/>
        <v>1</v>
      </c>
      <c r="AJ388">
        <f>LOOKUP(A388,'Over to underbark'!$A$47:$A$48,'Over to underbark'!E$47:E$48)*M388</f>
        <v>92.945999999999998</v>
      </c>
      <c r="AK388" s="22">
        <f>LOOKUP(A388,'Over to underbark'!$A$47:$A$48,'Over to underbark'!$B$47:$B$48)*AJ388</f>
        <v>31.601640000000003</v>
      </c>
      <c r="AL388" s="22">
        <f>LOOKUP(A388,'Over to underbark'!$A$47:$A$48,'Over to underbark'!C$47:C$48)*AJ388</f>
        <v>32.531099999999995</v>
      </c>
      <c r="AM388" s="22">
        <f t="shared" si="99"/>
        <v>124.54764</v>
      </c>
      <c r="AN388" s="36">
        <v>1137.5999999999999</v>
      </c>
      <c r="AO388" s="23">
        <f t="shared" si="100"/>
        <v>249.09528</v>
      </c>
      <c r="AQ388">
        <f t="shared" ref="AQ388:AQ451" si="101">(AD388+AE388+AF388+AG388)/AM388</f>
        <v>0.67164179104477617</v>
      </c>
    </row>
    <row r="389" spans="1:43" x14ac:dyDescent="0.35">
      <c r="A389" t="s">
        <v>41</v>
      </c>
      <c r="B389">
        <v>14</v>
      </c>
      <c r="C389">
        <v>2</v>
      </c>
      <c r="D389" t="s">
        <v>42</v>
      </c>
      <c r="E389">
        <v>2</v>
      </c>
      <c r="F389">
        <v>1</v>
      </c>
      <c r="G389" s="30">
        <v>28</v>
      </c>
      <c r="H389" s="30">
        <v>14.202</v>
      </c>
      <c r="I389" s="30">
        <v>1689</v>
      </c>
      <c r="J389" s="30">
        <v>17.349</v>
      </c>
      <c r="K389" s="30">
        <v>39.929000000000002</v>
      </c>
      <c r="L389" s="30">
        <v>0.14099999999999999</v>
      </c>
      <c r="M389" s="32">
        <v>237.68</v>
      </c>
      <c r="N389" s="30">
        <v>2.1970000000000001</v>
      </c>
      <c r="O389" s="29">
        <v>8.4890000000000008</v>
      </c>
      <c r="P389" s="31">
        <v>28</v>
      </c>
      <c r="Q389" s="31">
        <v>17.349</v>
      </c>
      <c r="R389" s="31">
        <v>171.554</v>
      </c>
      <c r="S389" s="31">
        <v>66.126000000000005</v>
      </c>
      <c r="T389" s="10" t="b">
        <f t="shared" si="88"/>
        <v>1</v>
      </c>
      <c r="U389" s="10" t="b">
        <f t="shared" si="89"/>
        <v>1</v>
      </c>
      <c r="V389" s="11">
        <f>VLOOKUP(IF(J389&lt;10, 10, IF(J389&gt;50,50,J389)),'Over to underbark'!$A$3:$C$43,IF(A389="Scots pine",3,IF(A389="Sitka spruce",2, "error")),TRUE)/100</f>
        <v>0.84</v>
      </c>
      <c r="W389">
        <f t="shared" si="90"/>
        <v>129.69482400000001</v>
      </c>
      <c r="X389">
        <f t="shared" si="91"/>
        <v>49.991256</v>
      </c>
      <c r="Y389">
        <f t="shared" si="92"/>
        <v>34.225920000000009</v>
      </c>
      <c r="Z389">
        <f t="shared" si="93"/>
        <v>101.00622700440002</v>
      </c>
      <c r="AA389">
        <f t="shared" si="94"/>
        <v>31.379390640000004</v>
      </c>
      <c r="AB389">
        <f t="shared" si="95"/>
        <v>53.931209043600006</v>
      </c>
      <c r="AC389">
        <f t="shared" si="96"/>
        <v>27.595173312</v>
      </c>
      <c r="AD389">
        <f>LOOKUP($A389,'Over to underbark'!$A$47:$A$48,'Over to underbark'!E$47:E$48)*Z389</f>
        <v>42.422615341848008</v>
      </c>
      <c r="AE389">
        <f>LOOKUP($A389,'Over to underbark'!$A$47:$A$48,'Over to underbark'!E$47:E$48)*AA389</f>
        <v>13.179344068800001</v>
      </c>
      <c r="AF389">
        <f>LOOKUP($A389,'Over to underbark'!$A$47:$A$48,'Over to underbark'!E$47:E$48)*AB389</f>
        <v>22.651107798312001</v>
      </c>
      <c r="AG389">
        <f>LOOKUP($A389,'Over to underbark'!$A$47:$A$48,'Over to underbark'!E$47:E$48)*AC389</f>
        <v>11.589972791039999</v>
      </c>
      <c r="AH389" t="b">
        <f t="shared" si="97"/>
        <v>1</v>
      </c>
      <c r="AI389" t="b">
        <f t="shared" si="98"/>
        <v>1</v>
      </c>
      <c r="AJ389">
        <f>LOOKUP(A389,'Over to underbark'!$A$47:$A$48,'Over to underbark'!E$47:E$48)*M389</f>
        <v>99.825599999999994</v>
      </c>
      <c r="AK389" s="22">
        <f>LOOKUP(A389,'Over to underbark'!$A$47:$A$48,'Over to underbark'!$B$47:$B$48)*AJ389</f>
        <v>33.940704000000004</v>
      </c>
      <c r="AL389" s="22">
        <f>LOOKUP(A389,'Over to underbark'!$A$47:$A$48,'Over to underbark'!C$47:C$48)*AJ389</f>
        <v>34.938959999999994</v>
      </c>
      <c r="AM389" s="22">
        <f t="shared" si="99"/>
        <v>133.76630399999999</v>
      </c>
      <c r="AN389" s="36">
        <v>1138.5999999999999</v>
      </c>
      <c r="AO389" s="23">
        <f t="shared" si="100"/>
        <v>267.53260799999998</v>
      </c>
      <c r="AQ389">
        <f t="shared" si="101"/>
        <v>0.67164179104477617</v>
      </c>
    </row>
    <row r="390" spans="1:43" x14ac:dyDescent="0.35">
      <c r="A390" t="s">
        <v>41</v>
      </c>
      <c r="B390">
        <v>14</v>
      </c>
      <c r="C390">
        <v>2</v>
      </c>
      <c r="D390" t="s">
        <v>42</v>
      </c>
      <c r="E390">
        <v>2</v>
      </c>
      <c r="F390">
        <v>1</v>
      </c>
      <c r="G390" s="30">
        <v>29</v>
      </c>
      <c r="H390" s="30">
        <v>14.614000000000001</v>
      </c>
      <c r="I390" s="30">
        <v>1649</v>
      </c>
      <c r="J390" s="30">
        <v>17.853000000000002</v>
      </c>
      <c r="K390" s="30">
        <v>41.280999999999999</v>
      </c>
      <c r="L390" s="30">
        <v>0.154</v>
      </c>
      <c r="M390" s="32">
        <v>254.06</v>
      </c>
      <c r="N390" s="30">
        <v>2.5619999999999998</v>
      </c>
      <c r="O390" s="29">
        <v>8.7609999999999992</v>
      </c>
      <c r="P390" s="31">
        <v>29</v>
      </c>
      <c r="Q390" s="31">
        <v>17.853000000000002</v>
      </c>
      <c r="R390" s="31">
        <v>175.66200000000001</v>
      </c>
      <c r="S390" s="31">
        <v>78.397999999999996</v>
      </c>
      <c r="T390" s="10" t="b">
        <f t="shared" si="88"/>
        <v>1</v>
      </c>
      <c r="U390" s="10" t="b">
        <f t="shared" si="89"/>
        <v>1</v>
      </c>
      <c r="V390" s="11">
        <f>VLOOKUP(IF(J390&lt;10, 10, IF(J390&gt;50,50,J390)),'Over to underbark'!$A$3:$C$43,IF(A390="Scots pine",3,IF(A390="Sitka spruce",2, "error")),TRUE)/100</f>
        <v>0.84</v>
      </c>
      <c r="W390">
        <f t="shared" si="90"/>
        <v>132.80047199999998</v>
      </c>
      <c r="X390">
        <f t="shared" si="91"/>
        <v>59.268887999999997</v>
      </c>
      <c r="Y390">
        <f t="shared" si="92"/>
        <v>36.584640000000007</v>
      </c>
      <c r="Z390">
        <f t="shared" si="93"/>
        <v>106.80449737319999</v>
      </c>
      <c r="AA390">
        <f t="shared" si="94"/>
        <v>32.900371919999998</v>
      </c>
      <c r="AB390">
        <f t="shared" si="95"/>
        <v>56.2327045308</v>
      </c>
      <c r="AC390">
        <f t="shared" si="96"/>
        <v>32.716426175999999</v>
      </c>
      <c r="AD390">
        <f>LOOKUP($A390,'Over to underbark'!$A$47:$A$48,'Over to underbark'!E$47:E$48)*Z390</f>
        <v>44.857888896743994</v>
      </c>
      <c r="AE390">
        <f>LOOKUP($A390,'Over to underbark'!$A$47:$A$48,'Over to underbark'!E$47:E$48)*AA390</f>
        <v>13.818156206399999</v>
      </c>
      <c r="AF390">
        <f>LOOKUP($A390,'Over to underbark'!$A$47:$A$48,'Over to underbark'!E$47:E$48)*AB390</f>
        <v>23.617735902935998</v>
      </c>
      <c r="AG390">
        <f>LOOKUP($A390,'Over to underbark'!$A$47:$A$48,'Over to underbark'!E$47:E$48)*AC390</f>
        <v>13.740898993919998</v>
      </c>
      <c r="AH390" t="b">
        <f t="shared" si="97"/>
        <v>1</v>
      </c>
      <c r="AI390" t="b">
        <f t="shared" si="98"/>
        <v>1</v>
      </c>
      <c r="AJ390">
        <f>LOOKUP(A390,'Over to underbark'!$A$47:$A$48,'Over to underbark'!E$47:E$48)*M390</f>
        <v>106.70519999999999</v>
      </c>
      <c r="AK390" s="22">
        <f>LOOKUP(A390,'Over to underbark'!$A$47:$A$48,'Over to underbark'!$B$47:$B$48)*AJ390</f>
        <v>36.279767999999997</v>
      </c>
      <c r="AL390" s="22">
        <f>LOOKUP(A390,'Over to underbark'!$A$47:$A$48,'Over to underbark'!C$47:C$48)*AJ390</f>
        <v>37.346819999999994</v>
      </c>
      <c r="AM390" s="22">
        <f t="shared" si="99"/>
        <v>142.98496799999998</v>
      </c>
      <c r="AN390" s="36">
        <v>1139.5999999999999</v>
      </c>
      <c r="AO390" s="23">
        <f t="shared" si="100"/>
        <v>285.96993599999996</v>
      </c>
      <c r="AQ390">
        <f t="shared" si="101"/>
        <v>0.67164179104477617</v>
      </c>
    </row>
    <row r="391" spans="1:43" x14ac:dyDescent="0.35">
      <c r="A391" t="s">
        <v>41</v>
      </c>
      <c r="B391">
        <v>14</v>
      </c>
      <c r="C391">
        <v>2</v>
      </c>
      <c r="D391" t="s">
        <v>42</v>
      </c>
      <c r="E391">
        <v>2</v>
      </c>
      <c r="F391">
        <v>1</v>
      </c>
      <c r="G391" s="30">
        <v>30</v>
      </c>
      <c r="H391" s="30">
        <v>15.026</v>
      </c>
      <c r="I391" s="30">
        <v>1609</v>
      </c>
      <c r="J391" s="30">
        <v>18.367000000000001</v>
      </c>
      <c r="K391" s="30">
        <v>42.633000000000003</v>
      </c>
      <c r="L391" s="30">
        <v>0.16800000000000001</v>
      </c>
      <c r="M391" s="32">
        <v>270.44</v>
      </c>
      <c r="N391" s="30">
        <v>2.88</v>
      </c>
      <c r="O391" s="29">
        <v>9.0150000000000006</v>
      </c>
      <c r="P391" s="31">
        <v>30</v>
      </c>
      <c r="Q391" s="31">
        <v>18.367000000000001</v>
      </c>
      <c r="R391" s="31">
        <v>178.727</v>
      </c>
      <c r="S391" s="31">
        <v>91.712999999999994</v>
      </c>
      <c r="T391" s="10" t="b">
        <f t="shared" si="88"/>
        <v>1</v>
      </c>
      <c r="U391" s="10" t="b">
        <f t="shared" si="89"/>
        <v>1</v>
      </c>
      <c r="V391" s="11">
        <f>VLOOKUP(IF(J391&lt;10, 10, IF(J391&gt;50,50,J391)),'Over to underbark'!$A$3:$C$43,IF(A391="Scots pine",3,IF(A391="Sitka spruce",2, "error")),TRUE)/100</f>
        <v>0.84</v>
      </c>
      <c r="W391">
        <f t="shared" si="90"/>
        <v>135.11761199999998</v>
      </c>
      <c r="X391">
        <f t="shared" si="91"/>
        <v>69.335027999999994</v>
      </c>
      <c r="Y391">
        <f t="shared" si="92"/>
        <v>38.943360000000013</v>
      </c>
      <c r="Z391">
        <f t="shared" si="93"/>
        <v>112.4455786722</v>
      </c>
      <c r="AA391">
        <f t="shared" si="94"/>
        <v>34.334617320000007</v>
      </c>
      <c r="AB391">
        <f t="shared" si="95"/>
        <v>58.342868551799995</v>
      </c>
      <c r="AC391">
        <f t="shared" si="96"/>
        <v>38.272935455999999</v>
      </c>
      <c r="AD391">
        <f>LOOKUP($A391,'Over to underbark'!$A$47:$A$48,'Over to underbark'!E$47:E$48)*Z391</f>
        <v>47.227143042323995</v>
      </c>
      <c r="AE391">
        <f>LOOKUP($A391,'Over to underbark'!$A$47:$A$48,'Over to underbark'!E$47:E$48)*AA391</f>
        <v>14.420539274400003</v>
      </c>
      <c r="AF391">
        <f>LOOKUP($A391,'Over to underbark'!$A$47:$A$48,'Over to underbark'!E$47:E$48)*AB391</f>
        <v>24.504004791755996</v>
      </c>
      <c r="AG391">
        <f>LOOKUP($A391,'Over to underbark'!$A$47:$A$48,'Over to underbark'!E$47:E$48)*AC391</f>
        <v>16.07463289152</v>
      </c>
      <c r="AH391" t="b">
        <f t="shared" si="97"/>
        <v>1</v>
      </c>
      <c r="AI391" t="b">
        <f t="shared" si="98"/>
        <v>1</v>
      </c>
      <c r="AJ391">
        <f>LOOKUP(A391,'Over to underbark'!$A$47:$A$48,'Over to underbark'!E$47:E$48)*M391</f>
        <v>113.5848</v>
      </c>
      <c r="AK391" s="22">
        <f>LOOKUP(A391,'Over to underbark'!$A$47:$A$48,'Over to underbark'!$B$47:$B$48)*AJ391</f>
        <v>38.618832000000005</v>
      </c>
      <c r="AL391" s="22">
        <f>LOOKUP(A391,'Over to underbark'!$A$47:$A$48,'Over to underbark'!C$47:C$48)*AJ391</f>
        <v>39.75468</v>
      </c>
      <c r="AM391" s="22">
        <f t="shared" si="99"/>
        <v>152.203632</v>
      </c>
      <c r="AN391" s="36">
        <v>1140.5999999999999</v>
      </c>
      <c r="AO391" s="23">
        <f t="shared" si="100"/>
        <v>304.407264</v>
      </c>
      <c r="AQ391">
        <f t="shared" si="101"/>
        <v>0.67164179104477606</v>
      </c>
    </row>
    <row r="392" spans="1:43" x14ac:dyDescent="0.35">
      <c r="A392" t="s">
        <v>41</v>
      </c>
      <c r="B392">
        <v>14</v>
      </c>
      <c r="C392">
        <v>2</v>
      </c>
      <c r="D392" t="s">
        <v>42</v>
      </c>
      <c r="E392">
        <v>2</v>
      </c>
      <c r="F392">
        <v>1</v>
      </c>
      <c r="G392" s="30">
        <v>31</v>
      </c>
      <c r="H392" s="30">
        <v>15.438000000000001</v>
      </c>
      <c r="I392" s="30">
        <v>1569</v>
      </c>
      <c r="J392" s="30">
        <v>18.893000000000001</v>
      </c>
      <c r="K392" s="30">
        <v>43.984000000000002</v>
      </c>
      <c r="L392" s="30">
        <v>0.183</v>
      </c>
      <c r="M392" s="32">
        <v>286.82</v>
      </c>
      <c r="N392" s="30">
        <v>3.16</v>
      </c>
      <c r="O392" s="29">
        <v>9.2520000000000007</v>
      </c>
      <c r="P392" s="31">
        <v>31</v>
      </c>
      <c r="Q392" s="31">
        <v>18.893000000000001</v>
      </c>
      <c r="R392" s="31">
        <v>180.74600000000001</v>
      </c>
      <c r="S392" s="31">
        <v>106.074</v>
      </c>
      <c r="T392" s="10" t="b">
        <f t="shared" si="88"/>
        <v>1</v>
      </c>
      <c r="U392" s="10" t="b">
        <f t="shared" si="89"/>
        <v>1</v>
      </c>
      <c r="V392" s="11">
        <f>VLOOKUP(IF(J392&lt;10, 10, IF(J392&gt;50,50,J392)),'Over to underbark'!$A$3:$C$43,IF(A392="Scots pine",3,IF(A392="Sitka spruce",2, "error")),TRUE)/100</f>
        <v>0.84</v>
      </c>
      <c r="W392">
        <f t="shared" si="90"/>
        <v>136.64397600000001</v>
      </c>
      <c r="X392">
        <f t="shared" si="91"/>
        <v>80.191943999999992</v>
      </c>
      <c r="Y392">
        <f t="shared" si="92"/>
        <v>41.302080000000004</v>
      </c>
      <c r="Z392">
        <f t="shared" si="93"/>
        <v>117.92901877560001</v>
      </c>
      <c r="AA392">
        <f t="shared" si="94"/>
        <v>35.681877360000001</v>
      </c>
      <c r="AB392">
        <f t="shared" si="95"/>
        <v>60.261150776399994</v>
      </c>
      <c r="AC392">
        <f t="shared" si="96"/>
        <v>44.265953087999996</v>
      </c>
      <c r="AD392">
        <f>LOOKUP($A392,'Over to underbark'!$A$47:$A$48,'Over to underbark'!E$47:E$48)*Z392</f>
        <v>49.530187885752007</v>
      </c>
      <c r="AE392">
        <f>LOOKUP($A392,'Over to underbark'!$A$47:$A$48,'Over to underbark'!E$47:E$48)*AA392</f>
        <v>14.9863884912</v>
      </c>
      <c r="AF392">
        <f>LOOKUP($A392,'Over to underbark'!$A$47:$A$48,'Over to underbark'!E$47:E$48)*AB392</f>
        <v>25.309683326087995</v>
      </c>
      <c r="AG392">
        <f>LOOKUP($A392,'Over to underbark'!$A$47:$A$48,'Over to underbark'!E$47:E$48)*AC392</f>
        <v>18.591700296959999</v>
      </c>
      <c r="AH392" t="b">
        <f t="shared" si="97"/>
        <v>1</v>
      </c>
      <c r="AI392" t="b">
        <f t="shared" si="98"/>
        <v>1</v>
      </c>
      <c r="AJ392">
        <f>LOOKUP(A392,'Over to underbark'!$A$47:$A$48,'Over to underbark'!E$47:E$48)*M392</f>
        <v>120.4644</v>
      </c>
      <c r="AK392" s="22">
        <f>LOOKUP(A392,'Over to underbark'!$A$47:$A$48,'Over to underbark'!$B$47:$B$48)*AJ392</f>
        <v>40.957896000000005</v>
      </c>
      <c r="AL392" s="22">
        <f>LOOKUP(A392,'Over to underbark'!$A$47:$A$48,'Over to underbark'!C$47:C$48)*AJ392</f>
        <v>42.16254</v>
      </c>
      <c r="AM392" s="22">
        <f t="shared" si="99"/>
        <v>161.42229600000002</v>
      </c>
      <c r="AN392" s="36">
        <v>1141.5999999999999</v>
      </c>
      <c r="AO392" s="23">
        <f t="shared" si="100"/>
        <v>322.84459200000003</v>
      </c>
      <c r="AQ392">
        <f t="shared" si="101"/>
        <v>0.67164179104477606</v>
      </c>
    </row>
    <row r="393" spans="1:43" x14ac:dyDescent="0.35">
      <c r="A393" t="s">
        <v>41</v>
      </c>
      <c r="B393">
        <v>14</v>
      </c>
      <c r="C393">
        <v>2</v>
      </c>
      <c r="D393" t="s">
        <v>42</v>
      </c>
      <c r="E393">
        <v>2</v>
      </c>
      <c r="F393">
        <v>1</v>
      </c>
      <c r="G393" s="30">
        <v>32</v>
      </c>
      <c r="H393" s="30">
        <v>15.85</v>
      </c>
      <c r="I393" s="30">
        <v>1529</v>
      </c>
      <c r="J393" s="30">
        <v>19.43</v>
      </c>
      <c r="K393" s="30">
        <v>45.335999999999999</v>
      </c>
      <c r="L393" s="30">
        <v>0.19800000000000001</v>
      </c>
      <c r="M393" s="32">
        <v>303.2</v>
      </c>
      <c r="N393" s="30">
        <v>3.4089999999999998</v>
      </c>
      <c r="O393" s="29">
        <v>9.4749999999999996</v>
      </c>
      <c r="P393" s="31">
        <v>32</v>
      </c>
      <c r="Q393" s="31">
        <v>19.43</v>
      </c>
      <c r="R393" s="31">
        <v>181.76900000000001</v>
      </c>
      <c r="S393" s="31">
        <v>121.431</v>
      </c>
      <c r="T393" s="10" t="b">
        <f t="shared" si="88"/>
        <v>1</v>
      </c>
      <c r="U393" s="10" t="b">
        <f t="shared" si="89"/>
        <v>1</v>
      </c>
      <c r="V393" s="11">
        <f>VLOOKUP(IF(J393&lt;10, 10, IF(J393&gt;50,50,J393)),'Over to underbark'!$A$3:$C$43,IF(A393="Scots pine",3,IF(A393="Sitka spruce",2, "error")),TRUE)/100</f>
        <v>0.84</v>
      </c>
      <c r="W393">
        <f t="shared" si="90"/>
        <v>137.41736400000002</v>
      </c>
      <c r="X393">
        <f t="shared" si="91"/>
        <v>91.801835999999994</v>
      </c>
      <c r="Y393">
        <f t="shared" si="92"/>
        <v>43.660800000000009</v>
      </c>
      <c r="Z393">
        <f t="shared" si="93"/>
        <v>123.26235311340002</v>
      </c>
      <c r="AA393">
        <f t="shared" si="94"/>
        <v>36.946310040000007</v>
      </c>
      <c r="AB393">
        <f t="shared" si="95"/>
        <v>61.996723374600009</v>
      </c>
      <c r="AC393">
        <f t="shared" si="96"/>
        <v>50.674613471999997</v>
      </c>
      <c r="AD393">
        <f>LOOKUP($A393,'Over to underbark'!$A$47:$A$48,'Over to underbark'!E$47:E$48)*Z393</f>
        <v>51.770188307628011</v>
      </c>
      <c r="AE393">
        <f>LOOKUP($A393,'Over to underbark'!$A$47:$A$48,'Over to underbark'!E$47:E$48)*AA393</f>
        <v>15.517450216800002</v>
      </c>
      <c r="AF393">
        <f>LOOKUP($A393,'Over to underbark'!$A$47:$A$48,'Over to underbark'!E$47:E$48)*AB393</f>
        <v>26.038623817332002</v>
      </c>
      <c r="AG393">
        <f>LOOKUP($A393,'Over to underbark'!$A$47:$A$48,'Over to underbark'!E$47:E$48)*AC393</f>
        <v>21.283337658239997</v>
      </c>
      <c r="AH393" t="b">
        <f t="shared" si="97"/>
        <v>1</v>
      </c>
      <c r="AI393" t="b">
        <f t="shared" si="98"/>
        <v>1</v>
      </c>
      <c r="AJ393">
        <f>LOOKUP(A393,'Over to underbark'!$A$47:$A$48,'Over to underbark'!E$47:E$48)*M393</f>
        <v>127.34399999999999</v>
      </c>
      <c r="AK393" s="22">
        <f>LOOKUP(A393,'Over to underbark'!$A$47:$A$48,'Over to underbark'!$B$47:$B$48)*AJ393</f>
        <v>43.296959999999999</v>
      </c>
      <c r="AL393" s="22">
        <f>LOOKUP(A393,'Over to underbark'!$A$47:$A$48,'Over to underbark'!C$47:C$48)*AJ393</f>
        <v>44.570399999999992</v>
      </c>
      <c r="AM393" s="22">
        <f t="shared" si="99"/>
        <v>170.64096000000001</v>
      </c>
      <c r="AN393" s="36">
        <v>1142.5999999999999</v>
      </c>
      <c r="AO393" s="23">
        <f t="shared" si="100"/>
        <v>341.28192000000001</v>
      </c>
      <c r="AQ393">
        <f t="shared" si="101"/>
        <v>0.67164179104477617</v>
      </c>
    </row>
    <row r="394" spans="1:43" x14ac:dyDescent="0.35">
      <c r="A394" t="s">
        <v>41</v>
      </c>
      <c r="B394">
        <v>14</v>
      </c>
      <c r="C394">
        <v>2</v>
      </c>
      <c r="D394" t="s">
        <v>42</v>
      </c>
      <c r="E394">
        <v>2</v>
      </c>
      <c r="F394">
        <v>1</v>
      </c>
      <c r="G394" s="30">
        <v>33</v>
      </c>
      <c r="H394" s="30">
        <v>16.228000000000002</v>
      </c>
      <c r="I394" s="30">
        <v>1492</v>
      </c>
      <c r="J394" s="30">
        <v>19.920000000000002</v>
      </c>
      <c r="K394" s="30">
        <v>46.5</v>
      </c>
      <c r="L394" s="30">
        <v>0.214</v>
      </c>
      <c r="M394" s="32">
        <v>319.45999999999998</v>
      </c>
      <c r="N394" s="30">
        <v>3.887</v>
      </c>
      <c r="O394" s="29">
        <v>9.6809999999999992</v>
      </c>
      <c r="P394" s="31">
        <v>33</v>
      </c>
      <c r="Q394" s="31">
        <v>19.920000000000002</v>
      </c>
      <c r="R394" s="31">
        <v>182.79</v>
      </c>
      <c r="S394" s="31">
        <v>136.66999999999999</v>
      </c>
      <c r="T394" s="10" t="b">
        <f t="shared" si="88"/>
        <v>1</v>
      </c>
      <c r="U394" s="10" t="b">
        <f t="shared" si="89"/>
        <v>1</v>
      </c>
      <c r="V394" s="11">
        <f>VLOOKUP(IF(J394&lt;10, 10, IF(J394&gt;50,50,J394)),'Over to underbark'!$A$3:$C$43,IF(A394="Scots pine",3,IF(A394="Sitka spruce",2, "error")),TRUE)/100</f>
        <v>0.84</v>
      </c>
      <c r="W394">
        <f t="shared" si="90"/>
        <v>138.18923999999998</v>
      </c>
      <c r="X394">
        <f t="shared" si="91"/>
        <v>103.32251999999998</v>
      </c>
      <c r="Y394">
        <f t="shared" si="92"/>
        <v>46.002240000000008</v>
      </c>
      <c r="Z394">
        <f t="shared" si="93"/>
        <v>128.557443474</v>
      </c>
      <c r="AA394">
        <f t="shared" si="94"/>
        <v>38.201936400000001</v>
      </c>
      <c r="AB394">
        <f t="shared" si="95"/>
        <v>63.72058908599999</v>
      </c>
      <c r="AC394">
        <f t="shared" si="96"/>
        <v>57.034031039999995</v>
      </c>
      <c r="AD394">
        <f>LOOKUP($A394,'Over to underbark'!$A$47:$A$48,'Over to underbark'!E$47:E$48)*Z394</f>
        <v>53.994126259079998</v>
      </c>
      <c r="AE394">
        <f>LOOKUP($A394,'Over to underbark'!$A$47:$A$48,'Over to underbark'!E$47:E$48)*AA394</f>
        <v>16.044813288</v>
      </c>
      <c r="AF394">
        <f>LOOKUP($A394,'Over to underbark'!$A$47:$A$48,'Over to underbark'!E$47:E$48)*AB394</f>
        <v>26.762647416119993</v>
      </c>
      <c r="AG394">
        <f>LOOKUP($A394,'Over to underbark'!$A$47:$A$48,'Over to underbark'!E$47:E$48)*AC394</f>
        <v>23.954293036799996</v>
      </c>
      <c r="AH394" t="b">
        <f t="shared" si="97"/>
        <v>1</v>
      </c>
      <c r="AI394" t="b">
        <f t="shared" si="98"/>
        <v>1</v>
      </c>
      <c r="AJ394">
        <f>LOOKUP(A394,'Over to underbark'!$A$47:$A$48,'Over to underbark'!E$47:E$48)*M394</f>
        <v>134.17319999999998</v>
      </c>
      <c r="AK394" s="22">
        <f>LOOKUP(A394,'Over to underbark'!$A$47:$A$48,'Over to underbark'!$B$47:$B$48)*AJ394</f>
        <v>45.618887999999998</v>
      </c>
      <c r="AL394" s="22">
        <f>LOOKUP(A394,'Over to underbark'!$A$47:$A$48,'Over to underbark'!C$47:C$48)*AJ394</f>
        <v>46.960619999999992</v>
      </c>
      <c r="AM394" s="22">
        <f t="shared" si="99"/>
        <v>179.79208799999998</v>
      </c>
      <c r="AN394" s="36">
        <v>1143.5999999999999</v>
      </c>
      <c r="AO394" s="23">
        <f t="shared" si="100"/>
        <v>359.58417599999996</v>
      </c>
      <c r="AQ394">
        <f t="shared" si="101"/>
        <v>0.67164179104477606</v>
      </c>
    </row>
    <row r="395" spans="1:43" x14ac:dyDescent="0.35">
      <c r="A395" t="s">
        <v>41</v>
      </c>
      <c r="B395">
        <v>14</v>
      </c>
      <c r="C395">
        <v>2</v>
      </c>
      <c r="D395" t="s">
        <v>42</v>
      </c>
      <c r="E395">
        <v>2</v>
      </c>
      <c r="F395">
        <v>1</v>
      </c>
      <c r="G395" s="30">
        <v>34</v>
      </c>
      <c r="H395" s="30">
        <v>16.606000000000002</v>
      </c>
      <c r="I395" s="30">
        <v>1456</v>
      </c>
      <c r="J395" s="30">
        <v>20.416</v>
      </c>
      <c r="K395" s="30">
        <v>47.664999999999999</v>
      </c>
      <c r="L395" s="30">
        <v>0.23100000000000001</v>
      </c>
      <c r="M395" s="32">
        <v>335.72</v>
      </c>
      <c r="N395" s="30">
        <v>4.3150000000000004</v>
      </c>
      <c r="O395" s="29">
        <v>9.8740000000000006</v>
      </c>
      <c r="P395" s="31">
        <v>34</v>
      </c>
      <c r="Q395" s="31">
        <v>20.416</v>
      </c>
      <c r="R395" s="31">
        <v>183.04599999999999</v>
      </c>
      <c r="S395" s="31">
        <v>152.67400000000001</v>
      </c>
      <c r="T395" s="10" t="b">
        <f t="shared" si="88"/>
        <v>1</v>
      </c>
      <c r="U395" s="10" t="b">
        <f t="shared" si="89"/>
        <v>1</v>
      </c>
      <c r="V395" s="11">
        <f>VLOOKUP(IF(J395&lt;10, 10, IF(J395&gt;50,50,J395)),'Over to underbark'!$A$3:$C$43,IF(A395="Scots pine",3,IF(A395="Sitka spruce",2, "error")),TRUE)/100</f>
        <v>0.84</v>
      </c>
      <c r="W395">
        <f t="shared" si="90"/>
        <v>138.38277600000001</v>
      </c>
      <c r="X395">
        <f t="shared" si="91"/>
        <v>115.421544</v>
      </c>
      <c r="Y395">
        <f t="shared" si="92"/>
        <v>48.343680000000013</v>
      </c>
      <c r="Z395">
        <f t="shared" si="93"/>
        <v>133.7372417556</v>
      </c>
      <c r="AA395">
        <f t="shared" si="94"/>
        <v>39.393945360000004</v>
      </c>
      <c r="AB395">
        <f t="shared" si="95"/>
        <v>65.304120596399997</v>
      </c>
      <c r="AC395">
        <f t="shared" si="96"/>
        <v>63.712692288</v>
      </c>
      <c r="AD395">
        <f>LOOKUP($A395,'Over to underbark'!$A$47:$A$48,'Over to underbark'!E$47:E$48)*Z395</f>
        <v>56.169641537352</v>
      </c>
      <c r="AE395">
        <f>LOOKUP($A395,'Over to underbark'!$A$47:$A$48,'Over to underbark'!E$47:E$48)*AA395</f>
        <v>16.5454570512</v>
      </c>
      <c r="AF395">
        <f>LOOKUP($A395,'Over to underbark'!$A$47:$A$48,'Over to underbark'!E$47:E$48)*AB395</f>
        <v>27.427730650487998</v>
      </c>
      <c r="AG395">
        <f>LOOKUP($A395,'Over to underbark'!$A$47:$A$48,'Over to underbark'!E$47:E$48)*AC395</f>
        <v>26.759330760959998</v>
      </c>
      <c r="AH395" t="b">
        <f t="shared" si="97"/>
        <v>1</v>
      </c>
      <c r="AI395" t="b">
        <f t="shared" si="98"/>
        <v>1</v>
      </c>
      <c r="AJ395">
        <f>LOOKUP(A395,'Over to underbark'!$A$47:$A$48,'Over to underbark'!E$47:E$48)*M395</f>
        <v>141.00239999999999</v>
      </c>
      <c r="AK395" s="22">
        <f>LOOKUP(A395,'Over to underbark'!$A$47:$A$48,'Over to underbark'!$B$47:$B$48)*AJ395</f>
        <v>47.940815999999998</v>
      </c>
      <c r="AL395" s="22">
        <f>LOOKUP(A395,'Over to underbark'!$A$47:$A$48,'Over to underbark'!C$47:C$48)*AJ395</f>
        <v>49.350839999999998</v>
      </c>
      <c r="AM395" s="22">
        <f t="shared" si="99"/>
        <v>188.94321600000001</v>
      </c>
      <c r="AN395" s="36">
        <v>1144.5999999999999</v>
      </c>
      <c r="AO395" s="23">
        <f t="shared" si="100"/>
        <v>377.88643200000001</v>
      </c>
      <c r="AQ395">
        <f t="shared" si="101"/>
        <v>0.67164179104477606</v>
      </c>
    </row>
    <row r="396" spans="1:43" x14ac:dyDescent="0.35">
      <c r="A396" t="s">
        <v>41</v>
      </c>
      <c r="B396">
        <v>14</v>
      </c>
      <c r="C396">
        <v>2</v>
      </c>
      <c r="D396" t="s">
        <v>42</v>
      </c>
      <c r="E396">
        <v>2</v>
      </c>
      <c r="F396">
        <v>1</v>
      </c>
      <c r="G396" s="30">
        <v>35</v>
      </c>
      <c r="H396" s="30">
        <v>16.984000000000002</v>
      </c>
      <c r="I396" s="30">
        <v>1419</v>
      </c>
      <c r="J396" s="30">
        <v>20.931999999999999</v>
      </c>
      <c r="K396" s="30">
        <v>48.829000000000001</v>
      </c>
      <c r="L396" s="30">
        <v>0.248</v>
      </c>
      <c r="M396" s="32">
        <v>351.98</v>
      </c>
      <c r="N396" s="30">
        <v>4.7</v>
      </c>
      <c r="O396" s="29">
        <v>10.057</v>
      </c>
      <c r="P396" s="31">
        <v>35</v>
      </c>
      <c r="Q396" s="31">
        <v>20.931999999999999</v>
      </c>
      <c r="R396" s="31">
        <v>182.327</v>
      </c>
      <c r="S396" s="31">
        <v>169.65299999999999</v>
      </c>
      <c r="T396" s="10" t="b">
        <f t="shared" si="88"/>
        <v>1</v>
      </c>
      <c r="U396" s="10" t="b">
        <f t="shared" si="89"/>
        <v>1</v>
      </c>
      <c r="V396" s="11">
        <f>VLOOKUP(IF(J396&lt;10, 10, IF(J396&gt;50,50,J396)),'Over to underbark'!$A$3:$C$43,IF(A396="Scots pine",3,IF(A396="Sitka spruce",2, "error")),TRUE)/100</f>
        <v>0.84</v>
      </c>
      <c r="W396">
        <f t="shared" si="90"/>
        <v>137.839212</v>
      </c>
      <c r="X396">
        <f t="shared" si="91"/>
        <v>128.257668</v>
      </c>
      <c r="Y396">
        <f t="shared" si="92"/>
        <v>50.685120000000019</v>
      </c>
      <c r="Z396">
        <f t="shared" si="93"/>
        <v>138.7700991522</v>
      </c>
      <c r="AA396">
        <f t="shared" si="94"/>
        <v>40.504873320000009</v>
      </c>
      <c r="AB396">
        <f t="shared" si="95"/>
        <v>66.708794791800003</v>
      </c>
      <c r="AC396">
        <f t="shared" si="96"/>
        <v>70.798232736000003</v>
      </c>
      <c r="AD396">
        <f>LOOKUP($A396,'Over to underbark'!$A$47:$A$48,'Over to underbark'!E$47:E$48)*Z396</f>
        <v>58.283441643924</v>
      </c>
      <c r="AE396">
        <f>LOOKUP($A396,'Over to underbark'!$A$47:$A$48,'Over to underbark'!E$47:E$48)*AA396</f>
        <v>17.012046794400003</v>
      </c>
      <c r="AF396">
        <f>LOOKUP($A396,'Over to underbark'!$A$47:$A$48,'Over to underbark'!E$47:E$48)*AB396</f>
        <v>28.017693812556001</v>
      </c>
      <c r="AG396">
        <f>LOOKUP($A396,'Over to underbark'!$A$47:$A$48,'Over to underbark'!E$47:E$48)*AC396</f>
        <v>29.735257749119999</v>
      </c>
      <c r="AH396" t="b">
        <f t="shared" si="97"/>
        <v>1</v>
      </c>
      <c r="AI396" t="b">
        <f t="shared" si="98"/>
        <v>1</v>
      </c>
      <c r="AJ396">
        <f>LOOKUP(A396,'Over to underbark'!$A$47:$A$48,'Over to underbark'!E$47:E$48)*M396</f>
        <v>147.83160000000001</v>
      </c>
      <c r="AK396" s="22">
        <f>LOOKUP(A396,'Over to underbark'!$A$47:$A$48,'Over to underbark'!$B$47:$B$48)*AJ396</f>
        <v>50.262744000000005</v>
      </c>
      <c r="AL396" s="22">
        <f>LOOKUP(A396,'Over to underbark'!$A$47:$A$48,'Over to underbark'!C$47:C$48)*AJ396</f>
        <v>51.741059999999997</v>
      </c>
      <c r="AM396" s="22">
        <f t="shared" si="99"/>
        <v>198.09434400000001</v>
      </c>
      <c r="AN396" s="36">
        <v>1145.5999999999999</v>
      </c>
      <c r="AO396" s="23">
        <f t="shared" si="100"/>
        <v>396.18868800000001</v>
      </c>
      <c r="AQ396">
        <f t="shared" si="101"/>
        <v>0.67164179104477606</v>
      </c>
    </row>
    <row r="397" spans="1:43" x14ac:dyDescent="0.35">
      <c r="A397" t="s">
        <v>41</v>
      </c>
      <c r="B397">
        <v>14</v>
      </c>
      <c r="C397">
        <v>2</v>
      </c>
      <c r="D397" t="s">
        <v>42</v>
      </c>
      <c r="E397">
        <v>2</v>
      </c>
      <c r="F397">
        <v>1</v>
      </c>
      <c r="G397" s="30">
        <v>36</v>
      </c>
      <c r="H397" s="30">
        <v>17.361999999999998</v>
      </c>
      <c r="I397" s="30">
        <v>1383</v>
      </c>
      <c r="J397" s="30">
        <v>21.454000000000001</v>
      </c>
      <c r="K397" s="30">
        <v>49.993000000000002</v>
      </c>
      <c r="L397" s="30">
        <v>0.26600000000000001</v>
      </c>
      <c r="M397" s="32">
        <v>368.24</v>
      </c>
      <c r="N397" s="30">
        <v>5.0490000000000004</v>
      </c>
      <c r="O397" s="29">
        <v>10.228999999999999</v>
      </c>
      <c r="P397" s="31">
        <v>36</v>
      </c>
      <c r="Q397" s="31">
        <v>21.454000000000001</v>
      </c>
      <c r="R397" s="31">
        <v>180.929</v>
      </c>
      <c r="S397" s="31">
        <v>187.31100000000001</v>
      </c>
      <c r="T397" s="10" t="b">
        <f t="shared" si="88"/>
        <v>1</v>
      </c>
      <c r="U397" s="10" t="b">
        <f t="shared" si="89"/>
        <v>1</v>
      </c>
      <c r="V397" s="11">
        <f>VLOOKUP(IF(J397&lt;10, 10, IF(J397&gt;50,50,J397)),'Over to underbark'!$A$3:$C$43,IF(A397="Scots pine",3,IF(A397="Sitka spruce",2, "error")),TRUE)/100</f>
        <v>0.84</v>
      </c>
      <c r="W397">
        <f t="shared" si="90"/>
        <v>136.78232400000002</v>
      </c>
      <c r="X397">
        <f t="shared" si="91"/>
        <v>141.60711599999999</v>
      </c>
      <c r="Y397">
        <f t="shared" si="92"/>
        <v>53.026560000000011</v>
      </c>
      <c r="Z397">
        <f t="shared" si="93"/>
        <v>143.7006254094</v>
      </c>
      <c r="AA397">
        <f t="shared" si="94"/>
        <v>41.559335640000008</v>
      </c>
      <c r="AB397">
        <f t="shared" si="95"/>
        <v>67.988910918600013</v>
      </c>
      <c r="AC397">
        <f t="shared" si="96"/>
        <v>78.167128031999994</v>
      </c>
      <c r="AD397">
        <f>LOOKUP($A397,'Over to underbark'!$A$47:$A$48,'Over to underbark'!E$47:E$48)*Z397</f>
        <v>60.354262671948</v>
      </c>
      <c r="AE397">
        <f>LOOKUP($A397,'Over to underbark'!$A$47:$A$48,'Over to underbark'!E$47:E$48)*AA397</f>
        <v>17.454920968800003</v>
      </c>
      <c r="AF397">
        <f>LOOKUP($A397,'Over to underbark'!$A$47:$A$48,'Over to underbark'!E$47:E$48)*AB397</f>
        <v>28.555342585812003</v>
      </c>
      <c r="AG397">
        <f>LOOKUP($A397,'Over to underbark'!$A$47:$A$48,'Over to underbark'!E$47:E$48)*AC397</f>
        <v>32.830193773439994</v>
      </c>
      <c r="AH397" t="b">
        <f t="shared" si="97"/>
        <v>1</v>
      </c>
      <c r="AI397" t="b">
        <f t="shared" si="98"/>
        <v>1</v>
      </c>
      <c r="AJ397">
        <f>LOOKUP(A397,'Over to underbark'!$A$47:$A$48,'Over to underbark'!E$47:E$48)*M397</f>
        <v>154.66079999999999</v>
      </c>
      <c r="AK397" s="22">
        <f>LOOKUP(A397,'Over to underbark'!$A$47:$A$48,'Over to underbark'!$B$47:$B$48)*AJ397</f>
        <v>52.584672000000005</v>
      </c>
      <c r="AL397" s="22">
        <f>LOOKUP(A397,'Over to underbark'!$A$47:$A$48,'Over to underbark'!C$47:C$48)*AJ397</f>
        <v>54.131279999999997</v>
      </c>
      <c r="AM397" s="22">
        <f t="shared" si="99"/>
        <v>207.24547200000001</v>
      </c>
      <c r="AN397" s="36">
        <v>1146.5999999999999</v>
      </c>
      <c r="AO397" s="23">
        <f t="shared" si="100"/>
        <v>414.49094400000001</v>
      </c>
      <c r="AQ397">
        <f t="shared" si="101"/>
        <v>0.67164179104477606</v>
      </c>
    </row>
    <row r="398" spans="1:43" x14ac:dyDescent="0.35">
      <c r="A398" t="s">
        <v>41</v>
      </c>
      <c r="B398">
        <v>14</v>
      </c>
      <c r="C398">
        <v>2</v>
      </c>
      <c r="D398" t="s">
        <v>42</v>
      </c>
      <c r="E398">
        <v>2</v>
      </c>
      <c r="F398">
        <v>1</v>
      </c>
      <c r="G398" s="30">
        <v>37</v>
      </c>
      <c r="H398" s="30">
        <v>17.739999999999998</v>
      </c>
      <c r="I398" s="30">
        <v>1347</v>
      </c>
      <c r="J398" s="30">
        <v>21.99</v>
      </c>
      <c r="K398" s="30">
        <v>51.156999999999996</v>
      </c>
      <c r="L398" s="30">
        <v>0.28499999999999998</v>
      </c>
      <c r="M398" s="32">
        <v>384.5</v>
      </c>
      <c r="N398" s="30">
        <v>5.3650000000000002</v>
      </c>
      <c r="O398" s="29">
        <v>10.391999999999999</v>
      </c>
      <c r="P398" s="31">
        <v>37</v>
      </c>
      <c r="Q398" s="31">
        <v>21.99</v>
      </c>
      <c r="R398" s="31">
        <v>178.755</v>
      </c>
      <c r="S398" s="31">
        <v>205.745</v>
      </c>
      <c r="T398" s="10" t="b">
        <f t="shared" si="88"/>
        <v>1</v>
      </c>
      <c r="U398" s="10" t="b">
        <f t="shared" si="89"/>
        <v>1</v>
      </c>
      <c r="V398" s="11">
        <f>VLOOKUP(IF(J398&lt;10, 10, IF(J398&gt;50,50,J398)),'Over to underbark'!$A$3:$C$43,IF(A398="Scots pine",3,IF(A398="Sitka spruce",2, "error")),TRUE)/100</f>
        <v>0.84</v>
      </c>
      <c r="W398">
        <f t="shared" si="90"/>
        <v>135.13878</v>
      </c>
      <c r="X398">
        <f t="shared" si="91"/>
        <v>155.54321999999999</v>
      </c>
      <c r="Y398">
        <f t="shared" si="92"/>
        <v>55.368000000000009</v>
      </c>
      <c r="Z398">
        <f t="shared" si="93"/>
        <v>148.51420179300001</v>
      </c>
      <c r="AA398">
        <f t="shared" si="94"/>
        <v>42.549265800000001</v>
      </c>
      <c r="AB398">
        <f t="shared" si="95"/>
        <v>69.126674967</v>
      </c>
      <c r="AC398">
        <f t="shared" si="96"/>
        <v>85.859857439999999</v>
      </c>
      <c r="AD398">
        <f>LOOKUP($A398,'Over to underbark'!$A$47:$A$48,'Over to underbark'!E$47:E$48)*Z398</f>
        <v>62.375964753060003</v>
      </c>
      <c r="AE398">
        <f>LOOKUP($A398,'Over to underbark'!$A$47:$A$48,'Over to underbark'!E$47:E$48)*AA398</f>
        <v>17.870691636</v>
      </c>
      <c r="AF398">
        <f>LOOKUP($A398,'Over to underbark'!$A$47:$A$48,'Over to underbark'!E$47:E$48)*AB398</f>
        <v>29.03320348614</v>
      </c>
      <c r="AG398">
        <f>LOOKUP($A398,'Over to underbark'!$A$47:$A$48,'Over to underbark'!E$47:E$48)*AC398</f>
        <v>36.061140124799998</v>
      </c>
      <c r="AH398" t="b">
        <f t="shared" si="97"/>
        <v>1</v>
      </c>
      <c r="AI398" t="b">
        <f t="shared" si="98"/>
        <v>1</v>
      </c>
      <c r="AJ398">
        <f>LOOKUP(A398,'Over to underbark'!$A$47:$A$48,'Over to underbark'!E$47:E$48)*M398</f>
        <v>161.48999999999998</v>
      </c>
      <c r="AK398" s="22">
        <f>LOOKUP(A398,'Over to underbark'!$A$47:$A$48,'Over to underbark'!$B$47:$B$48)*AJ398</f>
        <v>54.906599999999997</v>
      </c>
      <c r="AL398" s="22">
        <f>LOOKUP(A398,'Over to underbark'!$A$47:$A$48,'Over to underbark'!C$47:C$48)*AJ398</f>
        <v>56.521499999999989</v>
      </c>
      <c r="AM398" s="22">
        <f t="shared" si="99"/>
        <v>216.39659999999998</v>
      </c>
      <c r="AN398" s="36">
        <v>1147.5999999999999</v>
      </c>
      <c r="AO398" s="23">
        <f t="shared" si="100"/>
        <v>432.79319999999996</v>
      </c>
      <c r="AQ398">
        <f t="shared" si="101"/>
        <v>0.67164179104477617</v>
      </c>
    </row>
    <row r="399" spans="1:43" x14ac:dyDescent="0.35">
      <c r="A399" t="s">
        <v>41</v>
      </c>
      <c r="B399">
        <v>14</v>
      </c>
      <c r="C399">
        <v>2</v>
      </c>
      <c r="D399" t="s">
        <v>42</v>
      </c>
      <c r="E399">
        <v>2</v>
      </c>
      <c r="F399">
        <v>1</v>
      </c>
      <c r="G399" s="30">
        <v>38</v>
      </c>
      <c r="H399" s="30">
        <v>18.094000000000001</v>
      </c>
      <c r="I399" s="30">
        <v>1313</v>
      </c>
      <c r="J399" s="30">
        <v>22.483000000000001</v>
      </c>
      <c r="K399" s="30">
        <v>52.125</v>
      </c>
      <c r="L399" s="30">
        <v>0.30499999999999999</v>
      </c>
      <c r="M399" s="32">
        <v>399.84</v>
      </c>
      <c r="N399" s="30">
        <v>5.9109999999999996</v>
      </c>
      <c r="O399" s="29">
        <v>10.522</v>
      </c>
      <c r="P399" s="31">
        <v>38</v>
      </c>
      <c r="Q399" s="31">
        <v>22.483000000000001</v>
      </c>
      <c r="R399" s="31">
        <v>176.517</v>
      </c>
      <c r="S399" s="31">
        <v>223.32300000000001</v>
      </c>
      <c r="T399" s="10" t="b">
        <f t="shared" si="88"/>
        <v>1</v>
      </c>
      <c r="U399" s="10" t="b">
        <f t="shared" si="89"/>
        <v>1</v>
      </c>
      <c r="V399" s="11">
        <f>VLOOKUP(IF(J399&lt;10, 10, IF(J399&gt;50,50,J399)),'Over to underbark'!$A$3:$C$43,IF(A399="Scots pine",3,IF(A399="Sitka spruce",2, "error")),TRUE)/100</f>
        <v>0.84</v>
      </c>
      <c r="W399">
        <f t="shared" si="90"/>
        <v>133.44685199999998</v>
      </c>
      <c r="X399">
        <f t="shared" si="91"/>
        <v>168.832188</v>
      </c>
      <c r="Y399">
        <f t="shared" si="92"/>
        <v>57.576960000000021</v>
      </c>
      <c r="Z399">
        <f t="shared" si="93"/>
        <v>153.02723986620001</v>
      </c>
      <c r="AA399">
        <f t="shared" si="94"/>
        <v>43.467633720000009</v>
      </c>
      <c r="AB399">
        <f t="shared" si="95"/>
        <v>70.165758637799996</v>
      </c>
      <c r="AC399">
        <f t="shared" si="96"/>
        <v>93.195367775999998</v>
      </c>
      <c r="AD399">
        <f>LOOKUP($A399,'Over to underbark'!$A$47:$A$48,'Over to underbark'!E$47:E$48)*Z399</f>
        <v>64.271440743804007</v>
      </c>
      <c r="AE399">
        <f>LOOKUP($A399,'Over to underbark'!$A$47:$A$48,'Over to underbark'!E$47:E$48)*AA399</f>
        <v>18.256406162400005</v>
      </c>
      <c r="AF399">
        <f>LOOKUP($A399,'Over to underbark'!$A$47:$A$48,'Over to underbark'!E$47:E$48)*AB399</f>
        <v>29.469618627875999</v>
      </c>
      <c r="AG399">
        <f>LOOKUP($A399,'Over to underbark'!$A$47:$A$48,'Over to underbark'!E$47:E$48)*AC399</f>
        <v>39.142054465919998</v>
      </c>
      <c r="AH399" t="b">
        <f t="shared" si="97"/>
        <v>1</v>
      </c>
      <c r="AI399" t="b">
        <f t="shared" si="98"/>
        <v>1</v>
      </c>
      <c r="AJ399">
        <f>LOOKUP(A399,'Over to underbark'!$A$47:$A$48,'Over to underbark'!E$47:E$48)*M399</f>
        <v>167.93279999999999</v>
      </c>
      <c r="AK399" s="22">
        <f>LOOKUP(A399,'Over to underbark'!$A$47:$A$48,'Over to underbark'!$B$47:$B$48)*AJ399</f>
        <v>57.097152000000001</v>
      </c>
      <c r="AL399" s="22">
        <f>LOOKUP(A399,'Over to underbark'!$A$47:$A$48,'Over to underbark'!C$47:C$48)*AJ399</f>
        <v>58.776479999999992</v>
      </c>
      <c r="AM399" s="22">
        <f t="shared" si="99"/>
        <v>225.02995199999998</v>
      </c>
      <c r="AN399" s="36">
        <v>1148.5999999999999</v>
      </c>
      <c r="AO399" s="23">
        <f t="shared" si="100"/>
        <v>450.05990399999996</v>
      </c>
      <c r="AQ399">
        <f t="shared" si="101"/>
        <v>0.67164179104477617</v>
      </c>
    </row>
    <row r="400" spans="1:43" x14ac:dyDescent="0.35">
      <c r="A400" t="s">
        <v>41</v>
      </c>
      <c r="B400">
        <v>14</v>
      </c>
      <c r="C400">
        <v>2</v>
      </c>
      <c r="D400" t="s">
        <v>42</v>
      </c>
      <c r="E400">
        <v>2</v>
      </c>
      <c r="F400">
        <v>1</v>
      </c>
      <c r="G400" s="30">
        <v>39</v>
      </c>
      <c r="H400" s="30">
        <v>18.448</v>
      </c>
      <c r="I400" s="30">
        <v>1280</v>
      </c>
      <c r="J400" s="30">
        <v>22.981000000000002</v>
      </c>
      <c r="K400" s="30">
        <v>53.091999999999999</v>
      </c>
      <c r="L400" s="30">
        <v>0.32400000000000001</v>
      </c>
      <c r="M400" s="32">
        <v>415.18</v>
      </c>
      <c r="N400" s="30">
        <v>6.4109999999999996</v>
      </c>
      <c r="O400" s="29">
        <v>10.646000000000001</v>
      </c>
      <c r="P400" s="31">
        <v>39</v>
      </c>
      <c r="Q400" s="31">
        <v>22.981000000000002</v>
      </c>
      <c r="R400" s="31">
        <v>173.821</v>
      </c>
      <c r="S400" s="31">
        <v>241.35900000000001</v>
      </c>
      <c r="T400" s="10" t="b">
        <f t="shared" si="88"/>
        <v>1</v>
      </c>
      <c r="U400" s="10" t="b">
        <f t="shared" si="89"/>
        <v>1</v>
      </c>
      <c r="V400" s="11">
        <f>VLOOKUP(IF(J400&lt;10, 10, IF(J400&gt;50,50,J400)),'Over to underbark'!$A$3:$C$43,IF(A400="Scots pine",3,IF(A400="Sitka spruce",2, "error")),TRUE)/100</f>
        <v>0.84</v>
      </c>
      <c r="W400">
        <f t="shared" si="90"/>
        <v>131.40867599999999</v>
      </c>
      <c r="X400">
        <f t="shared" si="91"/>
        <v>182.46740400000002</v>
      </c>
      <c r="Y400">
        <f t="shared" si="92"/>
        <v>59.785920000000019</v>
      </c>
      <c r="Z400">
        <f t="shared" si="93"/>
        <v>157.47125340060001</v>
      </c>
      <c r="AA400">
        <f t="shared" si="94"/>
        <v>44.347914360000004</v>
      </c>
      <c r="AB400">
        <f t="shared" si="95"/>
        <v>71.120825231399991</v>
      </c>
      <c r="AC400">
        <f t="shared" si="96"/>
        <v>100.72200700800001</v>
      </c>
      <c r="AD400">
        <f>LOOKUP($A400,'Over to underbark'!$A$47:$A$48,'Over to underbark'!E$47:E$48)*Z400</f>
        <v>66.137926428252001</v>
      </c>
      <c r="AE400">
        <f>LOOKUP($A400,'Over to underbark'!$A$47:$A$48,'Over to underbark'!E$47:E$48)*AA400</f>
        <v>18.6261240312</v>
      </c>
      <c r="AF400">
        <f>LOOKUP($A400,'Over to underbark'!$A$47:$A$48,'Over to underbark'!E$47:E$48)*AB400</f>
        <v>29.870746597187996</v>
      </c>
      <c r="AG400">
        <f>LOOKUP($A400,'Over to underbark'!$A$47:$A$48,'Over to underbark'!E$47:E$48)*AC400</f>
        <v>42.303242943359997</v>
      </c>
      <c r="AH400" t="b">
        <f t="shared" si="97"/>
        <v>1</v>
      </c>
      <c r="AI400" t="b">
        <f t="shared" si="98"/>
        <v>1</v>
      </c>
      <c r="AJ400">
        <f>LOOKUP(A400,'Over to underbark'!$A$47:$A$48,'Over to underbark'!E$47:E$48)*M400</f>
        <v>174.37559999999999</v>
      </c>
      <c r="AK400" s="22">
        <f>LOOKUP(A400,'Over to underbark'!$A$47:$A$48,'Over to underbark'!$B$47:$B$48)*AJ400</f>
        <v>59.287703999999998</v>
      </c>
      <c r="AL400" s="22">
        <f>LOOKUP(A400,'Over to underbark'!$A$47:$A$48,'Over to underbark'!C$47:C$48)*AJ400</f>
        <v>61.031459999999996</v>
      </c>
      <c r="AM400" s="22">
        <f t="shared" si="99"/>
        <v>233.66330399999998</v>
      </c>
      <c r="AN400" s="36">
        <v>1149.5999999999999</v>
      </c>
      <c r="AO400" s="23">
        <f t="shared" si="100"/>
        <v>467.32660799999996</v>
      </c>
      <c r="AQ400">
        <f t="shared" si="101"/>
        <v>0.67164179104477617</v>
      </c>
    </row>
    <row r="401" spans="1:43" x14ac:dyDescent="0.35">
      <c r="A401" t="s">
        <v>41</v>
      </c>
      <c r="B401">
        <v>14</v>
      </c>
      <c r="C401">
        <v>2</v>
      </c>
      <c r="D401" t="s">
        <v>42</v>
      </c>
      <c r="E401">
        <v>2</v>
      </c>
      <c r="F401">
        <v>1</v>
      </c>
      <c r="G401" s="30">
        <v>40</v>
      </c>
      <c r="H401" s="30">
        <v>18.802</v>
      </c>
      <c r="I401" s="30">
        <v>1247</v>
      </c>
      <c r="J401" s="30">
        <v>23.494</v>
      </c>
      <c r="K401" s="30">
        <v>54.06</v>
      </c>
      <c r="L401" s="30">
        <v>0.34499999999999997</v>
      </c>
      <c r="M401" s="32">
        <v>430.52</v>
      </c>
      <c r="N401" s="30">
        <v>6.87</v>
      </c>
      <c r="O401" s="29">
        <v>10.763</v>
      </c>
      <c r="P401" s="31">
        <v>40</v>
      </c>
      <c r="Q401" s="31">
        <v>23.494</v>
      </c>
      <c r="R401" s="31">
        <v>170.52500000000001</v>
      </c>
      <c r="S401" s="31">
        <v>259.995</v>
      </c>
      <c r="T401" s="10" t="b">
        <f t="shared" si="88"/>
        <v>1</v>
      </c>
      <c r="U401" s="10" t="b">
        <f t="shared" si="89"/>
        <v>1</v>
      </c>
      <c r="V401" s="11">
        <f>VLOOKUP(IF(J401&lt;10, 10, IF(J401&gt;50,50,J401)),'Over to underbark'!$A$3:$C$43,IF(A401="Scots pine",3,IF(A401="Sitka spruce",2, "error")),TRUE)/100</f>
        <v>0.84</v>
      </c>
      <c r="W401">
        <f t="shared" si="90"/>
        <v>128.9169</v>
      </c>
      <c r="X401">
        <f t="shared" si="91"/>
        <v>196.55622000000002</v>
      </c>
      <c r="Y401">
        <f t="shared" si="92"/>
        <v>61.994880000000016</v>
      </c>
      <c r="Z401">
        <f t="shared" si="93"/>
        <v>161.82484177499998</v>
      </c>
      <c r="AA401">
        <f t="shared" si="94"/>
        <v>45.17829900000001</v>
      </c>
      <c r="AB401">
        <f t="shared" si="95"/>
        <v>71.965825785000007</v>
      </c>
      <c r="AC401">
        <f t="shared" si="96"/>
        <v>108.49903344000001</v>
      </c>
      <c r="AD401">
        <f>LOOKUP($A401,'Over to underbark'!$A$47:$A$48,'Over to underbark'!E$47:E$48)*Z401</f>
        <v>67.966433545499996</v>
      </c>
      <c r="AE401">
        <f>LOOKUP($A401,'Over to underbark'!$A$47:$A$48,'Over to underbark'!E$47:E$48)*AA401</f>
        <v>18.974885580000002</v>
      </c>
      <c r="AF401">
        <f>LOOKUP($A401,'Over to underbark'!$A$47:$A$48,'Over to underbark'!E$47:E$48)*AB401</f>
        <v>30.2256468297</v>
      </c>
      <c r="AG401">
        <f>LOOKUP($A401,'Over to underbark'!$A$47:$A$48,'Over to underbark'!E$47:E$48)*AC401</f>
        <v>45.569594044799999</v>
      </c>
      <c r="AH401" t="b">
        <f t="shared" si="97"/>
        <v>1</v>
      </c>
      <c r="AI401" t="b">
        <f t="shared" si="98"/>
        <v>1</v>
      </c>
      <c r="AJ401">
        <f>LOOKUP(A401,'Over to underbark'!$A$47:$A$48,'Over to underbark'!E$47:E$48)*M401</f>
        <v>180.8184</v>
      </c>
      <c r="AK401" s="22">
        <f>LOOKUP(A401,'Over to underbark'!$A$47:$A$48,'Over to underbark'!$B$47:$B$48)*AJ401</f>
        <v>61.478256000000002</v>
      </c>
      <c r="AL401" s="22">
        <f>LOOKUP(A401,'Over to underbark'!$A$47:$A$48,'Over to underbark'!C$47:C$48)*AJ401</f>
        <v>63.286439999999992</v>
      </c>
      <c r="AM401" s="22">
        <f t="shared" si="99"/>
        <v>242.29665599999998</v>
      </c>
      <c r="AN401" s="36">
        <v>1150.5999999999999</v>
      </c>
      <c r="AO401" s="23">
        <f t="shared" si="100"/>
        <v>484.59331199999997</v>
      </c>
      <c r="AQ401">
        <f t="shared" si="101"/>
        <v>0.67164179104477617</v>
      </c>
    </row>
    <row r="402" spans="1:43" x14ac:dyDescent="0.35">
      <c r="A402" t="s">
        <v>41</v>
      </c>
      <c r="B402">
        <v>14</v>
      </c>
      <c r="C402">
        <v>2</v>
      </c>
      <c r="D402" t="s">
        <v>42</v>
      </c>
      <c r="E402">
        <v>2</v>
      </c>
      <c r="F402">
        <v>1</v>
      </c>
      <c r="G402" s="30">
        <v>41</v>
      </c>
      <c r="H402" s="30">
        <v>19.155999999999999</v>
      </c>
      <c r="I402" s="30">
        <v>1214</v>
      </c>
      <c r="J402" s="30">
        <v>24.023</v>
      </c>
      <c r="K402" s="30">
        <v>55.027999999999999</v>
      </c>
      <c r="L402" s="30">
        <v>0.36699999999999999</v>
      </c>
      <c r="M402" s="32">
        <v>445.86</v>
      </c>
      <c r="N402" s="30">
        <v>7.2939999999999996</v>
      </c>
      <c r="O402" s="29">
        <v>10.875</v>
      </c>
      <c r="P402" s="31">
        <v>41</v>
      </c>
      <c r="Q402" s="31">
        <v>24.023</v>
      </c>
      <c r="R402" s="31">
        <v>166.65899999999999</v>
      </c>
      <c r="S402" s="31">
        <v>279.20100000000002</v>
      </c>
      <c r="T402" s="10" t="b">
        <f t="shared" si="88"/>
        <v>1</v>
      </c>
      <c r="U402" s="10" t="b">
        <f t="shared" si="89"/>
        <v>1</v>
      </c>
      <c r="V402" s="11">
        <f>VLOOKUP(IF(J402&lt;10, 10, IF(J402&gt;50,50,J402)),'Over to underbark'!$A$3:$C$43,IF(A402="Scots pine",3,IF(A402="Sitka spruce",2, "error")),TRUE)/100</f>
        <v>0.84</v>
      </c>
      <c r="W402">
        <f t="shared" si="90"/>
        <v>125.994204</v>
      </c>
      <c r="X402">
        <f t="shared" si="91"/>
        <v>211.07595600000002</v>
      </c>
      <c r="Y402">
        <f t="shared" si="92"/>
        <v>64.203840000000014</v>
      </c>
      <c r="Z402">
        <f t="shared" si="93"/>
        <v>166.0925262474</v>
      </c>
      <c r="AA402">
        <f t="shared" si="94"/>
        <v>45.961282440000005</v>
      </c>
      <c r="AB402">
        <f t="shared" si="95"/>
        <v>72.706263600599996</v>
      </c>
      <c r="AC402">
        <f t="shared" si="96"/>
        <v>116.51392771200001</v>
      </c>
      <c r="AD402">
        <f>LOOKUP($A402,'Over to underbark'!$A$47:$A$48,'Over to underbark'!E$47:E$48)*Z402</f>
        <v>69.758861023907997</v>
      </c>
      <c r="AE402">
        <f>LOOKUP($A402,'Over to underbark'!$A$47:$A$48,'Over to underbark'!E$47:E$48)*AA402</f>
        <v>19.303738624800001</v>
      </c>
      <c r="AF402">
        <f>LOOKUP($A402,'Over to underbark'!$A$47:$A$48,'Over to underbark'!E$47:E$48)*AB402</f>
        <v>30.536630712251998</v>
      </c>
      <c r="AG402">
        <f>LOOKUP($A402,'Over to underbark'!$A$47:$A$48,'Over to underbark'!E$47:E$48)*AC402</f>
        <v>48.935849639040001</v>
      </c>
      <c r="AH402" t="b">
        <f t="shared" si="97"/>
        <v>1</v>
      </c>
      <c r="AI402" t="b">
        <f t="shared" si="98"/>
        <v>1</v>
      </c>
      <c r="AJ402">
        <f>LOOKUP(A402,'Over to underbark'!$A$47:$A$48,'Over to underbark'!E$47:E$48)*M402</f>
        <v>187.2612</v>
      </c>
      <c r="AK402" s="22">
        <f>LOOKUP(A402,'Over to underbark'!$A$47:$A$48,'Over to underbark'!$B$47:$B$48)*AJ402</f>
        <v>63.668808000000006</v>
      </c>
      <c r="AL402" s="22">
        <f>LOOKUP(A402,'Over to underbark'!$A$47:$A$48,'Over to underbark'!C$47:C$48)*AJ402</f>
        <v>65.541420000000002</v>
      </c>
      <c r="AM402" s="22">
        <f t="shared" si="99"/>
        <v>250.93000800000002</v>
      </c>
      <c r="AN402" s="36">
        <v>1151.5999999999999</v>
      </c>
      <c r="AO402" s="23">
        <f t="shared" si="100"/>
        <v>501.86001600000003</v>
      </c>
      <c r="AQ402">
        <f t="shared" si="101"/>
        <v>0.67164179104477606</v>
      </c>
    </row>
    <row r="403" spans="1:43" x14ac:dyDescent="0.35">
      <c r="A403" t="s">
        <v>41</v>
      </c>
      <c r="B403">
        <v>14</v>
      </c>
      <c r="C403">
        <v>2</v>
      </c>
      <c r="D403" t="s">
        <v>42</v>
      </c>
      <c r="E403">
        <v>2</v>
      </c>
      <c r="F403">
        <v>1</v>
      </c>
      <c r="G403" s="30">
        <v>42</v>
      </c>
      <c r="H403" s="30">
        <v>19.510000000000002</v>
      </c>
      <c r="I403" s="30">
        <v>1181</v>
      </c>
      <c r="J403" s="30">
        <v>24.57</v>
      </c>
      <c r="K403" s="30">
        <v>55.994999999999997</v>
      </c>
      <c r="L403" s="30">
        <v>0.39100000000000001</v>
      </c>
      <c r="M403" s="32">
        <v>461.2</v>
      </c>
      <c r="N403" s="30">
        <v>7.6859999999999999</v>
      </c>
      <c r="O403" s="29">
        <v>10.981</v>
      </c>
      <c r="P403" s="31">
        <v>42</v>
      </c>
      <c r="Q403" s="31">
        <v>24.57</v>
      </c>
      <c r="R403" s="31">
        <v>162.238</v>
      </c>
      <c r="S403" s="31">
        <v>298.96199999999999</v>
      </c>
      <c r="T403" s="10" t="b">
        <f t="shared" si="88"/>
        <v>1</v>
      </c>
      <c r="U403" s="10" t="b">
        <f t="shared" si="89"/>
        <v>1</v>
      </c>
      <c r="V403" s="11">
        <f>VLOOKUP(IF(J403&lt;10, 10, IF(J403&gt;50,50,J403)),'Over to underbark'!$A$3:$C$43,IF(A403="Scots pine",3,IF(A403="Sitka spruce",2, "error")),TRUE)/100</f>
        <v>0.84</v>
      </c>
      <c r="W403">
        <f t="shared" si="90"/>
        <v>122.65192800000001</v>
      </c>
      <c r="X403">
        <f t="shared" si="91"/>
        <v>226.01527200000001</v>
      </c>
      <c r="Y403">
        <f t="shared" si="92"/>
        <v>66.412800000000004</v>
      </c>
      <c r="Z403">
        <f t="shared" si="93"/>
        <v>170.27656744680002</v>
      </c>
      <c r="AA403">
        <f t="shared" si="94"/>
        <v>46.698112080000001</v>
      </c>
      <c r="AB403">
        <f t="shared" si="95"/>
        <v>73.344890329199998</v>
      </c>
      <c r="AC403">
        <f t="shared" si="96"/>
        <v>124.76043014400001</v>
      </c>
      <c r="AD403">
        <f>LOOKUP($A403,'Over to underbark'!$A$47:$A$48,'Over to underbark'!E$47:E$48)*Z403</f>
        <v>71.516158327656001</v>
      </c>
      <c r="AE403">
        <f>LOOKUP($A403,'Over to underbark'!$A$47:$A$48,'Over to underbark'!E$47:E$48)*AA403</f>
        <v>19.613207073599998</v>
      </c>
      <c r="AF403">
        <f>LOOKUP($A403,'Over to underbark'!$A$47:$A$48,'Over to underbark'!E$47:E$48)*AB403</f>
        <v>30.804853938263999</v>
      </c>
      <c r="AG403">
        <f>LOOKUP($A403,'Over to underbark'!$A$47:$A$48,'Over to underbark'!E$47:E$48)*AC403</f>
        <v>52.399380660480006</v>
      </c>
      <c r="AH403" t="b">
        <f t="shared" si="97"/>
        <v>1</v>
      </c>
      <c r="AI403" t="b">
        <f t="shared" si="98"/>
        <v>1</v>
      </c>
      <c r="AJ403">
        <f>LOOKUP(A403,'Over to underbark'!$A$47:$A$48,'Over to underbark'!E$47:E$48)*M403</f>
        <v>193.70399999999998</v>
      </c>
      <c r="AK403" s="22">
        <f>LOOKUP(A403,'Over to underbark'!$A$47:$A$48,'Over to underbark'!$B$47:$B$48)*AJ403</f>
        <v>65.859359999999995</v>
      </c>
      <c r="AL403" s="22">
        <f>LOOKUP(A403,'Over to underbark'!$A$47:$A$48,'Over to underbark'!C$47:C$48)*AJ403</f>
        <v>67.796399999999991</v>
      </c>
      <c r="AM403" s="22">
        <f t="shared" si="99"/>
        <v>259.56335999999999</v>
      </c>
      <c r="AN403" s="36">
        <v>1152.5999999999999</v>
      </c>
      <c r="AO403" s="23">
        <f t="shared" si="100"/>
        <v>519.12671999999998</v>
      </c>
      <c r="AQ403">
        <f t="shared" si="101"/>
        <v>0.67164179104477606</v>
      </c>
    </row>
    <row r="404" spans="1:43" x14ac:dyDescent="0.35">
      <c r="A404" t="s">
        <v>41</v>
      </c>
      <c r="B404">
        <v>14</v>
      </c>
      <c r="C404">
        <v>2</v>
      </c>
      <c r="D404" t="s">
        <v>42</v>
      </c>
      <c r="E404">
        <v>2</v>
      </c>
      <c r="F404">
        <v>1</v>
      </c>
      <c r="G404" s="30">
        <v>43</v>
      </c>
      <c r="H404" s="30">
        <v>19.841999999999999</v>
      </c>
      <c r="I404" s="30">
        <v>1153</v>
      </c>
      <c r="J404" s="30">
        <v>25.047000000000001</v>
      </c>
      <c r="K404" s="30">
        <v>56.81</v>
      </c>
      <c r="L404" s="30">
        <v>0.41299999999999998</v>
      </c>
      <c r="M404" s="32">
        <v>475.62</v>
      </c>
      <c r="N404" s="30">
        <v>8.1709999999999994</v>
      </c>
      <c r="O404" s="29">
        <v>11.061</v>
      </c>
      <c r="P404" s="31">
        <v>43</v>
      </c>
      <c r="Q404" s="31">
        <v>25.047000000000001</v>
      </c>
      <c r="R404" s="31">
        <v>158.584</v>
      </c>
      <c r="S404" s="31">
        <v>317.036</v>
      </c>
      <c r="T404" s="10" t="b">
        <f t="shared" si="88"/>
        <v>1</v>
      </c>
      <c r="U404" s="10" t="b">
        <f t="shared" si="89"/>
        <v>1</v>
      </c>
      <c r="V404" s="11">
        <f>VLOOKUP(IF(J404&lt;10, 10, IF(J404&gt;50,50,J404)),'Over to underbark'!$A$3:$C$43,IF(A404="Scots pine",3,IF(A404="Sitka spruce",2, "error")),TRUE)/100</f>
        <v>0.84</v>
      </c>
      <c r="W404">
        <f t="shared" si="90"/>
        <v>119.889504</v>
      </c>
      <c r="X404">
        <f t="shared" si="91"/>
        <v>239.679216</v>
      </c>
      <c r="Y404">
        <f t="shared" si="92"/>
        <v>68.489280000000008</v>
      </c>
      <c r="Z404">
        <f t="shared" si="93"/>
        <v>174.2853091824</v>
      </c>
      <c r="AA404">
        <f t="shared" si="94"/>
        <v>47.432485440000008</v>
      </c>
      <c r="AB404">
        <f t="shared" si="95"/>
        <v>74.037278145599998</v>
      </c>
      <c r="AC404">
        <f t="shared" si="96"/>
        <v>132.302927232</v>
      </c>
      <c r="AD404">
        <f>LOOKUP($A404,'Over to underbark'!$A$47:$A$48,'Over to underbark'!E$47:E$48)*Z404</f>
        <v>73.199829856607991</v>
      </c>
      <c r="AE404">
        <f>LOOKUP($A404,'Over to underbark'!$A$47:$A$48,'Over to underbark'!E$47:E$48)*AA404</f>
        <v>19.921643884800002</v>
      </c>
      <c r="AF404">
        <f>LOOKUP($A404,'Over to underbark'!$A$47:$A$48,'Over to underbark'!E$47:E$48)*AB404</f>
        <v>31.095656821151998</v>
      </c>
      <c r="AG404">
        <f>LOOKUP($A404,'Over to underbark'!$A$47:$A$48,'Over to underbark'!E$47:E$48)*AC404</f>
        <v>55.567229437439998</v>
      </c>
      <c r="AH404" t="b">
        <f t="shared" si="97"/>
        <v>1</v>
      </c>
      <c r="AI404" t="b">
        <f t="shared" si="98"/>
        <v>1</v>
      </c>
      <c r="AJ404">
        <f>LOOKUP(A404,'Over to underbark'!$A$47:$A$48,'Over to underbark'!E$47:E$48)*M404</f>
        <v>199.7604</v>
      </c>
      <c r="AK404" s="22">
        <f>LOOKUP(A404,'Over to underbark'!$A$47:$A$48,'Over to underbark'!$B$47:$B$48)*AJ404</f>
        <v>67.918536000000003</v>
      </c>
      <c r="AL404" s="22">
        <f>LOOKUP(A404,'Over to underbark'!$A$47:$A$48,'Over to underbark'!C$47:C$48)*AJ404</f>
        <v>69.916139999999999</v>
      </c>
      <c r="AM404" s="22">
        <f t="shared" si="99"/>
        <v>267.67893600000002</v>
      </c>
      <c r="AN404" s="36">
        <v>1153.5999999999999</v>
      </c>
      <c r="AO404" s="23">
        <f t="shared" si="100"/>
        <v>535.35787200000004</v>
      </c>
      <c r="AQ404">
        <f t="shared" si="101"/>
        <v>0.67164179104477606</v>
      </c>
    </row>
    <row r="405" spans="1:43" x14ac:dyDescent="0.35">
      <c r="A405" t="s">
        <v>41</v>
      </c>
      <c r="B405">
        <v>14</v>
      </c>
      <c r="C405">
        <v>2</v>
      </c>
      <c r="D405" t="s">
        <v>42</v>
      </c>
      <c r="E405">
        <v>2</v>
      </c>
      <c r="F405">
        <v>1</v>
      </c>
      <c r="G405" s="30">
        <v>44</v>
      </c>
      <c r="H405" s="30">
        <v>20.173999999999999</v>
      </c>
      <c r="I405" s="30">
        <v>1125</v>
      </c>
      <c r="J405" s="30">
        <v>25.538</v>
      </c>
      <c r="K405" s="30">
        <v>57.625999999999998</v>
      </c>
      <c r="L405" s="30">
        <v>0.436</v>
      </c>
      <c r="M405" s="32">
        <v>490.04</v>
      </c>
      <c r="N405" s="30">
        <v>8.6219999999999999</v>
      </c>
      <c r="O405" s="29">
        <v>11.137</v>
      </c>
      <c r="P405" s="31">
        <v>44</v>
      </c>
      <c r="Q405" s="31">
        <v>25.538</v>
      </c>
      <c r="R405" s="31">
        <v>154.53899999999999</v>
      </c>
      <c r="S405" s="31">
        <v>335.50099999999998</v>
      </c>
      <c r="T405" s="10" t="b">
        <f t="shared" si="88"/>
        <v>1</v>
      </c>
      <c r="U405" s="10" t="b">
        <f t="shared" si="89"/>
        <v>1</v>
      </c>
      <c r="V405" s="11">
        <f>VLOOKUP(IF(J405&lt;10, 10, IF(J405&gt;50,50,J405)),'Over to underbark'!$A$3:$C$43,IF(A405="Scots pine",3,IF(A405="Sitka spruce",2, "error")),TRUE)/100</f>
        <v>0.84</v>
      </c>
      <c r="W405">
        <f t="shared" si="90"/>
        <v>116.83148399999997</v>
      </c>
      <c r="X405">
        <f t="shared" si="91"/>
        <v>253.63875599999997</v>
      </c>
      <c r="Y405">
        <f t="shared" si="92"/>
        <v>70.565760000000012</v>
      </c>
      <c r="Z405">
        <f t="shared" si="93"/>
        <v>178.23512385539999</v>
      </c>
      <c r="AA405">
        <f t="shared" si="94"/>
        <v>48.134343240000007</v>
      </c>
      <c r="AB405">
        <f t="shared" si="95"/>
        <v>74.657939592599988</v>
      </c>
      <c r="AC405">
        <f t="shared" si="96"/>
        <v>140.00859331199999</v>
      </c>
      <c r="AD405">
        <f>LOOKUP($A405,'Over to underbark'!$A$47:$A$48,'Over to underbark'!E$47:E$48)*Z405</f>
        <v>74.858752019267996</v>
      </c>
      <c r="AE405">
        <f>LOOKUP($A405,'Over to underbark'!$A$47:$A$48,'Over to underbark'!E$47:E$48)*AA405</f>
        <v>20.216424160800003</v>
      </c>
      <c r="AF405">
        <f>LOOKUP($A405,'Over to underbark'!$A$47:$A$48,'Over to underbark'!E$47:E$48)*AB405</f>
        <v>31.356334628891993</v>
      </c>
      <c r="AG405">
        <f>LOOKUP($A405,'Over to underbark'!$A$47:$A$48,'Over to underbark'!E$47:E$48)*AC405</f>
        <v>58.803609191039996</v>
      </c>
      <c r="AH405" t="b">
        <f t="shared" si="97"/>
        <v>1</v>
      </c>
      <c r="AI405" t="b">
        <f t="shared" si="98"/>
        <v>1</v>
      </c>
      <c r="AJ405">
        <f>LOOKUP(A405,'Over to underbark'!$A$47:$A$48,'Over to underbark'!E$47:E$48)*M405</f>
        <v>205.8168</v>
      </c>
      <c r="AK405" s="22">
        <f>LOOKUP(A405,'Over to underbark'!$A$47:$A$48,'Over to underbark'!$B$47:$B$48)*AJ405</f>
        <v>69.977712000000011</v>
      </c>
      <c r="AL405" s="22">
        <f>LOOKUP(A405,'Over to underbark'!$A$47:$A$48,'Over to underbark'!C$47:C$48)*AJ405</f>
        <v>72.035879999999992</v>
      </c>
      <c r="AM405" s="22">
        <f t="shared" si="99"/>
        <v>275.794512</v>
      </c>
      <c r="AN405" s="36">
        <v>1154.5999999999999</v>
      </c>
      <c r="AO405" s="23">
        <f t="shared" si="100"/>
        <v>551.58902399999999</v>
      </c>
      <c r="AQ405">
        <f t="shared" si="101"/>
        <v>0.67164179104477606</v>
      </c>
    </row>
    <row r="406" spans="1:43" x14ac:dyDescent="0.35">
      <c r="A406" t="s">
        <v>41</v>
      </c>
      <c r="B406">
        <v>14</v>
      </c>
      <c r="C406">
        <v>2</v>
      </c>
      <c r="D406" t="s">
        <v>42</v>
      </c>
      <c r="E406">
        <v>2</v>
      </c>
      <c r="F406">
        <v>1</v>
      </c>
      <c r="G406" s="30">
        <v>45</v>
      </c>
      <c r="H406" s="30">
        <v>20.506</v>
      </c>
      <c r="I406" s="30">
        <v>1098</v>
      </c>
      <c r="J406" s="30">
        <v>26.032</v>
      </c>
      <c r="K406" s="30">
        <v>58.441000000000003</v>
      </c>
      <c r="L406" s="30">
        <v>0.45900000000000002</v>
      </c>
      <c r="M406" s="32">
        <v>504.46</v>
      </c>
      <c r="N406" s="30">
        <v>9.0440000000000005</v>
      </c>
      <c r="O406" s="29">
        <v>11.21</v>
      </c>
      <c r="P406" s="31">
        <v>45</v>
      </c>
      <c r="Q406" s="31">
        <v>26.032</v>
      </c>
      <c r="R406" s="31">
        <v>150.333</v>
      </c>
      <c r="S406" s="31">
        <v>354.12700000000001</v>
      </c>
      <c r="T406" s="10" t="b">
        <f t="shared" si="88"/>
        <v>1</v>
      </c>
      <c r="U406" s="10" t="b">
        <f t="shared" si="89"/>
        <v>1</v>
      </c>
      <c r="V406" s="11">
        <f>VLOOKUP(IF(J406&lt;10, 10, IF(J406&gt;50,50,J406)),'Over to underbark'!$A$3:$C$43,IF(A406="Scots pine",3,IF(A406="Sitka spruce",2, "error")),TRUE)/100</f>
        <v>0.84</v>
      </c>
      <c r="W406">
        <f t="shared" si="90"/>
        <v>113.651748</v>
      </c>
      <c r="X406">
        <f t="shared" si="91"/>
        <v>267.720012</v>
      </c>
      <c r="Y406">
        <f t="shared" si="92"/>
        <v>72.642240000000029</v>
      </c>
      <c r="Z406">
        <f t="shared" si="93"/>
        <v>182.16067444380002</v>
      </c>
      <c r="AA406">
        <f t="shared" si="94"/>
        <v>48.822812280000015</v>
      </c>
      <c r="AB406">
        <f t="shared" si="95"/>
        <v>75.2490666522</v>
      </c>
      <c r="AC406">
        <f t="shared" si="96"/>
        <v>147.78144662400001</v>
      </c>
      <c r="AD406">
        <f>LOOKUP($A406,'Over to underbark'!$A$47:$A$48,'Over to underbark'!E$47:E$48)*Z406</f>
        <v>76.507483266396008</v>
      </c>
      <c r="AE406">
        <f>LOOKUP($A406,'Over to underbark'!$A$47:$A$48,'Over to underbark'!E$47:E$48)*AA406</f>
        <v>20.505581157600005</v>
      </c>
      <c r="AF406">
        <f>LOOKUP($A406,'Over to underbark'!$A$47:$A$48,'Over to underbark'!E$47:E$48)*AB406</f>
        <v>31.604607993923999</v>
      </c>
      <c r="AG406">
        <f>LOOKUP($A406,'Over to underbark'!$A$47:$A$48,'Over to underbark'!E$47:E$48)*AC406</f>
        <v>62.068207582079999</v>
      </c>
      <c r="AH406" t="b">
        <f t="shared" si="97"/>
        <v>1</v>
      </c>
      <c r="AI406" t="b">
        <f t="shared" si="98"/>
        <v>1</v>
      </c>
      <c r="AJ406">
        <f>LOOKUP(A406,'Over to underbark'!$A$47:$A$48,'Over to underbark'!E$47:E$48)*M406</f>
        <v>211.8732</v>
      </c>
      <c r="AK406" s="22">
        <f>LOOKUP(A406,'Over to underbark'!$A$47:$A$48,'Over to underbark'!$B$47:$B$48)*AJ406</f>
        <v>72.036888000000005</v>
      </c>
      <c r="AL406" s="22">
        <f>LOOKUP(A406,'Over to underbark'!$A$47:$A$48,'Over to underbark'!C$47:C$48)*AJ406</f>
        <v>74.155619999999999</v>
      </c>
      <c r="AM406" s="22">
        <f t="shared" si="99"/>
        <v>283.91008799999997</v>
      </c>
      <c r="AN406" s="36">
        <v>1155.5999999999999</v>
      </c>
      <c r="AO406" s="23">
        <f t="shared" si="100"/>
        <v>567.82017599999995</v>
      </c>
      <c r="AQ406">
        <f t="shared" si="101"/>
        <v>0.67164179104477617</v>
      </c>
    </row>
    <row r="407" spans="1:43" x14ac:dyDescent="0.35">
      <c r="A407" t="s">
        <v>41</v>
      </c>
      <c r="B407">
        <v>14</v>
      </c>
      <c r="C407">
        <v>2</v>
      </c>
      <c r="D407" t="s">
        <v>42</v>
      </c>
      <c r="E407">
        <v>2</v>
      </c>
      <c r="F407">
        <v>1</v>
      </c>
      <c r="G407" s="30">
        <v>46</v>
      </c>
      <c r="H407" s="30">
        <v>20.838000000000001</v>
      </c>
      <c r="I407" s="30">
        <v>1070</v>
      </c>
      <c r="J407" s="30">
        <v>26.553999999999998</v>
      </c>
      <c r="K407" s="30">
        <v>59.256999999999998</v>
      </c>
      <c r="L407" s="30">
        <v>0.48499999999999999</v>
      </c>
      <c r="M407" s="32">
        <v>518.88</v>
      </c>
      <c r="N407" s="30">
        <v>9.4390000000000001</v>
      </c>
      <c r="O407" s="29">
        <v>11.28</v>
      </c>
      <c r="P407" s="31">
        <v>46</v>
      </c>
      <c r="Q407" s="31">
        <v>26.553999999999998</v>
      </c>
      <c r="R407" s="31">
        <v>145.572</v>
      </c>
      <c r="S407" s="31">
        <v>373.30799999999999</v>
      </c>
      <c r="T407" s="10" t="b">
        <f t="shared" si="88"/>
        <v>1</v>
      </c>
      <c r="U407" s="10" t="b">
        <f t="shared" si="89"/>
        <v>1</v>
      </c>
      <c r="V407" s="11">
        <f>VLOOKUP(IF(J407&lt;10, 10, IF(J407&gt;50,50,J407)),'Over to underbark'!$A$3:$C$43,IF(A407="Scots pine",3,IF(A407="Sitka spruce",2, "error")),TRUE)/100</f>
        <v>0.84</v>
      </c>
      <c r="W407">
        <f t="shared" si="90"/>
        <v>110.052432</v>
      </c>
      <c r="X407">
        <f t="shared" si="91"/>
        <v>282.22084799999999</v>
      </c>
      <c r="Y407">
        <f t="shared" si="92"/>
        <v>74.718720000000019</v>
      </c>
      <c r="Z407">
        <f t="shared" si="93"/>
        <v>186.00258175919998</v>
      </c>
      <c r="AA407">
        <f t="shared" si="94"/>
        <v>49.46512752000001</v>
      </c>
      <c r="AB407">
        <f t="shared" si="95"/>
        <v>75.738382624799996</v>
      </c>
      <c r="AC407">
        <f t="shared" si="96"/>
        <v>155.78590809600001</v>
      </c>
      <c r="AD407">
        <f>LOOKUP($A407,'Over to underbark'!$A$47:$A$48,'Over to underbark'!E$47:E$48)*Z407</f>
        <v>78.121084338863994</v>
      </c>
      <c r="AE407">
        <f>LOOKUP($A407,'Over to underbark'!$A$47:$A$48,'Over to underbark'!E$47:E$48)*AA407</f>
        <v>20.775353558400003</v>
      </c>
      <c r="AF407">
        <f>LOOKUP($A407,'Over to underbark'!$A$47:$A$48,'Over to underbark'!E$47:E$48)*AB407</f>
        <v>31.810120702415997</v>
      </c>
      <c r="AG407">
        <f>LOOKUP($A407,'Over to underbark'!$A$47:$A$48,'Over to underbark'!E$47:E$48)*AC407</f>
        <v>65.430081400320006</v>
      </c>
      <c r="AH407" t="b">
        <f t="shared" si="97"/>
        <v>1</v>
      </c>
      <c r="AI407" t="b">
        <f t="shared" si="98"/>
        <v>1</v>
      </c>
      <c r="AJ407">
        <f>LOOKUP(A407,'Over to underbark'!$A$47:$A$48,'Over to underbark'!E$47:E$48)*M407</f>
        <v>217.92959999999999</v>
      </c>
      <c r="AK407" s="22">
        <f>LOOKUP(A407,'Over to underbark'!$A$47:$A$48,'Over to underbark'!$B$47:$B$48)*AJ407</f>
        <v>74.096063999999998</v>
      </c>
      <c r="AL407" s="22">
        <f>LOOKUP(A407,'Over to underbark'!$A$47:$A$48,'Over to underbark'!C$47:C$48)*AJ407</f>
        <v>76.275359999999992</v>
      </c>
      <c r="AM407" s="22">
        <f t="shared" si="99"/>
        <v>292.02566400000001</v>
      </c>
      <c r="AN407" s="36">
        <v>1156.5999999999999</v>
      </c>
      <c r="AO407" s="23">
        <f t="shared" si="100"/>
        <v>584.05132800000001</v>
      </c>
      <c r="AQ407">
        <f t="shared" si="101"/>
        <v>0.67164179104477606</v>
      </c>
    </row>
    <row r="408" spans="1:43" x14ac:dyDescent="0.35">
      <c r="A408" t="s">
        <v>41</v>
      </c>
      <c r="B408">
        <v>14</v>
      </c>
      <c r="C408">
        <v>2</v>
      </c>
      <c r="D408" t="s">
        <v>42</v>
      </c>
      <c r="E408">
        <v>2</v>
      </c>
      <c r="F408">
        <v>1</v>
      </c>
      <c r="G408" s="30">
        <v>47</v>
      </c>
      <c r="H408" s="30">
        <v>21.17</v>
      </c>
      <c r="I408" s="30">
        <v>1043</v>
      </c>
      <c r="J408" s="30">
        <v>27.08</v>
      </c>
      <c r="K408" s="30">
        <v>60.072000000000003</v>
      </c>
      <c r="L408" s="30">
        <v>0.51100000000000001</v>
      </c>
      <c r="M408" s="32">
        <v>533.29999999999995</v>
      </c>
      <c r="N408" s="30">
        <v>9.8089999999999993</v>
      </c>
      <c r="O408" s="29">
        <v>11.347</v>
      </c>
      <c r="P408" s="31">
        <v>47</v>
      </c>
      <c r="Q408" s="31">
        <v>27.08</v>
      </c>
      <c r="R408" s="31">
        <v>140.709</v>
      </c>
      <c r="S408" s="31">
        <v>392.59100000000001</v>
      </c>
      <c r="T408" s="10" t="b">
        <f t="shared" si="88"/>
        <v>1</v>
      </c>
      <c r="U408" s="10" t="b">
        <f t="shared" si="89"/>
        <v>1</v>
      </c>
      <c r="V408" s="11">
        <f>VLOOKUP(IF(J408&lt;10, 10, IF(J408&gt;50,50,J408)),'Over to underbark'!$A$3:$C$43,IF(A408="Scots pine",3,IF(A408="Sitka spruce",2, "error")),TRUE)/100</f>
        <v>0.85</v>
      </c>
      <c r="W408">
        <f t="shared" si="90"/>
        <v>107.642385</v>
      </c>
      <c r="X408">
        <f t="shared" si="91"/>
        <v>300.33211499999999</v>
      </c>
      <c r="Y408">
        <f t="shared" si="92"/>
        <v>71.995500000000007</v>
      </c>
      <c r="Z408">
        <f t="shared" si="93"/>
        <v>189.23202294974996</v>
      </c>
      <c r="AA408">
        <f t="shared" si="94"/>
        <v>47.838412350000006</v>
      </c>
      <c r="AB408">
        <f t="shared" si="95"/>
        <v>77.116237220249999</v>
      </c>
      <c r="AC408">
        <f t="shared" si="96"/>
        <v>165.78332748</v>
      </c>
      <c r="AD408">
        <f>LOOKUP($A408,'Over to underbark'!$A$47:$A$48,'Over to underbark'!E$47:E$48)*Z408</f>
        <v>79.477449638894981</v>
      </c>
      <c r="AE408">
        <f>LOOKUP($A408,'Over to underbark'!$A$47:$A$48,'Over to underbark'!E$47:E$48)*AA408</f>
        <v>20.092133187000002</v>
      </c>
      <c r="AF408">
        <f>LOOKUP($A408,'Over to underbark'!$A$47:$A$48,'Over to underbark'!E$47:E$48)*AB408</f>
        <v>32.388819632504998</v>
      </c>
      <c r="AG408">
        <f>LOOKUP($A408,'Over to underbark'!$A$47:$A$48,'Over to underbark'!E$47:E$48)*AC408</f>
        <v>69.6289975416</v>
      </c>
      <c r="AH408" t="b">
        <f t="shared" si="97"/>
        <v>1</v>
      </c>
      <c r="AI408" t="b">
        <f t="shared" si="98"/>
        <v>1</v>
      </c>
      <c r="AJ408">
        <f>LOOKUP(A408,'Over to underbark'!$A$47:$A$48,'Over to underbark'!E$47:E$48)*M408</f>
        <v>223.98599999999996</v>
      </c>
      <c r="AK408" s="22">
        <f>LOOKUP(A408,'Over to underbark'!$A$47:$A$48,'Over to underbark'!$B$47:$B$48)*AJ408</f>
        <v>76.155239999999992</v>
      </c>
      <c r="AL408" s="22">
        <f>LOOKUP(A408,'Over to underbark'!$A$47:$A$48,'Over to underbark'!C$47:C$48)*AJ408</f>
        <v>78.395099999999985</v>
      </c>
      <c r="AM408" s="22">
        <f t="shared" si="99"/>
        <v>300.14123999999993</v>
      </c>
      <c r="AN408" s="36">
        <v>1157.5999999999999</v>
      </c>
      <c r="AO408" s="23">
        <f t="shared" si="100"/>
        <v>600.28247999999985</v>
      </c>
      <c r="AQ408">
        <f t="shared" si="101"/>
        <v>0.67164179104477617</v>
      </c>
    </row>
    <row r="409" spans="1:43" x14ac:dyDescent="0.35">
      <c r="A409" t="s">
        <v>41</v>
      </c>
      <c r="B409">
        <v>14</v>
      </c>
      <c r="C409">
        <v>2</v>
      </c>
      <c r="D409" t="s">
        <v>42</v>
      </c>
      <c r="E409">
        <v>2</v>
      </c>
      <c r="F409">
        <v>1</v>
      </c>
      <c r="G409" s="30">
        <v>48</v>
      </c>
      <c r="H409" s="30">
        <v>21.475999999999999</v>
      </c>
      <c r="I409" s="30">
        <v>1021</v>
      </c>
      <c r="J409" s="30">
        <v>27.533000000000001</v>
      </c>
      <c r="K409" s="30">
        <v>60.790999999999997</v>
      </c>
      <c r="L409" s="30">
        <v>0.53600000000000003</v>
      </c>
      <c r="M409" s="32">
        <v>547.6</v>
      </c>
      <c r="N409" s="30">
        <v>10.073</v>
      </c>
      <c r="O409" s="29">
        <v>11.407999999999999</v>
      </c>
      <c r="P409" s="31">
        <v>48</v>
      </c>
      <c r="Q409" s="31">
        <v>27.533000000000001</v>
      </c>
      <c r="R409" s="31">
        <v>136.98500000000001</v>
      </c>
      <c r="S409" s="31">
        <v>410.61500000000001</v>
      </c>
      <c r="T409" s="10" t="b">
        <f t="shared" si="88"/>
        <v>1</v>
      </c>
      <c r="U409" s="10" t="b">
        <f t="shared" si="89"/>
        <v>1</v>
      </c>
      <c r="V409" s="11">
        <f>VLOOKUP(IF(J409&lt;10, 10, IF(J409&gt;50,50,J409)),'Over to underbark'!$A$3:$C$43,IF(A409="Scots pine",3,IF(A409="Sitka spruce",2, "error")),TRUE)/100</f>
        <v>0.85</v>
      </c>
      <c r="W409">
        <f t="shared" si="90"/>
        <v>104.79352500000002</v>
      </c>
      <c r="X409">
        <f t="shared" si="91"/>
        <v>314.12047500000006</v>
      </c>
      <c r="Y409">
        <f t="shared" si="92"/>
        <v>73.926000000000016</v>
      </c>
      <c r="Z409">
        <f t="shared" si="93"/>
        <v>193.16281120875001</v>
      </c>
      <c r="AA409">
        <f t="shared" si="94"/>
        <v>48.490287750000007</v>
      </c>
      <c r="AB409">
        <f t="shared" si="95"/>
        <v>77.792398841250019</v>
      </c>
      <c r="AC409">
        <f t="shared" si="96"/>
        <v>173.39450220000003</v>
      </c>
      <c r="AD409">
        <f>LOOKUP($A409,'Over to underbark'!$A$47:$A$48,'Over to underbark'!E$47:E$48)*Z409</f>
        <v>81.128380707675007</v>
      </c>
      <c r="AE409">
        <f>LOOKUP($A409,'Over to underbark'!$A$47:$A$48,'Over to underbark'!E$47:E$48)*AA409</f>
        <v>20.365920855000002</v>
      </c>
      <c r="AF409">
        <f>LOOKUP($A409,'Over to underbark'!$A$47:$A$48,'Over to underbark'!E$47:E$48)*AB409</f>
        <v>32.672807513325004</v>
      </c>
      <c r="AG409">
        <f>LOOKUP($A409,'Over to underbark'!$A$47:$A$48,'Over to underbark'!E$47:E$48)*AC409</f>
        <v>72.825690924000014</v>
      </c>
      <c r="AH409" t="b">
        <f t="shared" si="97"/>
        <v>1</v>
      </c>
      <c r="AI409" t="b">
        <f t="shared" si="98"/>
        <v>1</v>
      </c>
      <c r="AJ409">
        <f>LOOKUP(A409,'Over to underbark'!$A$47:$A$48,'Over to underbark'!E$47:E$48)*M409</f>
        <v>229.99199999999999</v>
      </c>
      <c r="AK409" s="22">
        <f>LOOKUP(A409,'Over to underbark'!$A$47:$A$48,'Over to underbark'!$B$47:$B$48)*AJ409</f>
        <v>78.197280000000006</v>
      </c>
      <c r="AL409" s="22">
        <f>LOOKUP(A409,'Over to underbark'!$A$47:$A$48,'Over to underbark'!C$47:C$48)*AJ409</f>
        <v>80.497199999999992</v>
      </c>
      <c r="AM409" s="22">
        <f t="shared" si="99"/>
        <v>308.18928</v>
      </c>
      <c r="AN409" s="36">
        <v>1158.5999999999999</v>
      </c>
      <c r="AO409" s="23">
        <f t="shared" si="100"/>
        <v>616.37855999999999</v>
      </c>
      <c r="AQ409">
        <f t="shared" si="101"/>
        <v>0.67164179104477617</v>
      </c>
    </row>
    <row r="410" spans="1:43" x14ac:dyDescent="0.35">
      <c r="A410" t="s">
        <v>41</v>
      </c>
      <c r="B410">
        <v>14</v>
      </c>
      <c r="C410">
        <v>2</v>
      </c>
      <c r="D410" t="s">
        <v>42</v>
      </c>
      <c r="E410">
        <v>2</v>
      </c>
      <c r="F410">
        <v>1</v>
      </c>
      <c r="G410" s="30">
        <v>49</v>
      </c>
      <c r="H410" s="30">
        <v>21.782</v>
      </c>
      <c r="I410" s="30">
        <v>999</v>
      </c>
      <c r="J410" s="30">
        <v>27.992999999999999</v>
      </c>
      <c r="K410" s="30">
        <v>61.509</v>
      </c>
      <c r="L410" s="30">
        <v>0.56200000000000006</v>
      </c>
      <c r="M410" s="32">
        <v>561.9</v>
      </c>
      <c r="N410" s="30">
        <v>10.323</v>
      </c>
      <c r="O410" s="29">
        <v>11.467000000000001</v>
      </c>
      <c r="P410" s="31">
        <v>49</v>
      </c>
      <c r="Q410" s="31">
        <v>27.992999999999999</v>
      </c>
      <c r="R410" s="31">
        <v>133.108</v>
      </c>
      <c r="S410" s="31">
        <v>428.79199999999997</v>
      </c>
      <c r="T410" s="10" t="b">
        <f t="shared" si="88"/>
        <v>1</v>
      </c>
      <c r="U410" s="10" t="b">
        <f t="shared" si="89"/>
        <v>1</v>
      </c>
      <c r="V410" s="11">
        <f>VLOOKUP(IF(J410&lt;10, 10, IF(J410&gt;50,50,J410)),'Over to underbark'!$A$3:$C$43,IF(A410="Scots pine",3,IF(A410="Sitka spruce",2, "error")),TRUE)/100</f>
        <v>0.85</v>
      </c>
      <c r="W410">
        <f t="shared" si="90"/>
        <v>101.82762</v>
      </c>
      <c r="X410">
        <f t="shared" si="91"/>
        <v>328.02587999999997</v>
      </c>
      <c r="Y410">
        <f t="shared" si="92"/>
        <v>75.856500000000011</v>
      </c>
      <c r="Z410">
        <f t="shared" si="93"/>
        <v>197.07026654700002</v>
      </c>
      <c r="AA410">
        <f t="shared" si="94"/>
        <v>49.129288200000005</v>
      </c>
      <c r="AB410">
        <f t="shared" si="95"/>
        <v>78.440159492999982</v>
      </c>
      <c r="AC410">
        <f t="shared" si="96"/>
        <v>181.07028575999999</v>
      </c>
      <c r="AD410">
        <f>LOOKUP($A410,'Over to underbark'!$A$47:$A$48,'Over to underbark'!E$47:E$48)*Z410</f>
        <v>82.769511949740007</v>
      </c>
      <c r="AE410">
        <f>LOOKUP($A410,'Over to underbark'!$A$47:$A$48,'Over to underbark'!E$47:E$48)*AA410</f>
        <v>20.634301044000001</v>
      </c>
      <c r="AF410">
        <f>LOOKUP($A410,'Over to underbark'!$A$47:$A$48,'Over to underbark'!E$47:E$48)*AB410</f>
        <v>32.944866987059989</v>
      </c>
      <c r="AG410">
        <f>LOOKUP($A410,'Over to underbark'!$A$47:$A$48,'Over to underbark'!E$47:E$48)*AC410</f>
        <v>76.049520019199988</v>
      </c>
      <c r="AH410" t="b">
        <f t="shared" si="97"/>
        <v>1</v>
      </c>
      <c r="AI410" t="b">
        <f t="shared" si="98"/>
        <v>1</v>
      </c>
      <c r="AJ410">
        <f>LOOKUP(A410,'Over to underbark'!$A$47:$A$48,'Over to underbark'!E$47:E$48)*M410</f>
        <v>235.99799999999999</v>
      </c>
      <c r="AK410" s="22">
        <f>LOOKUP(A410,'Over to underbark'!$A$47:$A$48,'Over to underbark'!$B$47:$B$48)*AJ410</f>
        <v>80.239320000000006</v>
      </c>
      <c r="AL410" s="22">
        <f>LOOKUP(A410,'Over to underbark'!$A$47:$A$48,'Over to underbark'!C$47:C$48)*AJ410</f>
        <v>82.599299999999985</v>
      </c>
      <c r="AM410" s="22">
        <f t="shared" si="99"/>
        <v>316.23732000000001</v>
      </c>
      <c r="AN410" s="36">
        <v>1159.5999999999999</v>
      </c>
      <c r="AO410" s="23">
        <f t="shared" si="100"/>
        <v>632.47464000000002</v>
      </c>
      <c r="AQ410">
        <f t="shared" si="101"/>
        <v>0.67164179104477606</v>
      </c>
    </row>
    <row r="411" spans="1:43" x14ac:dyDescent="0.35">
      <c r="A411" t="s">
        <v>41</v>
      </c>
      <c r="B411">
        <v>14</v>
      </c>
      <c r="C411">
        <v>2</v>
      </c>
      <c r="D411" t="s">
        <v>42</v>
      </c>
      <c r="E411">
        <v>2</v>
      </c>
      <c r="F411">
        <v>1</v>
      </c>
      <c r="G411" s="30">
        <v>50</v>
      </c>
      <c r="H411" s="30">
        <v>22.088000000000001</v>
      </c>
      <c r="I411" s="30">
        <v>978</v>
      </c>
      <c r="J411" s="30">
        <v>28.469000000000001</v>
      </c>
      <c r="K411" s="30">
        <v>62.228000000000002</v>
      </c>
      <c r="L411" s="30">
        <v>0.58899999999999997</v>
      </c>
      <c r="M411" s="32">
        <v>576.20000000000005</v>
      </c>
      <c r="N411" s="30">
        <v>10.558999999999999</v>
      </c>
      <c r="O411" s="29">
        <v>11.523999999999999</v>
      </c>
      <c r="P411" s="31">
        <v>50</v>
      </c>
      <c r="Q411" s="31">
        <v>28.469000000000001</v>
      </c>
      <c r="R411" s="31">
        <v>128.965</v>
      </c>
      <c r="S411" s="31">
        <v>447.23500000000001</v>
      </c>
      <c r="T411" s="10" t="b">
        <f t="shared" si="88"/>
        <v>1</v>
      </c>
      <c r="U411" s="10" t="b">
        <f t="shared" si="89"/>
        <v>1</v>
      </c>
      <c r="V411" s="11">
        <f>VLOOKUP(IF(J411&lt;10, 10, IF(J411&gt;50,50,J411)),'Over to underbark'!$A$3:$C$43,IF(A411="Scots pine",3,IF(A411="Sitka spruce",2, "error")),TRUE)/100</f>
        <v>0.85</v>
      </c>
      <c r="W411">
        <f t="shared" si="90"/>
        <v>98.658225000000002</v>
      </c>
      <c r="X411">
        <f t="shared" si="91"/>
        <v>342.13477499999999</v>
      </c>
      <c r="Y411">
        <f t="shared" si="92"/>
        <v>77.78700000000002</v>
      </c>
      <c r="Z411">
        <f t="shared" si="93"/>
        <v>200.93715615374998</v>
      </c>
      <c r="AA411">
        <f t="shared" si="94"/>
        <v>49.745904750000008</v>
      </c>
      <c r="AB411">
        <f t="shared" si="95"/>
        <v>79.038543296249998</v>
      </c>
      <c r="AC411">
        <f t="shared" si="96"/>
        <v>188.85839579999998</v>
      </c>
      <c r="AD411">
        <f>LOOKUP($A411,'Over to underbark'!$A$47:$A$48,'Over to underbark'!E$47:E$48)*Z411</f>
        <v>84.393605584574985</v>
      </c>
      <c r="AE411">
        <f>LOOKUP($A411,'Over to underbark'!$A$47:$A$48,'Over to underbark'!E$47:E$48)*AA411</f>
        <v>20.893279995000004</v>
      </c>
      <c r="AF411">
        <f>LOOKUP($A411,'Over to underbark'!$A$47:$A$48,'Over to underbark'!E$47:E$48)*AB411</f>
        <v>33.196188184424997</v>
      </c>
      <c r="AG411">
        <f>LOOKUP($A411,'Over to underbark'!$A$47:$A$48,'Over to underbark'!E$47:E$48)*AC411</f>
        <v>79.320526235999992</v>
      </c>
      <c r="AH411" t="b">
        <f t="shared" si="97"/>
        <v>1</v>
      </c>
      <c r="AI411" t="b">
        <f t="shared" si="98"/>
        <v>1</v>
      </c>
      <c r="AJ411">
        <f>LOOKUP(A411,'Over to underbark'!$A$47:$A$48,'Over to underbark'!E$47:E$48)*M411</f>
        <v>242.00400000000002</v>
      </c>
      <c r="AK411" s="22">
        <f>LOOKUP(A411,'Over to underbark'!$A$47:$A$48,'Over to underbark'!$B$47:$B$48)*AJ411</f>
        <v>82.281360000000006</v>
      </c>
      <c r="AL411" s="22">
        <f>LOOKUP(A411,'Over to underbark'!$A$47:$A$48,'Over to underbark'!C$47:C$48)*AJ411</f>
        <v>84.701400000000007</v>
      </c>
      <c r="AM411" s="22">
        <f t="shared" si="99"/>
        <v>324.28536000000003</v>
      </c>
      <c r="AN411" s="36">
        <v>1160.5999999999999</v>
      </c>
      <c r="AO411" s="23">
        <f t="shared" si="100"/>
        <v>648.57072000000005</v>
      </c>
      <c r="AQ411">
        <f t="shared" si="101"/>
        <v>0.67164179104477595</v>
      </c>
    </row>
    <row r="412" spans="1:43" x14ac:dyDescent="0.35">
      <c r="A412" t="s">
        <v>41</v>
      </c>
      <c r="B412">
        <v>14</v>
      </c>
      <c r="C412">
        <v>2</v>
      </c>
      <c r="D412" t="s">
        <v>42</v>
      </c>
      <c r="E412">
        <v>2</v>
      </c>
      <c r="F412">
        <v>1</v>
      </c>
      <c r="G412" s="30">
        <v>51</v>
      </c>
      <c r="H412" s="30">
        <v>22.393999999999998</v>
      </c>
      <c r="I412" s="30">
        <v>956</v>
      </c>
      <c r="J412" s="30">
        <v>28.957000000000001</v>
      </c>
      <c r="K412" s="30">
        <v>62.947000000000003</v>
      </c>
      <c r="L412" s="30">
        <v>0.61799999999999999</v>
      </c>
      <c r="M412" s="32">
        <v>590.5</v>
      </c>
      <c r="N412" s="30">
        <v>10.782</v>
      </c>
      <c r="O412" s="29">
        <v>11.577999999999999</v>
      </c>
      <c r="P412" s="31">
        <v>51</v>
      </c>
      <c r="Q412" s="31">
        <v>28.957000000000001</v>
      </c>
      <c r="R412" s="31">
        <v>124.648</v>
      </c>
      <c r="S412" s="31">
        <v>465.85199999999998</v>
      </c>
      <c r="T412" s="10" t="b">
        <f t="shared" si="88"/>
        <v>1</v>
      </c>
      <c r="U412" s="10" t="b">
        <f t="shared" si="89"/>
        <v>1</v>
      </c>
      <c r="V412" s="11">
        <f>VLOOKUP(IF(J412&lt;10, 10, IF(J412&gt;50,50,J412)),'Over to underbark'!$A$3:$C$43,IF(A412="Scots pine",3,IF(A412="Sitka spruce",2, "error")),TRUE)/100</f>
        <v>0.85</v>
      </c>
      <c r="W412">
        <f t="shared" si="90"/>
        <v>95.355719999999991</v>
      </c>
      <c r="X412">
        <f t="shared" si="91"/>
        <v>356.37678</v>
      </c>
      <c r="Y412">
        <f t="shared" si="92"/>
        <v>79.717500000000015</v>
      </c>
      <c r="Z412">
        <f t="shared" si="93"/>
        <v>204.77751028200004</v>
      </c>
      <c r="AA412">
        <f t="shared" si="94"/>
        <v>50.347879200000008</v>
      </c>
      <c r="AB412">
        <f t="shared" si="95"/>
        <v>79.604627957999995</v>
      </c>
      <c r="AC412">
        <f t="shared" si="96"/>
        <v>196.71998256000001</v>
      </c>
      <c r="AD412">
        <f>LOOKUP($A412,'Over to underbark'!$A$47:$A$48,'Over to underbark'!E$47:E$48)*Z412</f>
        <v>86.00655431844001</v>
      </c>
      <c r="AE412">
        <f>LOOKUP($A412,'Over to underbark'!$A$47:$A$48,'Over to underbark'!E$47:E$48)*AA412</f>
        <v>21.146109264000003</v>
      </c>
      <c r="AF412">
        <f>LOOKUP($A412,'Over to underbark'!$A$47:$A$48,'Over to underbark'!E$47:E$48)*AB412</f>
        <v>33.433943742359993</v>
      </c>
      <c r="AG412">
        <f>LOOKUP($A412,'Over to underbark'!$A$47:$A$48,'Over to underbark'!E$47:E$48)*AC412</f>
        <v>82.622392675200004</v>
      </c>
      <c r="AH412" t="b">
        <f t="shared" si="97"/>
        <v>1</v>
      </c>
      <c r="AI412" t="b">
        <f t="shared" si="98"/>
        <v>1</v>
      </c>
      <c r="AJ412">
        <f>LOOKUP(A412,'Over to underbark'!$A$47:$A$48,'Over to underbark'!E$47:E$48)*M412</f>
        <v>248.01</v>
      </c>
      <c r="AK412" s="22">
        <f>LOOKUP(A412,'Over to underbark'!$A$47:$A$48,'Over to underbark'!$B$47:$B$48)*AJ412</f>
        <v>84.323400000000007</v>
      </c>
      <c r="AL412" s="22">
        <f>LOOKUP(A412,'Over to underbark'!$A$47:$A$48,'Over to underbark'!C$47:C$48)*AJ412</f>
        <v>86.803499999999985</v>
      </c>
      <c r="AM412" s="22">
        <f t="shared" si="99"/>
        <v>332.33339999999998</v>
      </c>
      <c r="AN412" s="36">
        <v>1161.5999999999999</v>
      </c>
      <c r="AO412" s="23">
        <f t="shared" si="100"/>
        <v>664.66679999999997</v>
      </c>
      <c r="AQ412">
        <f t="shared" si="101"/>
        <v>0.67164179104477617</v>
      </c>
    </row>
    <row r="413" spans="1:43" x14ac:dyDescent="0.35">
      <c r="A413" t="s">
        <v>41</v>
      </c>
      <c r="B413">
        <v>14</v>
      </c>
      <c r="C413">
        <v>2</v>
      </c>
      <c r="D413" t="s">
        <v>42</v>
      </c>
      <c r="E413">
        <v>2</v>
      </c>
      <c r="F413">
        <v>1</v>
      </c>
      <c r="G413" s="30">
        <v>52</v>
      </c>
      <c r="H413" s="30">
        <v>22.7</v>
      </c>
      <c r="I413" s="30">
        <v>934</v>
      </c>
      <c r="J413" s="30">
        <v>29.46</v>
      </c>
      <c r="K413" s="30">
        <v>63.664999999999999</v>
      </c>
      <c r="L413" s="30">
        <v>0.64800000000000002</v>
      </c>
      <c r="M413" s="32">
        <v>604.79999999999995</v>
      </c>
      <c r="N413" s="30">
        <v>10.993</v>
      </c>
      <c r="O413" s="29">
        <v>11.631</v>
      </c>
      <c r="P413" s="31">
        <v>52</v>
      </c>
      <c r="Q413" s="31">
        <v>29.46</v>
      </c>
      <c r="R413" s="31">
        <v>120.14400000000001</v>
      </c>
      <c r="S413" s="31">
        <v>484.65600000000001</v>
      </c>
      <c r="T413" s="10" t="b">
        <f t="shared" ref="T413:T455" si="102">G413=P413</f>
        <v>1</v>
      </c>
      <c r="U413" s="10" t="b">
        <f t="shared" ref="U413:U455" si="103">J413=Q413</f>
        <v>1</v>
      </c>
      <c r="V413" s="11">
        <f>VLOOKUP(IF(J413&lt;10, 10, IF(J413&gt;50,50,J413)),'Over to underbark'!$A$3:$C$43,IF(A413="Scots pine",3,IF(A413="Sitka spruce",2, "error")),TRUE)/100</f>
        <v>0.85</v>
      </c>
      <c r="W413">
        <f t="shared" si="90"/>
        <v>91.910160000000005</v>
      </c>
      <c r="X413">
        <f t="shared" si="91"/>
        <v>370.76184000000001</v>
      </c>
      <c r="Y413">
        <f t="shared" si="92"/>
        <v>81.647999999999996</v>
      </c>
      <c r="Z413">
        <f t="shared" si="93"/>
        <v>208.589346396</v>
      </c>
      <c r="AA413">
        <f t="shared" si="94"/>
        <v>50.9341176</v>
      </c>
      <c r="AB413">
        <f t="shared" si="95"/>
        <v>80.136000324000008</v>
      </c>
      <c r="AC413">
        <f t="shared" si="96"/>
        <v>204.66053568000001</v>
      </c>
      <c r="AD413">
        <f>LOOKUP($A413,'Over to underbark'!$A$47:$A$48,'Over to underbark'!E$47:E$48)*Z413</f>
        <v>87.60752548632</v>
      </c>
      <c r="AE413">
        <f>LOOKUP($A413,'Over to underbark'!$A$47:$A$48,'Over to underbark'!E$47:E$48)*AA413</f>
        <v>21.392329392000001</v>
      </c>
      <c r="AF413">
        <f>LOOKUP($A413,'Over to underbark'!$A$47:$A$48,'Over to underbark'!E$47:E$48)*AB413</f>
        <v>33.657120136080003</v>
      </c>
      <c r="AG413">
        <f>LOOKUP($A413,'Over to underbark'!$A$47:$A$48,'Over to underbark'!E$47:E$48)*AC413</f>
        <v>85.957424985599999</v>
      </c>
      <c r="AH413" t="b">
        <f t="shared" si="97"/>
        <v>1</v>
      </c>
      <c r="AI413" t="b">
        <f t="shared" si="98"/>
        <v>1</v>
      </c>
      <c r="AJ413">
        <f>LOOKUP(A413,'Over to underbark'!$A$47:$A$48,'Over to underbark'!E$47:E$48)*M413</f>
        <v>254.01599999999996</v>
      </c>
      <c r="AK413" s="22">
        <f>LOOKUP(A413,'Over to underbark'!$A$47:$A$48,'Over to underbark'!$B$47:$B$48)*AJ413</f>
        <v>86.365439999999992</v>
      </c>
      <c r="AL413" s="22">
        <f>LOOKUP(A413,'Over to underbark'!$A$47:$A$48,'Over to underbark'!C$47:C$48)*AJ413</f>
        <v>88.905599999999978</v>
      </c>
      <c r="AM413" s="22">
        <f t="shared" si="99"/>
        <v>340.38143999999994</v>
      </c>
      <c r="AN413" s="36">
        <v>1162.5999999999999</v>
      </c>
      <c r="AO413" s="23">
        <f t="shared" si="100"/>
        <v>680.76287999999988</v>
      </c>
      <c r="AQ413">
        <f t="shared" si="101"/>
        <v>0.67164179104477628</v>
      </c>
    </row>
    <row r="414" spans="1:43" x14ac:dyDescent="0.35">
      <c r="A414" t="s">
        <v>41</v>
      </c>
      <c r="B414">
        <v>14</v>
      </c>
      <c r="C414">
        <v>2</v>
      </c>
      <c r="D414" t="s">
        <v>42</v>
      </c>
      <c r="E414">
        <v>2</v>
      </c>
      <c r="F414">
        <v>1</v>
      </c>
      <c r="G414" s="30">
        <v>53</v>
      </c>
      <c r="H414" s="30">
        <v>22.978000000000002</v>
      </c>
      <c r="I414" s="30">
        <v>919</v>
      </c>
      <c r="J414" s="30">
        <v>29.873000000000001</v>
      </c>
      <c r="K414" s="30">
        <v>64.391999999999996</v>
      </c>
      <c r="L414" s="30">
        <v>0.67400000000000004</v>
      </c>
      <c r="M414" s="32">
        <v>618.79999999999995</v>
      </c>
      <c r="N414" s="30">
        <v>11.112</v>
      </c>
      <c r="O414" s="29">
        <v>11.675000000000001</v>
      </c>
      <c r="P414" s="31">
        <v>53</v>
      </c>
      <c r="Q414" s="31">
        <v>29.873000000000001</v>
      </c>
      <c r="R414" s="31">
        <v>116.91500000000001</v>
      </c>
      <c r="S414" s="31">
        <v>501.88499999999999</v>
      </c>
      <c r="T414" s="10" t="b">
        <f t="shared" si="102"/>
        <v>1</v>
      </c>
      <c r="U414" s="10" t="b">
        <f t="shared" si="103"/>
        <v>1</v>
      </c>
      <c r="V414" s="11">
        <f>VLOOKUP(IF(J414&lt;10, 10, IF(J414&gt;50,50,J414)),'Over to underbark'!$A$3:$C$43,IF(A414="Scots pine",3,IF(A414="Sitka spruce",2, "error")),TRUE)/100</f>
        <v>0.85</v>
      </c>
      <c r="W414">
        <f t="shared" si="90"/>
        <v>89.439975000000004</v>
      </c>
      <c r="X414">
        <f t="shared" si="91"/>
        <v>383.942025</v>
      </c>
      <c r="Y414">
        <f t="shared" si="92"/>
        <v>83.538000000000011</v>
      </c>
      <c r="Z414">
        <f t="shared" si="93"/>
        <v>212.50124501625001</v>
      </c>
      <c r="AA414">
        <f t="shared" si="94"/>
        <v>51.607397250000005</v>
      </c>
      <c r="AB414">
        <f t="shared" si="95"/>
        <v>80.875359933749991</v>
      </c>
      <c r="AC414">
        <f t="shared" si="96"/>
        <v>211.9359978</v>
      </c>
      <c r="AD414">
        <f>LOOKUP($A414,'Over to underbark'!$A$47:$A$48,'Over to underbark'!E$47:E$48)*Z414</f>
        <v>89.250522906824997</v>
      </c>
      <c r="AE414">
        <f>LOOKUP($A414,'Over to underbark'!$A$47:$A$48,'Over to underbark'!E$47:E$48)*AA414</f>
        <v>21.675106845000002</v>
      </c>
      <c r="AF414">
        <f>LOOKUP($A414,'Over to underbark'!$A$47:$A$48,'Over to underbark'!E$47:E$48)*AB414</f>
        <v>33.967651172174996</v>
      </c>
      <c r="AG414">
        <f>LOOKUP($A414,'Over to underbark'!$A$47:$A$48,'Over to underbark'!E$47:E$48)*AC414</f>
        <v>89.013119075999995</v>
      </c>
      <c r="AH414" t="b">
        <f t="shared" si="97"/>
        <v>1</v>
      </c>
      <c r="AI414" t="b">
        <f t="shared" si="98"/>
        <v>1</v>
      </c>
      <c r="AJ414">
        <f>LOOKUP(A414,'Over to underbark'!$A$47:$A$48,'Over to underbark'!E$47:E$48)*M414</f>
        <v>259.89599999999996</v>
      </c>
      <c r="AK414" s="22">
        <f>LOOKUP(A414,'Over to underbark'!$A$47:$A$48,'Over to underbark'!$B$47:$B$48)*AJ414</f>
        <v>88.364639999999994</v>
      </c>
      <c r="AL414" s="22">
        <f>LOOKUP(A414,'Over to underbark'!$A$47:$A$48,'Over to underbark'!C$47:C$48)*AJ414</f>
        <v>90.963599999999985</v>
      </c>
      <c r="AM414" s="22">
        <f t="shared" si="99"/>
        <v>348.26063999999997</v>
      </c>
      <c r="AN414" s="36">
        <v>1163.5999999999999</v>
      </c>
      <c r="AO414" s="23">
        <f t="shared" si="100"/>
        <v>696.52127999999993</v>
      </c>
      <c r="AQ414">
        <f t="shared" si="101"/>
        <v>0.67164179104477628</v>
      </c>
    </row>
    <row r="415" spans="1:43" x14ac:dyDescent="0.35">
      <c r="A415" t="s">
        <v>41</v>
      </c>
      <c r="B415">
        <v>14</v>
      </c>
      <c r="C415">
        <v>2</v>
      </c>
      <c r="D415" t="s">
        <v>42</v>
      </c>
      <c r="E415">
        <v>2</v>
      </c>
      <c r="F415">
        <v>1</v>
      </c>
      <c r="G415" s="30">
        <v>54</v>
      </c>
      <c r="H415" s="30">
        <v>23.256</v>
      </c>
      <c r="I415" s="30">
        <v>903</v>
      </c>
      <c r="J415" s="30">
        <v>30.294</v>
      </c>
      <c r="K415" s="30">
        <v>65.12</v>
      </c>
      <c r="L415" s="30">
        <v>0.7</v>
      </c>
      <c r="M415" s="32">
        <v>632.79999999999995</v>
      </c>
      <c r="N415" s="30">
        <v>11.226000000000001</v>
      </c>
      <c r="O415" s="29">
        <v>11.718999999999999</v>
      </c>
      <c r="P415" s="31">
        <v>54</v>
      </c>
      <c r="Q415" s="31">
        <v>30.294</v>
      </c>
      <c r="R415" s="31">
        <v>113.577</v>
      </c>
      <c r="S415" s="31">
        <v>519.22299999999996</v>
      </c>
      <c r="T415" s="10" t="b">
        <f t="shared" si="102"/>
        <v>1</v>
      </c>
      <c r="U415" s="10" t="b">
        <f t="shared" si="103"/>
        <v>1</v>
      </c>
      <c r="V415" s="11">
        <f>VLOOKUP(IF(J415&lt;10, 10, IF(J415&gt;50,50,J415)),'Over to underbark'!$A$3:$C$43,IF(A415="Scots pine",3,IF(A415="Sitka spruce",2, "error")),TRUE)/100</f>
        <v>0.85</v>
      </c>
      <c r="W415">
        <f t="shared" si="90"/>
        <v>86.886404999999996</v>
      </c>
      <c r="X415">
        <f t="shared" si="91"/>
        <v>397.20559499999996</v>
      </c>
      <c r="Y415">
        <f t="shared" si="92"/>
        <v>85.428000000000011</v>
      </c>
      <c r="Z415">
        <f t="shared" si="93"/>
        <v>216.39652083674997</v>
      </c>
      <c r="AA415">
        <f t="shared" si="94"/>
        <v>52.271504550000003</v>
      </c>
      <c r="AB415">
        <f t="shared" si="95"/>
        <v>81.59448617324999</v>
      </c>
      <c r="AC415">
        <f t="shared" si="96"/>
        <v>219.25748843999997</v>
      </c>
      <c r="AD415">
        <f>LOOKUP($A415,'Over to underbark'!$A$47:$A$48,'Over to underbark'!E$47:E$48)*Z415</f>
        <v>90.886538751434983</v>
      </c>
      <c r="AE415">
        <f>LOOKUP($A415,'Over to underbark'!$A$47:$A$48,'Over to underbark'!E$47:E$48)*AA415</f>
        <v>21.954031911000001</v>
      </c>
      <c r="AF415">
        <f>LOOKUP($A415,'Over to underbark'!$A$47:$A$48,'Over to underbark'!E$47:E$48)*AB415</f>
        <v>34.269684192764991</v>
      </c>
      <c r="AG415">
        <f>LOOKUP($A415,'Over to underbark'!$A$47:$A$48,'Over to underbark'!E$47:E$48)*AC415</f>
        <v>92.088145144799981</v>
      </c>
      <c r="AH415" t="b">
        <f t="shared" si="97"/>
        <v>1</v>
      </c>
      <c r="AI415" t="b">
        <f t="shared" si="98"/>
        <v>1</v>
      </c>
      <c r="AJ415">
        <f>LOOKUP(A415,'Over to underbark'!$A$47:$A$48,'Over to underbark'!E$47:E$48)*M415</f>
        <v>265.77599999999995</v>
      </c>
      <c r="AK415" s="22">
        <f>LOOKUP(A415,'Over to underbark'!$A$47:$A$48,'Over to underbark'!$B$47:$B$48)*AJ415</f>
        <v>90.363839999999996</v>
      </c>
      <c r="AL415" s="22">
        <f>LOOKUP(A415,'Over to underbark'!$A$47:$A$48,'Over to underbark'!C$47:C$48)*AJ415</f>
        <v>93.021599999999978</v>
      </c>
      <c r="AM415" s="22">
        <f t="shared" si="99"/>
        <v>356.13983999999994</v>
      </c>
      <c r="AN415" s="36">
        <v>1164.5999999999999</v>
      </c>
      <c r="AO415" s="23">
        <f t="shared" si="100"/>
        <v>712.27967999999987</v>
      </c>
      <c r="AQ415">
        <f t="shared" si="101"/>
        <v>0.67164179104477606</v>
      </c>
    </row>
    <row r="416" spans="1:43" x14ac:dyDescent="0.35">
      <c r="A416" t="s">
        <v>41</v>
      </c>
      <c r="B416">
        <v>14</v>
      </c>
      <c r="C416">
        <v>2</v>
      </c>
      <c r="D416" t="s">
        <v>42</v>
      </c>
      <c r="E416">
        <v>2</v>
      </c>
      <c r="F416">
        <v>1</v>
      </c>
      <c r="G416" s="30">
        <v>55</v>
      </c>
      <c r="H416" s="30">
        <v>23.533999999999999</v>
      </c>
      <c r="I416" s="30">
        <v>888</v>
      </c>
      <c r="J416" s="30">
        <v>30.724</v>
      </c>
      <c r="K416" s="30">
        <v>65.846999999999994</v>
      </c>
      <c r="L416" s="30">
        <v>0.72799999999999998</v>
      </c>
      <c r="M416" s="32">
        <v>646.79999999999995</v>
      </c>
      <c r="N416" s="30">
        <v>11.334</v>
      </c>
      <c r="O416" s="29">
        <v>11.76</v>
      </c>
      <c r="P416" s="31">
        <v>55</v>
      </c>
      <c r="Q416" s="31">
        <v>30.724</v>
      </c>
      <c r="R416" s="31">
        <v>110.134</v>
      </c>
      <c r="S416" s="31">
        <v>536.66600000000005</v>
      </c>
      <c r="T416" s="10" t="b">
        <f t="shared" si="102"/>
        <v>1</v>
      </c>
      <c r="U416" s="10" t="b">
        <f t="shared" si="103"/>
        <v>1</v>
      </c>
      <c r="V416" s="11">
        <f>VLOOKUP(IF(J416&lt;10, 10, IF(J416&gt;50,50,J416)),'Over to underbark'!$A$3:$C$43,IF(A416="Scots pine",3,IF(A416="Sitka spruce",2, "error")),TRUE)/100</f>
        <v>0.85</v>
      </c>
      <c r="W416">
        <f t="shared" si="90"/>
        <v>84.252510000000001</v>
      </c>
      <c r="X416">
        <f t="shared" si="91"/>
        <v>410.54949000000005</v>
      </c>
      <c r="Y416">
        <f t="shared" si="92"/>
        <v>87.318000000000026</v>
      </c>
      <c r="Z416">
        <f t="shared" si="93"/>
        <v>220.27578386850004</v>
      </c>
      <c r="AA416">
        <f t="shared" si="94"/>
        <v>52.926776100000012</v>
      </c>
      <c r="AB416">
        <f t="shared" si="95"/>
        <v>82.294121551499998</v>
      </c>
      <c r="AC416">
        <f t="shared" si="96"/>
        <v>226.62331848000002</v>
      </c>
      <c r="AD416">
        <f>LOOKUP($A416,'Over to underbark'!$A$47:$A$48,'Over to underbark'!E$47:E$48)*Z416</f>
        <v>92.515829224770016</v>
      </c>
      <c r="AE416">
        <f>LOOKUP($A416,'Over to underbark'!$A$47:$A$48,'Over to underbark'!E$47:E$48)*AA416</f>
        <v>22.229245962000004</v>
      </c>
      <c r="AF416">
        <f>LOOKUP($A416,'Over to underbark'!$A$47:$A$48,'Over to underbark'!E$47:E$48)*AB416</f>
        <v>34.563531051630001</v>
      </c>
      <c r="AG416">
        <f>LOOKUP($A416,'Over to underbark'!$A$47:$A$48,'Over to underbark'!E$47:E$48)*AC416</f>
        <v>95.181793761600005</v>
      </c>
      <c r="AH416" t="b">
        <f t="shared" si="97"/>
        <v>1</v>
      </c>
      <c r="AI416" t="b">
        <f t="shared" si="98"/>
        <v>1</v>
      </c>
      <c r="AJ416">
        <f>LOOKUP(A416,'Over to underbark'!$A$47:$A$48,'Over to underbark'!E$47:E$48)*M416</f>
        <v>271.65599999999995</v>
      </c>
      <c r="AK416" s="22">
        <f>LOOKUP(A416,'Over to underbark'!$A$47:$A$48,'Over to underbark'!$B$47:$B$48)*AJ416</f>
        <v>92.363039999999984</v>
      </c>
      <c r="AL416" s="22">
        <f>LOOKUP(A416,'Over to underbark'!$A$47:$A$48,'Over to underbark'!C$47:C$48)*AJ416</f>
        <v>95.079599999999971</v>
      </c>
      <c r="AM416" s="22">
        <f t="shared" si="99"/>
        <v>364.0190399999999</v>
      </c>
      <c r="AN416" s="36">
        <v>1165.5999999999999</v>
      </c>
      <c r="AO416" s="23">
        <f t="shared" si="100"/>
        <v>728.03807999999981</v>
      </c>
      <c r="AQ416">
        <f t="shared" si="101"/>
        <v>0.67164179104477639</v>
      </c>
    </row>
    <row r="417" spans="1:43" x14ac:dyDescent="0.35">
      <c r="A417" t="s">
        <v>41</v>
      </c>
      <c r="B417">
        <v>14</v>
      </c>
      <c r="C417">
        <v>2</v>
      </c>
      <c r="D417" t="s">
        <v>42</v>
      </c>
      <c r="E417">
        <v>2</v>
      </c>
      <c r="F417">
        <v>1</v>
      </c>
      <c r="G417" s="30">
        <v>56</v>
      </c>
      <c r="H417" s="30">
        <v>23.812000000000001</v>
      </c>
      <c r="I417" s="30">
        <v>873</v>
      </c>
      <c r="J417" s="30">
        <v>31.161999999999999</v>
      </c>
      <c r="K417" s="30">
        <v>66.573999999999998</v>
      </c>
      <c r="L417" s="30">
        <v>0.75700000000000001</v>
      </c>
      <c r="M417" s="32">
        <v>660.8</v>
      </c>
      <c r="N417" s="30">
        <v>11.438000000000001</v>
      </c>
      <c r="O417" s="29">
        <v>11.8</v>
      </c>
      <c r="P417" s="31">
        <v>56</v>
      </c>
      <c r="Q417" s="31">
        <v>31.161999999999999</v>
      </c>
      <c r="R417" s="31">
        <v>106.616</v>
      </c>
      <c r="S417" s="31">
        <v>554.18399999999997</v>
      </c>
      <c r="T417" s="10" t="b">
        <f t="shared" si="102"/>
        <v>1</v>
      </c>
      <c r="U417" s="10" t="b">
        <f t="shared" si="103"/>
        <v>1</v>
      </c>
      <c r="V417" s="11">
        <f>VLOOKUP(IF(J417&lt;10, 10, IF(J417&gt;50,50,J417)),'Over to underbark'!$A$3:$C$43,IF(A417="Scots pine",3,IF(A417="Sitka spruce",2, "error")),TRUE)/100</f>
        <v>0.85</v>
      </c>
      <c r="W417">
        <f t="shared" si="90"/>
        <v>81.561239999999998</v>
      </c>
      <c r="X417">
        <f t="shared" si="91"/>
        <v>423.95076</v>
      </c>
      <c r="Y417">
        <f t="shared" si="92"/>
        <v>89.208000000000013</v>
      </c>
      <c r="Z417">
        <f t="shared" si="93"/>
        <v>224.14360919400002</v>
      </c>
      <c r="AA417">
        <f t="shared" si="94"/>
        <v>53.575736400000004</v>
      </c>
      <c r="AB417">
        <f t="shared" si="95"/>
        <v>82.979834885999992</v>
      </c>
      <c r="AC417">
        <f t="shared" si="96"/>
        <v>234.02081952</v>
      </c>
      <c r="AD417">
        <f>LOOKUP($A417,'Over to underbark'!$A$47:$A$48,'Over to underbark'!E$47:E$48)*Z417</f>
        <v>94.140315861480005</v>
      </c>
      <c r="AE417">
        <f>LOOKUP($A417,'Over to underbark'!$A$47:$A$48,'Over to underbark'!E$47:E$48)*AA417</f>
        <v>22.501809288</v>
      </c>
      <c r="AF417">
        <f>LOOKUP($A417,'Over to underbark'!$A$47:$A$48,'Over to underbark'!E$47:E$48)*AB417</f>
        <v>34.851530652119997</v>
      </c>
      <c r="AG417">
        <f>LOOKUP($A417,'Over to underbark'!$A$47:$A$48,'Over to underbark'!E$47:E$48)*AC417</f>
        <v>98.288744198399996</v>
      </c>
      <c r="AH417" t="b">
        <f t="shared" si="97"/>
        <v>1</v>
      </c>
      <c r="AI417" t="b">
        <f t="shared" si="98"/>
        <v>1</v>
      </c>
      <c r="AJ417">
        <f>LOOKUP(A417,'Over to underbark'!$A$47:$A$48,'Over to underbark'!E$47:E$48)*M417</f>
        <v>277.53599999999994</v>
      </c>
      <c r="AK417" s="22">
        <f>LOOKUP(A417,'Over to underbark'!$A$47:$A$48,'Over to underbark'!$B$47:$B$48)*AJ417</f>
        <v>94.362239999999986</v>
      </c>
      <c r="AL417" s="22">
        <f>LOOKUP(A417,'Over to underbark'!$A$47:$A$48,'Over to underbark'!C$47:C$48)*AJ417</f>
        <v>97.137599999999978</v>
      </c>
      <c r="AM417" s="22">
        <f t="shared" si="99"/>
        <v>371.89823999999993</v>
      </c>
      <c r="AN417" s="36">
        <v>1166.5999999999999</v>
      </c>
      <c r="AO417" s="23">
        <f t="shared" si="100"/>
        <v>743.79647999999986</v>
      </c>
      <c r="AQ417">
        <f t="shared" si="101"/>
        <v>0.67164179104477628</v>
      </c>
    </row>
    <row r="418" spans="1:43" x14ac:dyDescent="0.35">
      <c r="A418" t="s">
        <v>41</v>
      </c>
      <c r="B418">
        <v>14</v>
      </c>
      <c r="C418">
        <v>2</v>
      </c>
      <c r="D418" t="s">
        <v>42</v>
      </c>
      <c r="E418">
        <v>2</v>
      </c>
      <c r="F418">
        <v>1</v>
      </c>
      <c r="G418" s="30">
        <v>57</v>
      </c>
      <c r="H418" s="30">
        <v>24.09</v>
      </c>
      <c r="I418" s="30">
        <v>858</v>
      </c>
      <c r="J418" s="30">
        <v>31.61</v>
      </c>
      <c r="K418" s="30">
        <v>67.301000000000002</v>
      </c>
      <c r="L418" s="30">
        <v>0.78700000000000003</v>
      </c>
      <c r="M418" s="32">
        <v>674.8</v>
      </c>
      <c r="N418" s="30">
        <v>11.536</v>
      </c>
      <c r="O418" s="29">
        <v>11.839</v>
      </c>
      <c r="P418" s="31">
        <v>57</v>
      </c>
      <c r="Q418" s="31">
        <v>31.61</v>
      </c>
      <c r="R418" s="31">
        <v>103.015</v>
      </c>
      <c r="S418" s="31">
        <v>571.78499999999997</v>
      </c>
      <c r="T418" s="10" t="b">
        <f t="shared" si="102"/>
        <v>1</v>
      </c>
      <c r="U418" s="10" t="b">
        <f t="shared" si="103"/>
        <v>1</v>
      </c>
      <c r="V418" s="11">
        <f>VLOOKUP(IF(J418&lt;10, 10, IF(J418&gt;50,50,J418)),'Over to underbark'!$A$3:$C$43,IF(A418="Scots pine",3,IF(A418="Sitka spruce",2, "error")),TRUE)/100</f>
        <v>0.85</v>
      </c>
      <c r="W418">
        <f t="shared" si="90"/>
        <v>78.806474999999992</v>
      </c>
      <c r="X418">
        <f t="shared" si="91"/>
        <v>437.41552499999995</v>
      </c>
      <c r="Y418">
        <f t="shared" si="92"/>
        <v>91.097999999999999</v>
      </c>
      <c r="Z418">
        <f t="shared" si="93"/>
        <v>227.99877679124995</v>
      </c>
      <c r="AA418">
        <f t="shared" si="94"/>
        <v>54.217712249999998</v>
      </c>
      <c r="AB418">
        <f t="shared" si="95"/>
        <v>83.650141158749989</v>
      </c>
      <c r="AC418">
        <f t="shared" si="96"/>
        <v>241.45336979999996</v>
      </c>
      <c r="AD418">
        <f>LOOKUP($A418,'Over to underbark'!$A$47:$A$48,'Over to underbark'!E$47:E$48)*Z418</f>
        <v>95.759486252324976</v>
      </c>
      <c r="AE418">
        <f>LOOKUP($A418,'Over to underbark'!$A$47:$A$48,'Over to underbark'!E$47:E$48)*AA418</f>
        <v>22.771439144999999</v>
      </c>
      <c r="AF418">
        <f>LOOKUP($A418,'Over to underbark'!$A$47:$A$48,'Over to underbark'!E$47:E$48)*AB418</f>
        <v>35.133059286674992</v>
      </c>
      <c r="AG418">
        <f>LOOKUP($A418,'Over to underbark'!$A$47:$A$48,'Over to underbark'!E$47:E$48)*AC418</f>
        <v>101.41041531599998</v>
      </c>
      <c r="AH418" t="b">
        <f t="shared" si="97"/>
        <v>1</v>
      </c>
      <c r="AI418" t="b">
        <f t="shared" si="98"/>
        <v>1</v>
      </c>
      <c r="AJ418">
        <f>LOOKUP(A418,'Over to underbark'!$A$47:$A$48,'Over to underbark'!E$47:E$48)*M418</f>
        <v>283.416</v>
      </c>
      <c r="AK418" s="22">
        <f>LOOKUP(A418,'Over to underbark'!$A$47:$A$48,'Over to underbark'!$B$47:$B$48)*AJ418</f>
        <v>96.361440000000002</v>
      </c>
      <c r="AL418" s="22">
        <f>LOOKUP(A418,'Over to underbark'!$A$47:$A$48,'Over to underbark'!C$47:C$48)*AJ418</f>
        <v>99.195599999999999</v>
      </c>
      <c r="AM418" s="22">
        <f t="shared" si="99"/>
        <v>379.77744000000001</v>
      </c>
      <c r="AN418" s="36">
        <v>1167.5999999999999</v>
      </c>
      <c r="AO418" s="23">
        <f t="shared" si="100"/>
        <v>759.55488000000003</v>
      </c>
      <c r="AQ418">
        <f t="shared" si="101"/>
        <v>0.67164179104477595</v>
      </c>
    </row>
    <row r="419" spans="1:43" x14ac:dyDescent="0.35">
      <c r="A419" t="s">
        <v>41</v>
      </c>
      <c r="B419">
        <v>14</v>
      </c>
      <c r="C419">
        <v>2</v>
      </c>
      <c r="D419" t="s">
        <v>42</v>
      </c>
      <c r="E419">
        <v>2</v>
      </c>
      <c r="F419">
        <v>1</v>
      </c>
      <c r="G419" s="30">
        <v>58</v>
      </c>
      <c r="H419" s="30">
        <v>24.335999999999999</v>
      </c>
      <c r="I419" s="30">
        <v>846</v>
      </c>
      <c r="J419" s="30">
        <v>31.989000000000001</v>
      </c>
      <c r="K419" s="30">
        <v>67.980999999999995</v>
      </c>
      <c r="L419" s="30">
        <v>0.81399999999999995</v>
      </c>
      <c r="M419" s="32">
        <v>688.18</v>
      </c>
      <c r="N419" s="30">
        <v>11.577</v>
      </c>
      <c r="O419" s="29">
        <v>11.865</v>
      </c>
      <c r="P419" s="31">
        <v>58</v>
      </c>
      <c r="Q419" s="31">
        <v>31.989000000000001</v>
      </c>
      <c r="R419" s="31">
        <v>100.236</v>
      </c>
      <c r="S419" s="31">
        <v>587.94399999999996</v>
      </c>
      <c r="T419" s="10" t="b">
        <f t="shared" si="102"/>
        <v>1</v>
      </c>
      <c r="U419" s="10" t="b">
        <f t="shared" si="103"/>
        <v>1</v>
      </c>
      <c r="V419" s="11">
        <f>VLOOKUP(IF(J419&lt;10, 10, IF(J419&gt;50,50,J419)),'Over to underbark'!$A$3:$C$43,IF(A419="Scots pine",3,IF(A419="Sitka spruce",2, "error")),TRUE)/100</f>
        <v>0.85</v>
      </c>
      <c r="W419">
        <f t="shared" si="90"/>
        <v>76.680539999999993</v>
      </c>
      <c r="X419">
        <f t="shared" si="91"/>
        <v>449.77715999999998</v>
      </c>
      <c r="Y419">
        <f t="shared" si="92"/>
        <v>92.904300000000006</v>
      </c>
      <c r="Z419">
        <f t="shared" si="93"/>
        <v>231.78425274899996</v>
      </c>
      <c r="AA419">
        <f t="shared" si="94"/>
        <v>54.887009400000004</v>
      </c>
      <c r="AB419">
        <f t="shared" si="95"/>
        <v>84.413745530999989</v>
      </c>
      <c r="AC419">
        <f t="shared" si="96"/>
        <v>248.27699231999998</v>
      </c>
      <c r="AD419">
        <f>LOOKUP($A419,'Over to underbark'!$A$47:$A$48,'Over to underbark'!E$47:E$48)*Z419</f>
        <v>97.349386154579975</v>
      </c>
      <c r="AE419">
        <f>LOOKUP($A419,'Over to underbark'!$A$47:$A$48,'Over to underbark'!E$47:E$48)*AA419</f>
        <v>23.052543948</v>
      </c>
      <c r="AF419">
        <f>LOOKUP($A419,'Over to underbark'!$A$47:$A$48,'Over to underbark'!E$47:E$48)*AB419</f>
        <v>35.453773123019992</v>
      </c>
      <c r="AG419">
        <f>LOOKUP($A419,'Over to underbark'!$A$47:$A$48,'Over to underbark'!E$47:E$48)*AC419</f>
        <v>104.27633677439998</v>
      </c>
      <c r="AH419" t="b">
        <f t="shared" si="97"/>
        <v>1</v>
      </c>
      <c r="AI419" t="b">
        <f t="shared" si="98"/>
        <v>1</v>
      </c>
      <c r="AJ419">
        <f>LOOKUP(A419,'Over to underbark'!$A$47:$A$48,'Over to underbark'!E$47:E$48)*M419</f>
        <v>289.03559999999999</v>
      </c>
      <c r="AK419" s="22">
        <f>LOOKUP(A419,'Over to underbark'!$A$47:$A$48,'Over to underbark'!$B$47:$B$48)*AJ419</f>
        <v>98.272103999999999</v>
      </c>
      <c r="AL419" s="22">
        <f>LOOKUP(A419,'Over to underbark'!$A$47:$A$48,'Over to underbark'!C$47:C$48)*AJ419</f>
        <v>101.16246</v>
      </c>
      <c r="AM419" s="22">
        <f t="shared" si="99"/>
        <v>387.307704</v>
      </c>
      <c r="AN419" s="36">
        <v>1168.5999999999999</v>
      </c>
      <c r="AO419" s="23">
        <f t="shared" si="100"/>
        <v>774.615408</v>
      </c>
      <c r="AQ419">
        <f t="shared" si="101"/>
        <v>0.67164179104477606</v>
      </c>
    </row>
    <row r="420" spans="1:43" x14ac:dyDescent="0.35">
      <c r="A420" t="s">
        <v>41</v>
      </c>
      <c r="B420">
        <v>14</v>
      </c>
      <c r="C420">
        <v>2</v>
      </c>
      <c r="D420" t="s">
        <v>42</v>
      </c>
      <c r="E420">
        <v>2</v>
      </c>
      <c r="F420">
        <v>1</v>
      </c>
      <c r="G420" s="30">
        <v>59</v>
      </c>
      <c r="H420" s="30">
        <v>24.582000000000001</v>
      </c>
      <c r="I420" s="30">
        <v>834</v>
      </c>
      <c r="J420" s="30">
        <v>32.375</v>
      </c>
      <c r="K420" s="30">
        <v>68.662000000000006</v>
      </c>
      <c r="L420" s="30">
        <v>0.84099999999999997</v>
      </c>
      <c r="M420" s="32">
        <v>701.56</v>
      </c>
      <c r="N420" s="30">
        <v>11.616</v>
      </c>
      <c r="O420" s="29">
        <v>11.891</v>
      </c>
      <c r="P420" s="31">
        <v>59</v>
      </c>
      <c r="Q420" s="31">
        <v>32.375</v>
      </c>
      <c r="R420" s="31">
        <v>97.396000000000001</v>
      </c>
      <c r="S420" s="31">
        <v>604.16399999999999</v>
      </c>
      <c r="T420" s="10" t="b">
        <f t="shared" si="102"/>
        <v>1</v>
      </c>
      <c r="U420" s="10" t="b">
        <f t="shared" si="103"/>
        <v>1</v>
      </c>
      <c r="V420" s="11">
        <f>VLOOKUP(IF(J420&lt;10, 10, IF(J420&gt;50,50,J420)),'Over to underbark'!$A$3:$C$43,IF(A420="Scots pine",3,IF(A420="Sitka spruce",2, "error")),TRUE)/100</f>
        <v>0.85</v>
      </c>
      <c r="W420">
        <f t="shared" si="90"/>
        <v>74.507940000000005</v>
      </c>
      <c r="X420">
        <f t="shared" si="91"/>
        <v>462.18546000000003</v>
      </c>
      <c r="Y420">
        <f t="shared" si="92"/>
        <v>94.710600000000014</v>
      </c>
      <c r="Z420">
        <f t="shared" si="93"/>
        <v>235.56042603900002</v>
      </c>
      <c r="AA420">
        <f t="shared" si="94"/>
        <v>55.55117340000001</v>
      </c>
      <c r="AB420">
        <f t="shared" si="95"/>
        <v>85.166026641000002</v>
      </c>
      <c r="AC420">
        <f t="shared" si="96"/>
        <v>255.12637392000002</v>
      </c>
      <c r="AD420">
        <f>LOOKUP($A420,'Over to underbark'!$A$47:$A$48,'Over to underbark'!E$47:E$48)*Z420</f>
        <v>98.935378936380005</v>
      </c>
      <c r="AE420">
        <f>LOOKUP($A420,'Over to underbark'!$A$47:$A$48,'Over to underbark'!E$47:E$48)*AA420</f>
        <v>23.331492828000002</v>
      </c>
      <c r="AF420">
        <f>LOOKUP($A420,'Over to underbark'!$A$47:$A$48,'Over to underbark'!E$47:E$48)*AB420</f>
        <v>35.769731189219996</v>
      </c>
      <c r="AG420">
        <f>LOOKUP($A420,'Over to underbark'!$A$47:$A$48,'Over to underbark'!E$47:E$48)*AC420</f>
        <v>107.1530770464</v>
      </c>
      <c r="AH420" t="b">
        <f t="shared" si="97"/>
        <v>1</v>
      </c>
      <c r="AI420" t="b">
        <f t="shared" si="98"/>
        <v>1</v>
      </c>
      <c r="AJ420">
        <f>LOOKUP(A420,'Over to underbark'!$A$47:$A$48,'Over to underbark'!E$47:E$48)*M420</f>
        <v>294.65519999999998</v>
      </c>
      <c r="AK420" s="22">
        <f>LOOKUP(A420,'Over to underbark'!$A$47:$A$48,'Over to underbark'!$B$47:$B$48)*AJ420</f>
        <v>100.182768</v>
      </c>
      <c r="AL420" s="22">
        <f>LOOKUP(A420,'Over to underbark'!$A$47:$A$48,'Over to underbark'!C$47:C$48)*AJ420</f>
        <v>103.12931999999999</v>
      </c>
      <c r="AM420" s="22">
        <f t="shared" si="99"/>
        <v>394.83796799999999</v>
      </c>
      <c r="AN420" s="36">
        <v>1169.5999999999999</v>
      </c>
      <c r="AO420" s="23">
        <f t="shared" si="100"/>
        <v>789.67593599999998</v>
      </c>
      <c r="AQ420">
        <f t="shared" si="101"/>
        <v>0.67164179104477606</v>
      </c>
    </row>
    <row r="421" spans="1:43" x14ac:dyDescent="0.35">
      <c r="A421" t="s">
        <v>41</v>
      </c>
      <c r="B421">
        <v>14</v>
      </c>
      <c r="C421">
        <v>2</v>
      </c>
      <c r="D421" t="s">
        <v>42</v>
      </c>
      <c r="E421">
        <v>2</v>
      </c>
      <c r="F421">
        <v>1</v>
      </c>
      <c r="G421" s="30">
        <v>60</v>
      </c>
      <c r="H421" s="30">
        <v>24.827999999999999</v>
      </c>
      <c r="I421" s="30">
        <v>822</v>
      </c>
      <c r="J421" s="30">
        <v>32.767000000000003</v>
      </c>
      <c r="K421" s="30">
        <v>69.341999999999999</v>
      </c>
      <c r="L421" s="30">
        <v>0.86899999999999999</v>
      </c>
      <c r="M421" s="32">
        <v>714.94</v>
      </c>
      <c r="N421" s="30">
        <v>11.653</v>
      </c>
      <c r="O421" s="29">
        <v>11.916</v>
      </c>
      <c r="P421" s="31">
        <v>60</v>
      </c>
      <c r="Q421" s="31">
        <v>32.767000000000003</v>
      </c>
      <c r="R421" s="31">
        <v>94.518000000000001</v>
      </c>
      <c r="S421" s="31">
        <v>620.42200000000003</v>
      </c>
      <c r="T421" s="10" t="b">
        <f t="shared" si="102"/>
        <v>1</v>
      </c>
      <c r="U421" s="10" t="b">
        <f t="shared" si="103"/>
        <v>1</v>
      </c>
      <c r="V421" s="11">
        <f>VLOOKUP(IF(J421&lt;10, 10, IF(J421&gt;50,50,J421)),'Over to underbark'!$A$3:$C$43,IF(A421="Scots pine",3,IF(A421="Sitka spruce",2, "error")),TRUE)/100</f>
        <v>0.85</v>
      </c>
      <c r="W421">
        <f t="shared" si="90"/>
        <v>72.306270000000012</v>
      </c>
      <c r="X421">
        <f t="shared" si="91"/>
        <v>474.62283000000002</v>
      </c>
      <c r="Y421">
        <f t="shared" si="92"/>
        <v>96.516900000000021</v>
      </c>
      <c r="Z421">
        <f t="shared" si="93"/>
        <v>239.33080422450004</v>
      </c>
      <c r="AA421">
        <f t="shared" si="94"/>
        <v>56.212139700000009</v>
      </c>
      <c r="AB421">
        <f t="shared" si="95"/>
        <v>85.911253915499998</v>
      </c>
      <c r="AC421">
        <f t="shared" si="96"/>
        <v>261.99180216000002</v>
      </c>
      <c r="AD421">
        <f>LOOKUP($A421,'Over to underbark'!$A$47:$A$48,'Over to underbark'!E$47:E$48)*Z421</f>
        <v>100.51893777429001</v>
      </c>
      <c r="AE421">
        <f>LOOKUP($A421,'Over to underbark'!$A$47:$A$48,'Over to underbark'!E$47:E$48)*AA421</f>
        <v>23.609098674000002</v>
      </c>
      <c r="AF421">
        <f>LOOKUP($A421,'Over to underbark'!$A$47:$A$48,'Over to underbark'!E$47:E$48)*AB421</f>
        <v>36.082726644509997</v>
      </c>
      <c r="AG421">
        <f>LOOKUP($A421,'Over to underbark'!$A$47:$A$48,'Over to underbark'!E$47:E$48)*AC421</f>
        <v>110.03655690720001</v>
      </c>
      <c r="AH421" t="b">
        <f t="shared" si="97"/>
        <v>1</v>
      </c>
      <c r="AI421" t="b">
        <f t="shared" si="98"/>
        <v>1</v>
      </c>
      <c r="AJ421">
        <f>LOOKUP(A421,'Over to underbark'!$A$47:$A$48,'Over to underbark'!E$47:E$48)*M421</f>
        <v>300.27480000000003</v>
      </c>
      <c r="AK421" s="22">
        <f>LOOKUP(A421,'Over to underbark'!$A$47:$A$48,'Over to underbark'!$B$47:$B$48)*AJ421</f>
        <v>102.09343200000002</v>
      </c>
      <c r="AL421" s="22">
        <f>LOOKUP(A421,'Over to underbark'!$A$47:$A$48,'Over to underbark'!C$47:C$48)*AJ421</f>
        <v>105.09618</v>
      </c>
      <c r="AM421" s="22">
        <f t="shared" si="99"/>
        <v>402.36823200000003</v>
      </c>
      <c r="AN421" s="36">
        <v>1170.5999999999999</v>
      </c>
      <c r="AO421" s="23">
        <f t="shared" si="100"/>
        <v>804.73646400000007</v>
      </c>
      <c r="AQ421">
        <f t="shared" si="101"/>
        <v>0.67164179104477606</v>
      </c>
    </row>
    <row r="422" spans="1:43" x14ac:dyDescent="0.35">
      <c r="A422" t="s">
        <v>41</v>
      </c>
      <c r="B422">
        <v>14</v>
      </c>
      <c r="C422">
        <v>2</v>
      </c>
      <c r="D422" t="s">
        <v>42</v>
      </c>
      <c r="E422">
        <v>2</v>
      </c>
      <c r="F422">
        <v>1</v>
      </c>
      <c r="G422" s="30">
        <v>61</v>
      </c>
      <c r="H422" s="30">
        <v>25.074000000000002</v>
      </c>
      <c r="I422" s="30">
        <v>811</v>
      </c>
      <c r="J422" s="30">
        <v>33.164999999999999</v>
      </c>
      <c r="K422" s="30">
        <v>70.022000000000006</v>
      </c>
      <c r="L422" s="30">
        <v>0.89900000000000002</v>
      </c>
      <c r="M422" s="32">
        <v>728.32</v>
      </c>
      <c r="N422" s="30">
        <v>11.689</v>
      </c>
      <c r="O422" s="29">
        <v>11.94</v>
      </c>
      <c r="P422" s="31">
        <v>61</v>
      </c>
      <c r="Q422" s="31">
        <v>33.164999999999999</v>
      </c>
      <c r="R422" s="31">
        <v>91.61</v>
      </c>
      <c r="S422" s="31">
        <v>636.71</v>
      </c>
      <c r="T422" s="10" t="b">
        <f t="shared" si="102"/>
        <v>1</v>
      </c>
      <c r="U422" s="10" t="b">
        <f t="shared" si="103"/>
        <v>1</v>
      </c>
      <c r="V422" s="11">
        <f>VLOOKUP(IF(J422&lt;10, 10, IF(J422&gt;50,50,J422)),'Over to underbark'!$A$3:$C$43,IF(A422="Scots pine",3,IF(A422="Sitka spruce",2, "error")),TRUE)/100</f>
        <v>0.85</v>
      </c>
      <c r="W422">
        <f t="shared" si="90"/>
        <v>70.081649999999996</v>
      </c>
      <c r="X422">
        <f t="shared" si="91"/>
        <v>487.08315000000005</v>
      </c>
      <c r="Y422">
        <f t="shared" si="92"/>
        <v>98.323200000000028</v>
      </c>
      <c r="Z422">
        <f t="shared" si="93"/>
        <v>243.09660732750001</v>
      </c>
      <c r="AA422">
        <f t="shared" si="94"/>
        <v>56.870581500000014</v>
      </c>
      <c r="AB422">
        <f t="shared" si="95"/>
        <v>86.650912372500002</v>
      </c>
      <c r="AC422">
        <f t="shared" si="96"/>
        <v>268.86989879999999</v>
      </c>
      <c r="AD422">
        <f>LOOKUP($A422,'Over to underbark'!$A$47:$A$48,'Over to underbark'!E$47:E$48)*Z422</f>
        <v>102.10057507755</v>
      </c>
      <c r="AE422">
        <f>LOOKUP($A422,'Over to underbark'!$A$47:$A$48,'Over to underbark'!E$47:E$48)*AA422</f>
        <v>23.885644230000004</v>
      </c>
      <c r="AF422">
        <f>LOOKUP($A422,'Over to underbark'!$A$47:$A$48,'Over to underbark'!E$47:E$48)*AB422</f>
        <v>36.393383196450003</v>
      </c>
      <c r="AG422">
        <f>LOOKUP($A422,'Over to underbark'!$A$47:$A$48,'Over to underbark'!E$47:E$48)*AC422</f>
        <v>112.92535749599999</v>
      </c>
      <c r="AH422" t="b">
        <f t="shared" si="97"/>
        <v>1</v>
      </c>
      <c r="AI422" t="b">
        <f t="shared" si="98"/>
        <v>1</v>
      </c>
      <c r="AJ422">
        <f>LOOKUP(A422,'Over to underbark'!$A$47:$A$48,'Over to underbark'!E$47:E$48)*M422</f>
        <v>305.89440000000002</v>
      </c>
      <c r="AK422" s="22">
        <f>LOOKUP(A422,'Over to underbark'!$A$47:$A$48,'Over to underbark'!$B$47:$B$48)*AJ422</f>
        <v>104.00409600000002</v>
      </c>
      <c r="AL422" s="22">
        <f>LOOKUP(A422,'Over to underbark'!$A$47:$A$48,'Over to underbark'!C$47:C$48)*AJ422</f>
        <v>107.06304</v>
      </c>
      <c r="AM422" s="22">
        <f t="shared" si="99"/>
        <v>409.89849600000002</v>
      </c>
      <c r="AN422" s="36">
        <v>1171.5999999999999</v>
      </c>
      <c r="AO422" s="23">
        <f t="shared" si="100"/>
        <v>819.79699200000005</v>
      </c>
      <c r="AQ422">
        <f t="shared" si="101"/>
        <v>0.67164179104477606</v>
      </c>
    </row>
    <row r="423" spans="1:43" x14ac:dyDescent="0.35">
      <c r="A423" t="s">
        <v>41</v>
      </c>
      <c r="B423">
        <v>14</v>
      </c>
      <c r="C423">
        <v>2</v>
      </c>
      <c r="D423" t="s">
        <v>42</v>
      </c>
      <c r="E423">
        <v>2</v>
      </c>
      <c r="F423">
        <v>1</v>
      </c>
      <c r="G423" s="30">
        <v>62</v>
      </c>
      <c r="H423" s="30">
        <v>25.32</v>
      </c>
      <c r="I423" s="30">
        <v>799</v>
      </c>
      <c r="J423" s="30">
        <v>33.57</v>
      </c>
      <c r="K423" s="30">
        <v>70.701999999999998</v>
      </c>
      <c r="L423" s="30">
        <v>0.92900000000000005</v>
      </c>
      <c r="M423" s="32">
        <v>741.7</v>
      </c>
      <c r="N423" s="30">
        <v>11.723000000000001</v>
      </c>
      <c r="O423" s="29">
        <v>11.962999999999999</v>
      </c>
      <c r="P423" s="31">
        <v>62</v>
      </c>
      <c r="Q423" s="31">
        <v>33.57</v>
      </c>
      <c r="R423" s="31">
        <v>88.671999999999997</v>
      </c>
      <c r="S423" s="31">
        <v>653.02800000000002</v>
      </c>
      <c r="T423" s="10" t="b">
        <f t="shared" si="102"/>
        <v>1</v>
      </c>
      <c r="U423" s="10" t="b">
        <f t="shared" si="103"/>
        <v>1</v>
      </c>
      <c r="V423" s="11">
        <f>VLOOKUP(IF(J423&lt;10, 10, IF(J423&gt;50,50,J423)),'Over to underbark'!$A$3:$C$43,IF(A423="Scots pine",3,IF(A423="Sitka spruce",2, "error")),TRUE)/100</f>
        <v>0.85</v>
      </c>
      <c r="W423">
        <f t="shared" si="90"/>
        <v>67.83408</v>
      </c>
      <c r="X423">
        <f t="shared" si="91"/>
        <v>499.56642000000005</v>
      </c>
      <c r="Y423">
        <f t="shared" si="92"/>
        <v>100.12950000000002</v>
      </c>
      <c r="Z423">
        <f t="shared" si="93"/>
        <v>246.85783534800007</v>
      </c>
      <c r="AA423">
        <f t="shared" si="94"/>
        <v>57.526498800000013</v>
      </c>
      <c r="AB423">
        <f t="shared" si="95"/>
        <v>87.385002012000001</v>
      </c>
      <c r="AC423">
        <f t="shared" si="96"/>
        <v>275.76066384000006</v>
      </c>
      <c r="AD423">
        <f>LOOKUP($A423,'Over to underbark'!$A$47:$A$48,'Over to underbark'!E$47:E$48)*Z423</f>
        <v>103.68029084616002</v>
      </c>
      <c r="AE423">
        <f>LOOKUP($A423,'Over to underbark'!$A$47:$A$48,'Over to underbark'!E$47:E$48)*AA423</f>
        <v>24.161129496000004</v>
      </c>
      <c r="AF423">
        <f>LOOKUP($A423,'Over to underbark'!$A$47:$A$48,'Over to underbark'!E$47:E$48)*AB423</f>
        <v>36.701700845040001</v>
      </c>
      <c r="AG423">
        <f>LOOKUP($A423,'Over to underbark'!$A$47:$A$48,'Over to underbark'!E$47:E$48)*AC423</f>
        <v>115.81947881280003</v>
      </c>
      <c r="AH423" t="b">
        <f t="shared" si="97"/>
        <v>1</v>
      </c>
      <c r="AI423" t="b">
        <f t="shared" si="98"/>
        <v>1</v>
      </c>
      <c r="AJ423">
        <f>LOOKUP(A423,'Over to underbark'!$A$47:$A$48,'Over to underbark'!E$47:E$48)*M423</f>
        <v>311.51400000000001</v>
      </c>
      <c r="AK423" s="22">
        <f>LOOKUP(A423,'Over to underbark'!$A$47:$A$48,'Over to underbark'!$B$47:$B$48)*AJ423</f>
        <v>105.91476000000002</v>
      </c>
      <c r="AL423" s="22">
        <f>LOOKUP(A423,'Over to underbark'!$A$47:$A$48,'Over to underbark'!C$47:C$48)*AJ423</f>
        <v>109.0299</v>
      </c>
      <c r="AM423" s="22">
        <f t="shared" si="99"/>
        <v>417.42876000000001</v>
      </c>
      <c r="AN423" s="36">
        <v>1172.5999999999999</v>
      </c>
      <c r="AO423" s="23">
        <f t="shared" si="100"/>
        <v>834.85752000000002</v>
      </c>
      <c r="AQ423">
        <f t="shared" si="101"/>
        <v>0.67164179104477617</v>
      </c>
    </row>
    <row r="424" spans="1:43" x14ac:dyDescent="0.35">
      <c r="A424" t="s">
        <v>41</v>
      </c>
      <c r="B424">
        <v>14</v>
      </c>
      <c r="C424">
        <v>2</v>
      </c>
      <c r="D424" t="s">
        <v>42</v>
      </c>
      <c r="E424">
        <v>2</v>
      </c>
      <c r="F424">
        <v>1</v>
      </c>
      <c r="G424" s="30">
        <v>63</v>
      </c>
      <c r="H424" s="30">
        <v>25.536000000000001</v>
      </c>
      <c r="I424" s="30">
        <v>790</v>
      </c>
      <c r="J424" s="30">
        <v>33.917000000000002</v>
      </c>
      <c r="K424" s="30">
        <v>71.352000000000004</v>
      </c>
      <c r="L424" s="30">
        <v>0.95499999999999996</v>
      </c>
      <c r="M424" s="32">
        <v>754.22</v>
      </c>
      <c r="N424" s="30">
        <v>11.728999999999999</v>
      </c>
      <c r="O424" s="29">
        <v>11.972</v>
      </c>
      <c r="P424" s="31">
        <v>63</v>
      </c>
      <c r="Q424" s="31">
        <v>33.917000000000002</v>
      </c>
      <c r="R424" s="31">
        <v>86.319000000000003</v>
      </c>
      <c r="S424" s="31">
        <v>667.90099999999995</v>
      </c>
      <c r="T424" s="10" t="b">
        <f t="shared" si="102"/>
        <v>1</v>
      </c>
      <c r="U424" s="10" t="b">
        <f t="shared" si="103"/>
        <v>1</v>
      </c>
      <c r="V424" s="11">
        <f>VLOOKUP(IF(J424&lt;10, 10, IF(J424&gt;50,50,J424)),'Over to underbark'!$A$3:$C$43,IF(A424="Scots pine",3,IF(A424="Sitka spruce",2, "error")),TRUE)/100</f>
        <v>0.85</v>
      </c>
      <c r="W424">
        <f t="shared" si="90"/>
        <v>66.034035000000003</v>
      </c>
      <c r="X424">
        <f t="shared" si="91"/>
        <v>510.94426499999997</v>
      </c>
      <c r="Y424">
        <f t="shared" si="92"/>
        <v>101.8197</v>
      </c>
      <c r="Z424">
        <f t="shared" si="93"/>
        <v>250.43772577725002</v>
      </c>
      <c r="AA424">
        <f t="shared" si="94"/>
        <v>58.173593849999996</v>
      </c>
      <c r="AB424">
        <f t="shared" si="95"/>
        <v>88.145446092749992</v>
      </c>
      <c r="AC424">
        <f t="shared" si="96"/>
        <v>282.04123427999997</v>
      </c>
      <c r="AD424">
        <f>LOOKUP($A424,'Over to underbark'!$A$47:$A$48,'Over to underbark'!E$47:E$48)*Z424</f>
        <v>105.18384482644501</v>
      </c>
      <c r="AE424">
        <f>LOOKUP($A424,'Over to underbark'!$A$47:$A$48,'Over to underbark'!E$47:E$48)*AA424</f>
        <v>24.432909416999998</v>
      </c>
      <c r="AF424">
        <f>LOOKUP($A424,'Over to underbark'!$A$47:$A$48,'Over to underbark'!E$47:E$48)*AB424</f>
        <v>37.021087358954993</v>
      </c>
      <c r="AG424">
        <f>LOOKUP($A424,'Over to underbark'!$A$47:$A$48,'Over to underbark'!E$47:E$48)*AC424</f>
        <v>118.45731839759998</v>
      </c>
      <c r="AH424" t="b">
        <f t="shared" si="97"/>
        <v>1</v>
      </c>
      <c r="AI424" t="b">
        <f t="shared" si="98"/>
        <v>1</v>
      </c>
      <c r="AJ424">
        <f>LOOKUP(A424,'Over to underbark'!$A$47:$A$48,'Over to underbark'!E$47:E$48)*M424</f>
        <v>316.7724</v>
      </c>
      <c r="AK424" s="22">
        <f>LOOKUP(A424,'Over to underbark'!$A$47:$A$48,'Over to underbark'!$B$47:$B$48)*AJ424</f>
        <v>107.70261600000001</v>
      </c>
      <c r="AL424" s="22">
        <f>LOOKUP(A424,'Over to underbark'!$A$47:$A$48,'Over to underbark'!C$47:C$48)*AJ424</f>
        <v>110.87034</v>
      </c>
      <c r="AM424" s="22">
        <f t="shared" si="99"/>
        <v>424.47501599999998</v>
      </c>
      <c r="AN424" s="36">
        <v>1173.5999999999999</v>
      </c>
      <c r="AO424" s="23">
        <f t="shared" si="100"/>
        <v>848.95003199999996</v>
      </c>
      <c r="AQ424">
        <f t="shared" si="101"/>
        <v>0.67164179104477606</v>
      </c>
    </row>
    <row r="425" spans="1:43" x14ac:dyDescent="0.35">
      <c r="A425" t="s">
        <v>41</v>
      </c>
      <c r="B425">
        <v>14</v>
      </c>
      <c r="C425">
        <v>2</v>
      </c>
      <c r="D425" t="s">
        <v>42</v>
      </c>
      <c r="E425">
        <v>2</v>
      </c>
      <c r="F425">
        <v>1</v>
      </c>
      <c r="G425" s="30">
        <v>64</v>
      </c>
      <c r="H425" s="30">
        <v>25.751999999999999</v>
      </c>
      <c r="I425" s="30">
        <v>781</v>
      </c>
      <c r="J425" s="30">
        <v>34.268000000000001</v>
      </c>
      <c r="K425" s="30">
        <v>72.001999999999995</v>
      </c>
      <c r="L425" s="30">
        <v>0.98199999999999998</v>
      </c>
      <c r="M425" s="32">
        <v>766.74</v>
      </c>
      <c r="N425" s="30">
        <v>11.734999999999999</v>
      </c>
      <c r="O425" s="29">
        <v>11.98</v>
      </c>
      <c r="P425" s="31">
        <v>64</v>
      </c>
      <c r="Q425" s="31">
        <v>34.268000000000001</v>
      </c>
      <c r="R425" s="31">
        <v>83.953999999999994</v>
      </c>
      <c r="S425" s="31">
        <v>682.78599999999994</v>
      </c>
      <c r="T425" s="10" t="b">
        <f t="shared" si="102"/>
        <v>1</v>
      </c>
      <c r="U425" s="10" t="b">
        <f t="shared" si="103"/>
        <v>1</v>
      </c>
      <c r="V425" s="11">
        <f>VLOOKUP(IF(J425&lt;10, 10, IF(J425&gt;50,50,J425)),'Over to underbark'!$A$3:$C$43,IF(A425="Scots pine",3,IF(A425="Sitka spruce",2, "error")),TRUE)/100</f>
        <v>0.85</v>
      </c>
      <c r="W425">
        <f t="shared" ref="W425:W458" si="104">R425*0.9*V425</f>
        <v>64.224809999999991</v>
      </c>
      <c r="X425">
        <f t="shared" ref="X425:X458" si="105">S425*0.9*V425</f>
        <v>522.33128999999997</v>
      </c>
      <c r="Y425">
        <f t="shared" ref="Y425:Y458" si="106">(R425+S425)*0.9*(100%-V425)</f>
        <v>103.5099</v>
      </c>
      <c r="Z425">
        <f t="shared" ref="Z425:Z458" si="107">(50%*Y425)+(46%*W425)+(15%*X425)+(43%*W425*10%)+(43%*W425*90%*5%)+(25%*X425*50%)+(60%*X425*8%)</f>
        <v>254.01578617349995</v>
      </c>
      <c r="AA425">
        <f t="shared" ref="AA425:AA458" si="108">(50%*Y425)+(11%*W425)</f>
        <v>58.819679100000002</v>
      </c>
      <c r="AB425">
        <f t="shared" ref="AB425:AB458" si="109">(43%*W425*90%*95%)+(25%*X425*50%)</f>
        <v>88.903662646499996</v>
      </c>
      <c r="AC425">
        <f t="shared" ref="AC425:AC458" si="110">60%*X425*92%</f>
        <v>288.32687207999999</v>
      </c>
      <c r="AD425">
        <f>LOOKUP($A425,'Over to underbark'!$A$47:$A$48,'Over to underbark'!E$47:E$48)*Z425</f>
        <v>106.68663019286997</v>
      </c>
      <c r="AE425">
        <f>LOOKUP($A425,'Over to underbark'!$A$47:$A$48,'Over to underbark'!E$47:E$48)*AA425</f>
        <v>24.704265222</v>
      </c>
      <c r="AF425">
        <f>LOOKUP($A425,'Over to underbark'!$A$47:$A$48,'Over to underbark'!E$47:E$48)*AB425</f>
        <v>37.339538311529999</v>
      </c>
      <c r="AG425">
        <f>LOOKUP($A425,'Over to underbark'!$A$47:$A$48,'Over to underbark'!E$47:E$48)*AC425</f>
        <v>121.09728627359999</v>
      </c>
      <c r="AH425" t="b">
        <f t="shared" ref="AH425:AH458" si="111">SUM(W425:Y425)=SUM(Z425:AC425)</f>
        <v>1</v>
      </c>
      <c r="AI425" t="b">
        <f t="shared" ref="AI425:AI458" si="112">SUM(R425:S425)*0.9 = SUM(W425:Y425)</f>
        <v>1</v>
      </c>
      <c r="AJ425">
        <f>LOOKUP(A425,'Over to underbark'!$A$47:$A$48,'Over to underbark'!E$47:E$48)*M425</f>
        <v>322.0308</v>
      </c>
      <c r="AK425" s="22">
        <f>LOOKUP(A425,'Over to underbark'!$A$47:$A$48,'Over to underbark'!$B$47:$B$48)*AJ425</f>
        <v>109.49047200000001</v>
      </c>
      <c r="AL425" s="22">
        <f>LOOKUP(A425,'Over to underbark'!$A$47:$A$48,'Over to underbark'!C$47:C$48)*AJ425</f>
        <v>112.71077999999999</v>
      </c>
      <c r="AM425" s="22">
        <f t="shared" ref="AM425:AM458" si="113">AJ425+AK425</f>
        <v>431.52127200000001</v>
      </c>
      <c r="AN425" s="36">
        <v>1174.5999999999999</v>
      </c>
      <c r="AO425" s="23">
        <f t="shared" ref="AO425:AO458" si="114">AM425*2</f>
        <v>863.04254400000002</v>
      </c>
      <c r="AQ425">
        <f t="shared" si="101"/>
        <v>0.67164179104477595</v>
      </c>
    </row>
    <row r="426" spans="1:43" x14ac:dyDescent="0.35">
      <c r="A426" t="s">
        <v>41</v>
      </c>
      <c r="B426">
        <v>14</v>
      </c>
      <c r="C426">
        <v>2</v>
      </c>
      <c r="D426" t="s">
        <v>42</v>
      </c>
      <c r="E426">
        <v>2</v>
      </c>
      <c r="F426">
        <v>1</v>
      </c>
      <c r="G426" s="30">
        <v>65</v>
      </c>
      <c r="H426" s="30">
        <v>25.968</v>
      </c>
      <c r="I426" s="30">
        <v>772</v>
      </c>
      <c r="J426" s="30">
        <v>34.624000000000002</v>
      </c>
      <c r="K426" s="30">
        <v>72.652000000000001</v>
      </c>
      <c r="L426" s="30">
        <v>1.01</v>
      </c>
      <c r="M426" s="32">
        <v>779.26</v>
      </c>
      <c r="N426" s="30">
        <v>11.741</v>
      </c>
      <c r="O426" s="29">
        <v>11.989000000000001</v>
      </c>
      <c r="P426" s="31">
        <v>65</v>
      </c>
      <c r="Q426" s="31">
        <v>34.624000000000002</v>
      </c>
      <c r="R426" s="31">
        <v>81.572999999999993</v>
      </c>
      <c r="S426" s="31">
        <v>697.68700000000001</v>
      </c>
      <c r="T426" s="10" t="b">
        <f t="shared" si="102"/>
        <v>1</v>
      </c>
      <c r="U426" s="10" t="b">
        <f t="shared" si="103"/>
        <v>1</v>
      </c>
      <c r="V426" s="11">
        <f>VLOOKUP(IF(J426&lt;10, 10, IF(J426&gt;50,50,J426)),'Over to underbark'!$A$3:$C$43,IF(A426="Scots pine",3,IF(A426="Sitka spruce",2, "error")),TRUE)/100</f>
        <v>0.85</v>
      </c>
      <c r="W426">
        <f t="shared" si="104"/>
        <v>62.403345000000002</v>
      </c>
      <c r="X426">
        <f t="shared" si="105"/>
        <v>533.73055499999998</v>
      </c>
      <c r="Y426">
        <f t="shared" si="106"/>
        <v>105.20010000000002</v>
      </c>
      <c r="Z426">
        <f t="shared" si="107"/>
        <v>257.59140652574996</v>
      </c>
      <c r="AA426">
        <f t="shared" si="108"/>
        <v>59.464417950000012</v>
      </c>
      <c r="AB426">
        <f t="shared" si="109"/>
        <v>89.658909164249991</v>
      </c>
      <c r="AC426">
        <f t="shared" si="110"/>
        <v>294.61926635999998</v>
      </c>
      <c r="AD426">
        <f>LOOKUP($A426,'Over to underbark'!$A$47:$A$48,'Over to underbark'!E$47:E$48)*Z426</f>
        <v>108.18839074081498</v>
      </c>
      <c r="AE426">
        <f>LOOKUP($A426,'Over to underbark'!$A$47:$A$48,'Over to underbark'!E$47:E$48)*AA426</f>
        <v>24.975055539000003</v>
      </c>
      <c r="AF426">
        <f>LOOKUP($A426,'Over to underbark'!$A$47:$A$48,'Over to underbark'!E$47:E$48)*AB426</f>
        <v>37.656741848984993</v>
      </c>
      <c r="AG426">
        <f>LOOKUP($A426,'Over to underbark'!$A$47:$A$48,'Over to underbark'!E$47:E$48)*AC426</f>
        <v>123.74009187119999</v>
      </c>
      <c r="AH426" t="b">
        <f t="shared" si="111"/>
        <v>1</v>
      </c>
      <c r="AI426" t="b">
        <f t="shared" si="112"/>
        <v>1</v>
      </c>
      <c r="AJ426">
        <f>LOOKUP(A426,'Over to underbark'!$A$47:$A$48,'Over to underbark'!E$47:E$48)*M426</f>
        <v>327.28919999999999</v>
      </c>
      <c r="AK426" s="22">
        <f>LOOKUP(A426,'Over to underbark'!$A$47:$A$48,'Over to underbark'!$B$47:$B$48)*AJ426</f>
        <v>111.278328</v>
      </c>
      <c r="AL426" s="22">
        <f>LOOKUP(A426,'Over to underbark'!$A$47:$A$48,'Over to underbark'!C$47:C$48)*AJ426</f>
        <v>114.55121999999999</v>
      </c>
      <c r="AM426" s="22">
        <f t="shared" si="113"/>
        <v>438.56752799999998</v>
      </c>
      <c r="AN426" s="36">
        <v>1175.5999999999999</v>
      </c>
      <c r="AO426" s="23">
        <f t="shared" si="114"/>
        <v>877.13505599999996</v>
      </c>
      <c r="AQ426">
        <f t="shared" si="101"/>
        <v>0.67164179104477606</v>
      </c>
    </row>
    <row r="427" spans="1:43" x14ac:dyDescent="0.35">
      <c r="A427" t="s">
        <v>41</v>
      </c>
      <c r="B427">
        <v>14</v>
      </c>
      <c r="C427">
        <v>2</v>
      </c>
      <c r="D427" t="s">
        <v>42</v>
      </c>
      <c r="E427">
        <v>2</v>
      </c>
      <c r="F427">
        <v>1</v>
      </c>
      <c r="G427" s="30">
        <v>66</v>
      </c>
      <c r="H427" s="30">
        <v>26.184000000000001</v>
      </c>
      <c r="I427" s="30">
        <v>763</v>
      </c>
      <c r="J427" s="30">
        <v>34.984999999999999</v>
      </c>
      <c r="K427" s="30">
        <v>73.302000000000007</v>
      </c>
      <c r="L427" s="30">
        <v>1.038</v>
      </c>
      <c r="M427" s="32">
        <v>791.78</v>
      </c>
      <c r="N427" s="30">
        <v>11.746</v>
      </c>
      <c r="O427" s="29">
        <v>11.997</v>
      </c>
      <c r="P427" s="31">
        <v>66</v>
      </c>
      <c r="Q427" s="31">
        <v>34.984999999999999</v>
      </c>
      <c r="R427" s="31">
        <v>79.182000000000002</v>
      </c>
      <c r="S427" s="31">
        <v>712.59799999999996</v>
      </c>
      <c r="T427" s="10" t="b">
        <f t="shared" si="102"/>
        <v>1</v>
      </c>
      <c r="U427" s="10" t="b">
        <f t="shared" si="103"/>
        <v>1</v>
      </c>
      <c r="V427" s="11">
        <f>VLOOKUP(IF(J427&lt;10, 10, IF(J427&gt;50,50,J427)),'Over to underbark'!$A$3:$C$43,IF(A427="Scots pine",3,IF(A427="Sitka spruce",2, "error")),TRUE)/100</f>
        <v>0.85</v>
      </c>
      <c r="W427">
        <f t="shared" si="104"/>
        <v>60.57423</v>
      </c>
      <c r="X427">
        <f t="shared" si="105"/>
        <v>545.13747000000001</v>
      </c>
      <c r="Y427">
        <f t="shared" si="106"/>
        <v>106.89030000000001</v>
      </c>
      <c r="Z427">
        <f t="shared" si="107"/>
        <v>261.16550185049999</v>
      </c>
      <c r="AA427">
        <f t="shared" si="108"/>
        <v>60.108315300000008</v>
      </c>
      <c r="AB427">
        <f t="shared" si="109"/>
        <v>90.412299409500008</v>
      </c>
      <c r="AC427">
        <f t="shared" si="110"/>
        <v>300.91588343999996</v>
      </c>
      <c r="AD427">
        <f>LOOKUP($A427,'Over to underbark'!$A$47:$A$48,'Over to underbark'!E$47:E$48)*Z427</f>
        <v>109.68951077720999</v>
      </c>
      <c r="AE427">
        <f>LOOKUP($A427,'Over to underbark'!$A$47:$A$48,'Over to underbark'!E$47:E$48)*AA427</f>
        <v>25.245492426000002</v>
      </c>
      <c r="AF427">
        <f>LOOKUP($A427,'Over to underbark'!$A$47:$A$48,'Over to underbark'!E$47:E$48)*AB427</f>
        <v>37.973165751990003</v>
      </c>
      <c r="AG427">
        <f>LOOKUP($A427,'Over to underbark'!$A$47:$A$48,'Over to underbark'!E$47:E$48)*AC427</f>
        <v>126.38467104479997</v>
      </c>
      <c r="AH427" t="b">
        <f t="shared" si="111"/>
        <v>1</v>
      </c>
      <c r="AI427" t="b">
        <f t="shared" si="112"/>
        <v>1</v>
      </c>
      <c r="AJ427">
        <f>LOOKUP(A427,'Over to underbark'!$A$47:$A$48,'Over to underbark'!E$47:E$48)*M427</f>
        <v>332.54759999999999</v>
      </c>
      <c r="AK427" s="22">
        <f>LOOKUP(A427,'Over to underbark'!$A$47:$A$48,'Over to underbark'!$B$47:$B$48)*AJ427</f>
        <v>113.06618400000001</v>
      </c>
      <c r="AL427" s="22">
        <f>LOOKUP(A427,'Over to underbark'!$A$47:$A$48,'Over to underbark'!C$47:C$48)*AJ427</f>
        <v>116.39165999999999</v>
      </c>
      <c r="AM427" s="22">
        <f t="shared" si="113"/>
        <v>445.61378400000001</v>
      </c>
      <c r="AN427" s="36">
        <v>1176.5999999999999</v>
      </c>
      <c r="AO427" s="23">
        <f t="shared" si="114"/>
        <v>891.22756800000002</v>
      </c>
      <c r="AQ427">
        <f t="shared" si="101"/>
        <v>0.67164179104477606</v>
      </c>
    </row>
    <row r="428" spans="1:43" x14ac:dyDescent="0.35">
      <c r="A428" t="s">
        <v>41</v>
      </c>
      <c r="B428">
        <v>14</v>
      </c>
      <c r="C428">
        <v>2</v>
      </c>
      <c r="D428" t="s">
        <v>42</v>
      </c>
      <c r="E428">
        <v>2</v>
      </c>
      <c r="F428">
        <v>1</v>
      </c>
      <c r="G428" s="30">
        <v>67</v>
      </c>
      <c r="H428" s="30">
        <v>26.4</v>
      </c>
      <c r="I428" s="30">
        <v>754</v>
      </c>
      <c r="J428" s="30">
        <v>35.35</v>
      </c>
      <c r="K428" s="30">
        <v>73.951999999999998</v>
      </c>
      <c r="L428" s="30">
        <v>1.0669999999999999</v>
      </c>
      <c r="M428" s="32">
        <v>804.3</v>
      </c>
      <c r="N428" s="30">
        <v>11.750999999999999</v>
      </c>
      <c r="O428" s="29">
        <v>12.004</v>
      </c>
      <c r="P428" s="31">
        <v>67</v>
      </c>
      <c r="Q428" s="31">
        <v>35.35</v>
      </c>
      <c r="R428" s="31">
        <v>76.795000000000002</v>
      </c>
      <c r="S428" s="31">
        <v>727.505</v>
      </c>
      <c r="T428" s="10" t="b">
        <f t="shared" si="102"/>
        <v>1</v>
      </c>
      <c r="U428" s="10" t="b">
        <f t="shared" si="103"/>
        <v>1</v>
      </c>
      <c r="V428" s="11">
        <f>VLOOKUP(IF(J428&lt;10, 10, IF(J428&gt;50,50,J428)),'Over to underbark'!$A$3:$C$43,IF(A428="Scots pine",3,IF(A428="Sitka spruce",2, "error")),TRUE)/100</f>
        <v>0.85</v>
      </c>
      <c r="W428">
        <f t="shared" si="104"/>
        <v>58.748174999999996</v>
      </c>
      <c r="X428">
        <f t="shared" si="105"/>
        <v>556.54132500000003</v>
      </c>
      <c r="Y428">
        <f t="shared" si="106"/>
        <v>108.58050000000001</v>
      </c>
      <c r="Z428">
        <f t="shared" si="107"/>
        <v>264.74020718625002</v>
      </c>
      <c r="AA428">
        <f t="shared" si="108"/>
        <v>60.752549250000008</v>
      </c>
      <c r="AB428">
        <f t="shared" si="109"/>
        <v>91.166432163750002</v>
      </c>
      <c r="AC428">
        <f t="shared" si="110"/>
        <v>307.21081140000001</v>
      </c>
      <c r="AD428">
        <f>LOOKUP($A428,'Over to underbark'!$A$47:$A$48,'Over to underbark'!E$47:E$48)*Z428</f>
        <v>111.190887018225</v>
      </c>
      <c r="AE428">
        <f>LOOKUP($A428,'Over to underbark'!$A$47:$A$48,'Over to underbark'!E$47:E$48)*AA428</f>
        <v>25.516070685000003</v>
      </c>
      <c r="AF428">
        <f>LOOKUP($A428,'Over to underbark'!$A$47:$A$48,'Over to underbark'!E$47:E$48)*AB428</f>
        <v>38.289901508775003</v>
      </c>
      <c r="AG428">
        <f>LOOKUP($A428,'Over to underbark'!$A$47:$A$48,'Over to underbark'!E$47:E$48)*AC428</f>
        <v>129.02854078799999</v>
      </c>
      <c r="AH428" t="b">
        <f t="shared" si="111"/>
        <v>1</v>
      </c>
      <c r="AI428" t="b">
        <f t="shared" si="112"/>
        <v>1</v>
      </c>
      <c r="AJ428">
        <f>LOOKUP(A428,'Over to underbark'!$A$47:$A$48,'Over to underbark'!E$47:E$48)*M428</f>
        <v>337.80599999999998</v>
      </c>
      <c r="AK428" s="22">
        <f>LOOKUP(A428,'Over to underbark'!$A$47:$A$48,'Over to underbark'!$B$47:$B$48)*AJ428</f>
        <v>114.85404</v>
      </c>
      <c r="AL428" s="22">
        <f>LOOKUP(A428,'Over to underbark'!$A$47:$A$48,'Over to underbark'!C$47:C$48)*AJ428</f>
        <v>118.23209999999999</v>
      </c>
      <c r="AM428" s="22">
        <f t="shared" si="113"/>
        <v>452.66003999999998</v>
      </c>
      <c r="AN428" s="36">
        <v>1177.5999999999999</v>
      </c>
      <c r="AO428" s="23">
        <f t="shared" si="114"/>
        <v>905.32007999999996</v>
      </c>
      <c r="AQ428">
        <f t="shared" si="101"/>
        <v>0.67164179104477617</v>
      </c>
    </row>
    <row r="429" spans="1:43" x14ac:dyDescent="0.35">
      <c r="A429" t="s">
        <v>41</v>
      </c>
      <c r="B429">
        <v>14</v>
      </c>
      <c r="C429">
        <v>2</v>
      </c>
      <c r="D429" t="s">
        <v>42</v>
      </c>
      <c r="E429">
        <v>2</v>
      </c>
      <c r="F429">
        <v>1</v>
      </c>
      <c r="G429" s="30">
        <v>68</v>
      </c>
      <c r="H429" s="30">
        <v>26.59</v>
      </c>
      <c r="I429" s="30">
        <v>746</v>
      </c>
      <c r="J429" s="30">
        <v>35.664999999999999</v>
      </c>
      <c r="K429" s="30">
        <v>74.563999999999993</v>
      </c>
      <c r="L429" s="30">
        <v>1.093</v>
      </c>
      <c r="M429" s="32">
        <v>815.88</v>
      </c>
      <c r="N429" s="30">
        <v>11.741</v>
      </c>
      <c r="O429" s="29">
        <v>11.997999999999999</v>
      </c>
      <c r="P429" s="31">
        <v>68</v>
      </c>
      <c r="Q429" s="31">
        <v>35.664999999999999</v>
      </c>
      <c r="R429" s="31">
        <v>74.844999999999999</v>
      </c>
      <c r="S429" s="31">
        <v>741.03499999999997</v>
      </c>
      <c r="T429" s="10" t="b">
        <f t="shared" si="102"/>
        <v>1</v>
      </c>
      <c r="U429" s="10" t="b">
        <f t="shared" si="103"/>
        <v>1</v>
      </c>
      <c r="V429" s="11">
        <f>VLOOKUP(IF(J429&lt;10, 10, IF(J429&gt;50,50,J429)),'Over to underbark'!$A$3:$C$43,IF(A429="Scots pine",3,IF(A429="Sitka spruce",2, "error")),TRUE)/100</f>
        <v>0.85</v>
      </c>
      <c r="W429">
        <f t="shared" si="104"/>
        <v>57.256425</v>
      </c>
      <c r="X429">
        <f t="shared" si="105"/>
        <v>566.89177500000005</v>
      </c>
      <c r="Y429">
        <f t="shared" si="106"/>
        <v>110.14380000000003</v>
      </c>
      <c r="Z429">
        <f t="shared" si="107"/>
        <v>268.08583692375004</v>
      </c>
      <c r="AA429">
        <f t="shared" si="108"/>
        <v>61.370106750000012</v>
      </c>
      <c r="AB429">
        <f t="shared" si="109"/>
        <v>91.911796526250001</v>
      </c>
      <c r="AC429">
        <f t="shared" si="110"/>
        <v>312.92425980000002</v>
      </c>
      <c r="AD429">
        <f>LOOKUP($A429,'Over to underbark'!$A$47:$A$48,'Over to underbark'!E$47:E$48)*Z429</f>
        <v>112.59605150797501</v>
      </c>
      <c r="AE429">
        <f>LOOKUP($A429,'Over to underbark'!$A$47:$A$48,'Over to underbark'!E$47:E$48)*AA429</f>
        <v>25.775444835000005</v>
      </c>
      <c r="AF429">
        <f>LOOKUP($A429,'Over to underbark'!$A$47:$A$48,'Over to underbark'!E$47:E$48)*AB429</f>
        <v>38.602954541024999</v>
      </c>
      <c r="AG429">
        <f>LOOKUP($A429,'Over to underbark'!$A$47:$A$48,'Over to underbark'!E$47:E$48)*AC429</f>
        <v>131.428189116</v>
      </c>
      <c r="AH429" t="b">
        <f t="shared" si="111"/>
        <v>1</v>
      </c>
      <c r="AI429" t="b">
        <f t="shared" si="112"/>
        <v>1</v>
      </c>
      <c r="AJ429">
        <f>LOOKUP(A429,'Over to underbark'!$A$47:$A$48,'Over to underbark'!E$47:E$48)*M429</f>
        <v>342.6696</v>
      </c>
      <c r="AK429" s="22">
        <f>LOOKUP(A429,'Over to underbark'!$A$47:$A$48,'Over to underbark'!$B$47:$B$48)*AJ429</f>
        <v>116.50766400000001</v>
      </c>
      <c r="AL429" s="22">
        <f>LOOKUP(A429,'Over to underbark'!$A$47:$A$48,'Over to underbark'!C$47:C$48)*AJ429</f>
        <v>119.93436</v>
      </c>
      <c r="AM429" s="22">
        <f t="shared" si="113"/>
        <v>459.17726400000004</v>
      </c>
      <c r="AN429" s="36">
        <v>1178.5999999999999</v>
      </c>
      <c r="AO429" s="23">
        <f t="shared" si="114"/>
        <v>918.35452800000007</v>
      </c>
      <c r="AQ429">
        <f t="shared" si="101"/>
        <v>0.67164179104477606</v>
      </c>
    </row>
    <row r="430" spans="1:43" x14ac:dyDescent="0.35">
      <c r="A430" t="s">
        <v>41</v>
      </c>
      <c r="B430">
        <v>14</v>
      </c>
      <c r="C430">
        <v>2</v>
      </c>
      <c r="D430" t="s">
        <v>42</v>
      </c>
      <c r="E430">
        <v>2</v>
      </c>
      <c r="F430">
        <v>1</v>
      </c>
      <c r="G430" s="30">
        <v>69</v>
      </c>
      <c r="H430" s="30">
        <v>26.78</v>
      </c>
      <c r="I430" s="30">
        <v>739</v>
      </c>
      <c r="J430" s="30">
        <v>35.984000000000002</v>
      </c>
      <c r="K430" s="30">
        <v>75.176000000000002</v>
      </c>
      <c r="L430" s="30">
        <v>1.119</v>
      </c>
      <c r="M430" s="32">
        <v>827.46</v>
      </c>
      <c r="N430" s="30">
        <v>11.731999999999999</v>
      </c>
      <c r="O430" s="29">
        <v>11.992000000000001</v>
      </c>
      <c r="P430" s="31">
        <v>69</v>
      </c>
      <c r="Q430" s="31">
        <v>35.984000000000002</v>
      </c>
      <c r="R430" s="31">
        <v>72.887</v>
      </c>
      <c r="S430" s="31">
        <v>754.57299999999998</v>
      </c>
      <c r="T430" s="10" t="b">
        <f t="shared" si="102"/>
        <v>1</v>
      </c>
      <c r="U430" s="10" t="b">
        <f t="shared" si="103"/>
        <v>1</v>
      </c>
      <c r="V430" s="11">
        <f>VLOOKUP(IF(J430&lt;10, 10, IF(J430&gt;50,50,J430)),'Over to underbark'!$A$3:$C$43,IF(A430="Scots pine",3,IF(A430="Sitka spruce",2, "error")),TRUE)/100</f>
        <v>0.85</v>
      </c>
      <c r="W430">
        <f t="shared" si="104"/>
        <v>55.758555000000008</v>
      </c>
      <c r="X430">
        <f t="shared" si="105"/>
        <v>577.24834499999997</v>
      </c>
      <c r="Y430">
        <f t="shared" si="106"/>
        <v>111.70710000000003</v>
      </c>
      <c r="Z430">
        <f t="shared" si="107"/>
        <v>271.43024663925002</v>
      </c>
      <c r="AA430">
        <f t="shared" si="108"/>
        <v>61.986991050000015</v>
      </c>
      <c r="AB430">
        <f t="shared" si="109"/>
        <v>92.655675870750002</v>
      </c>
      <c r="AC430">
        <f t="shared" si="110"/>
        <v>318.64108643999998</v>
      </c>
      <c r="AD430">
        <f>LOOKUP($A430,'Over to underbark'!$A$47:$A$48,'Over to underbark'!E$47:E$48)*Z430</f>
        <v>114.000703588485</v>
      </c>
      <c r="AE430">
        <f>LOOKUP($A430,'Over to underbark'!$A$47:$A$48,'Over to underbark'!E$47:E$48)*AA430</f>
        <v>26.034536241000005</v>
      </c>
      <c r="AF430">
        <f>LOOKUP($A430,'Over to underbark'!$A$47:$A$48,'Over to underbark'!E$47:E$48)*AB430</f>
        <v>38.915383865715</v>
      </c>
      <c r="AG430">
        <f>LOOKUP($A430,'Over to underbark'!$A$47:$A$48,'Over to underbark'!E$47:E$48)*AC430</f>
        <v>133.8292563048</v>
      </c>
      <c r="AH430" t="b">
        <f t="shared" si="111"/>
        <v>1</v>
      </c>
      <c r="AI430" t="b">
        <f t="shared" si="112"/>
        <v>1</v>
      </c>
      <c r="AJ430">
        <f>LOOKUP(A430,'Over to underbark'!$A$47:$A$48,'Over to underbark'!E$47:E$48)*M430</f>
        <v>347.53320000000002</v>
      </c>
      <c r="AK430" s="22">
        <f>LOOKUP(A430,'Over to underbark'!$A$47:$A$48,'Over to underbark'!$B$47:$B$48)*AJ430</f>
        <v>118.16128800000001</v>
      </c>
      <c r="AL430" s="22">
        <f>LOOKUP(A430,'Over to underbark'!$A$47:$A$48,'Over to underbark'!C$47:C$48)*AJ430</f>
        <v>121.63661999999999</v>
      </c>
      <c r="AM430" s="22">
        <f t="shared" si="113"/>
        <v>465.69448800000004</v>
      </c>
      <c r="AN430" s="36">
        <v>1179.5999999999999</v>
      </c>
      <c r="AO430" s="23">
        <f t="shared" si="114"/>
        <v>931.38897600000007</v>
      </c>
      <c r="AQ430">
        <f t="shared" si="101"/>
        <v>0.67164179104477606</v>
      </c>
    </row>
    <row r="431" spans="1:43" x14ac:dyDescent="0.35">
      <c r="A431" t="s">
        <v>41</v>
      </c>
      <c r="B431">
        <v>14</v>
      </c>
      <c r="C431">
        <v>2</v>
      </c>
      <c r="D431" t="s">
        <v>42</v>
      </c>
      <c r="E431">
        <v>2</v>
      </c>
      <c r="F431">
        <v>1</v>
      </c>
      <c r="G431" s="30">
        <v>70</v>
      </c>
      <c r="H431" s="30">
        <v>26.97</v>
      </c>
      <c r="I431" s="30">
        <v>732</v>
      </c>
      <c r="J431" s="30">
        <v>36.305999999999997</v>
      </c>
      <c r="K431" s="30">
        <v>75.787999999999997</v>
      </c>
      <c r="L431" s="30">
        <v>1.1459999999999999</v>
      </c>
      <c r="M431" s="32">
        <v>839.04</v>
      </c>
      <c r="N431" s="30">
        <v>11.723000000000001</v>
      </c>
      <c r="O431" s="29">
        <v>11.986000000000001</v>
      </c>
      <c r="P431" s="31">
        <v>70</v>
      </c>
      <c r="Q431" s="31">
        <v>36.305999999999997</v>
      </c>
      <c r="R431" s="31">
        <v>70.935000000000002</v>
      </c>
      <c r="S431" s="31">
        <v>768.10500000000002</v>
      </c>
      <c r="T431" s="10" t="b">
        <f t="shared" si="102"/>
        <v>1</v>
      </c>
      <c r="U431" s="10" t="b">
        <f t="shared" si="103"/>
        <v>1</v>
      </c>
      <c r="V431" s="11">
        <f>VLOOKUP(IF(J431&lt;10, 10, IF(J431&gt;50,50,J431)),'Over to underbark'!$A$3:$C$43,IF(A431="Scots pine",3,IF(A431="Sitka spruce",2, "error")),TRUE)/100</f>
        <v>0.85</v>
      </c>
      <c r="W431">
        <f t="shared" si="104"/>
        <v>54.265275000000003</v>
      </c>
      <c r="X431">
        <f t="shared" si="105"/>
        <v>587.60032500000011</v>
      </c>
      <c r="Y431">
        <f t="shared" si="106"/>
        <v>113.27040000000001</v>
      </c>
      <c r="Z431">
        <f t="shared" si="107"/>
        <v>274.77557137125007</v>
      </c>
      <c r="AA431">
        <f t="shared" si="108"/>
        <v>62.604380250000006</v>
      </c>
      <c r="AB431">
        <f t="shared" si="109"/>
        <v>93.400668978750019</v>
      </c>
      <c r="AC431">
        <f t="shared" si="110"/>
        <v>324.35537940000006</v>
      </c>
      <c r="AD431">
        <f>LOOKUP($A431,'Over to underbark'!$A$47:$A$48,'Over to underbark'!E$47:E$48)*Z431</f>
        <v>115.40573997592503</v>
      </c>
      <c r="AE431">
        <f>LOOKUP($A431,'Over to underbark'!$A$47:$A$48,'Over to underbark'!E$47:E$48)*AA431</f>
        <v>26.293839705</v>
      </c>
      <c r="AF431">
        <f>LOOKUP($A431,'Over to underbark'!$A$47:$A$48,'Over to underbark'!E$47:E$48)*AB431</f>
        <v>39.228280971075009</v>
      </c>
      <c r="AG431">
        <f>LOOKUP($A431,'Over to underbark'!$A$47:$A$48,'Over to underbark'!E$47:E$48)*AC431</f>
        <v>136.22925934800003</v>
      </c>
      <c r="AH431" t="b">
        <f t="shared" si="111"/>
        <v>1</v>
      </c>
      <c r="AI431" t="b">
        <f t="shared" si="112"/>
        <v>1</v>
      </c>
      <c r="AJ431">
        <f>LOOKUP(A431,'Over to underbark'!$A$47:$A$48,'Over to underbark'!E$47:E$48)*M431</f>
        <v>352.39679999999998</v>
      </c>
      <c r="AK431" s="22">
        <f>LOOKUP(A431,'Over to underbark'!$A$47:$A$48,'Over to underbark'!$B$47:$B$48)*AJ431</f>
        <v>119.81491200000001</v>
      </c>
      <c r="AL431" s="22">
        <f>LOOKUP(A431,'Over to underbark'!$A$47:$A$48,'Over to underbark'!C$47:C$48)*AJ431</f>
        <v>123.33887999999999</v>
      </c>
      <c r="AM431" s="22">
        <f t="shared" si="113"/>
        <v>472.21171199999998</v>
      </c>
      <c r="AN431" s="36">
        <v>1180.5999999999999</v>
      </c>
      <c r="AO431" s="23">
        <f t="shared" si="114"/>
        <v>944.42342399999995</v>
      </c>
      <c r="AQ431">
        <f t="shared" si="101"/>
        <v>0.67164179104477628</v>
      </c>
    </row>
    <row r="432" spans="1:43" x14ac:dyDescent="0.35">
      <c r="A432" t="s">
        <v>41</v>
      </c>
      <c r="B432">
        <v>14</v>
      </c>
      <c r="C432">
        <v>2</v>
      </c>
      <c r="D432" t="s">
        <v>42</v>
      </c>
      <c r="E432">
        <v>2</v>
      </c>
      <c r="F432">
        <v>1</v>
      </c>
      <c r="G432" s="30">
        <v>71</v>
      </c>
      <c r="H432" s="30">
        <v>27.16</v>
      </c>
      <c r="I432" s="30">
        <v>725</v>
      </c>
      <c r="J432" s="30">
        <v>36.631</v>
      </c>
      <c r="K432" s="30">
        <v>76.400000000000006</v>
      </c>
      <c r="L432" s="30">
        <v>1.173</v>
      </c>
      <c r="M432" s="32">
        <v>850.62</v>
      </c>
      <c r="N432" s="30">
        <v>11.714</v>
      </c>
      <c r="O432" s="29">
        <v>11.981</v>
      </c>
      <c r="P432" s="31">
        <v>71</v>
      </c>
      <c r="Q432" s="31">
        <v>36.631</v>
      </c>
      <c r="R432" s="31">
        <v>68.992000000000004</v>
      </c>
      <c r="S432" s="31">
        <v>781.62800000000004</v>
      </c>
      <c r="T432" s="10" t="b">
        <f t="shared" si="102"/>
        <v>1</v>
      </c>
      <c r="U432" s="10" t="b">
        <f t="shared" si="103"/>
        <v>1</v>
      </c>
      <c r="V432" s="11">
        <f>VLOOKUP(IF(J432&lt;10, 10, IF(J432&gt;50,50,J432)),'Over to underbark'!$A$3:$C$43,IF(A432="Scots pine",3,IF(A432="Sitka spruce",2, "error")),TRUE)/100</f>
        <v>0.85</v>
      </c>
      <c r="W432">
        <f t="shared" si="104"/>
        <v>52.778880000000001</v>
      </c>
      <c r="X432">
        <f t="shared" si="105"/>
        <v>597.94542000000001</v>
      </c>
      <c r="Y432">
        <f t="shared" si="106"/>
        <v>114.83370000000002</v>
      </c>
      <c r="Z432">
        <f t="shared" si="107"/>
        <v>278.12226862800003</v>
      </c>
      <c r="AA432">
        <f t="shared" si="108"/>
        <v>63.222526800000011</v>
      </c>
      <c r="AB432">
        <f t="shared" si="109"/>
        <v>94.147332731999995</v>
      </c>
      <c r="AC432">
        <f t="shared" si="110"/>
        <v>330.06587184</v>
      </c>
      <c r="AD432">
        <f>LOOKUP($A432,'Over to underbark'!$A$47:$A$48,'Over to underbark'!E$47:E$48)*Z432</f>
        <v>116.81135282376</v>
      </c>
      <c r="AE432">
        <f>LOOKUP($A432,'Over to underbark'!$A$47:$A$48,'Over to underbark'!E$47:E$48)*AA432</f>
        <v>26.553461256000002</v>
      </c>
      <c r="AF432">
        <f>LOOKUP($A432,'Over to underbark'!$A$47:$A$48,'Over to underbark'!E$47:E$48)*AB432</f>
        <v>39.541879747439999</v>
      </c>
      <c r="AG432">
        <f>LOOKUP($A432,'Over to underbark'!$A$47:$A$48,'Over to underbark'!E$47:E$48)*AC432</f>
        <v>138.62766617279999</v>
      </c>
      <c r="AH432" t="b">
        <f t="shared" si="111"/>
        <v>1</v>
      </c>
      <c r="AI432" t="b">
        <f t="shared" si="112"/>
        <v>1</v>
      </c>
      <c r="AJ432">
        <f>LOOKUP(A432,'Over to underbark'!$A$47:$A$48,'Over to underbark'!E$47:E$48)*M432</f>
        <v>357.2604</v>
      </c>
      <c r="AK432" s="22">
        <f>LOOKUP(A432,'Over to underbark'!$A$47:$A$48,'Over to underbark'!$B$47:$B$48)*AJ432</f>
        <v>121.46853600000001</v>
      </c>
      <c r="AL432" s="22">
        <f>LOOKUP(A432,'Over to underbark'!$A$47:$A$48,'Over to underbark'!C$47:C$48)*AJ432</f>
        <v>125.04114</v>
      </c>
      <c r="AM432" s="22">
        <f t="shared" si="113"/>
        <v>478.72893600000003</v>
      </c>
      <c r="AN432" s="36">
        <v>1181.5999999999999</v>
      </c>
      <c r="AO432" s="23">
        <f t="shared" si="114"/>
        <v>957.45787200000007</v>
      </c>
      <c r="AQ432">
        <f t="shared" si="101"/>
        <v>0.67164179104477606</v>
      </c>
    </row>
    <row r="433" spans="1:43" x14ac:dyDescent="0.35">
      <c r="A433" t="s">
        <v>41</v>
      </c>
      <c r="B433">
        <v>14</v>
      </c>
      <c r="C433">
        <v>2</v>
      </c>
      <c r="D433" t="s">
        <v>42</v>
      </c>
      <c r="E433">
        <v>2</v>
      </c>
      <c r="F433">
        <v>1</v>
      </c>
      <c r="G433" s="30">
        <v>72</v>
      </c>
      <c r="H433" s="30">
        <v>27.35</v>
      </c>
      <c r="I433" s="30">
        <v>718</v>
      </c>
      <c r="J433" s="30">
        <v>36.96</v>
      </c>
      <c r="K433" s="30">
        <v>77.012</v>
      </c>
      <c r="L433" s="30">
        <v>1.2010000000000001</v>
      </c>
      <c r="M433" s="32">
        <v>862.2</v>
      </c>
      <c r="N433" s="30">
        <v>11.705</v>
      </c>
      <c r="O433" s="29">
        <v>11.975</v>
      </c>
      <c r="P433" s="31">
        <v>72</v>
      </c>
      <c r="Q433" s="31">
        <v>36.96</v>
      </c>
      <c r="R433" s="31">
        <v>67.051000000000002</v>
      </c>
      <c r="S433" s="31">
        <v>795.149</v>
      </c>
      <c r="T433" s="10" t="b">
        <f t="shared" si="102"/>
        <v>1</v>
      </c>
      <c r="U433" s="10" t="b">
        <f t="shared" si="103"/>
        <v>1</v>
      </c>
      <c r="V433" s="11">
        <f>VLOOKUP(IF(J433&lt;10, 10, IF(J433&gt;50,50,J433)),'Over to underbark'!$A$3:$C$43,IF(A433="Scots pine",3,IF(A433="Sitka spruce",2, "error")),TRUE)/100</f>
        <v>0.85</v>
      </c>
      <c r="W433">
        <f t="shared" si="104"/>
        <v>51.294015000000002</v>
      </c>
      <c r="X433">
        <f t="shared" si="105"/>
        <v>608.28898500000003</v>
      </c>
      <c r="Y433">
        <f t="shared" si="106"/>
        <v>116.39700000000002</v>
      </c>
      <c r="Z433">
        <f t="shared" si="107"/>
        <v>281.46927089025007</v>
      </c>
      <c r="AA433">
        <f t="shared" si="108"/>
        <v>63.840841650000009</v>
      </c>
      <c r="AB433">
        <f t="shared" si="109"/>
        <v>94.89436773975001</v>
      </c>
      <c r="AC433">
        <f t="shared" si="110"/>
        <v>335.77551972000003</v>
      </c>
      <c r="AD433">
        <f>LOOKUP($A433,'Over to underbark'!$A$47:$A$48,'Over to underbark'!E$47:E$48)*Z433</f>
        <v>118.21709377390502</v>
      </c>
      <c r="AE433">
        <f>LOOKUP($A433,'Over to underbark'!$A$47:$A$48,'Over to underbark'!E$47:E$48)*AA433</f>
        <v>26.813153493000002</v>
      </c>
      <c r="AF433">
        <f>LOOKUP($A433,'Over to underbark'!$A$47:$A$48,'Over to underbark'!E$47:E$48)*AB433</f>
        <v>39.855634450695</v>
      </c>
      <c r="AG433">
        <f>LOOKUP($A433,'Over to underbark'!$A$47:$A$48,'Over to underbark'!E$47:E$48)*AC433</f>
        <v>141.02571828240002</v>
      </c>
      <c r="AH433" t="b">
        <f t="shared" si="111"/>
        <v>1</v>
      </c>
      <c r="AI433" t="b">
        <f t="shared" si="112"/>
        <v>1</v>
      </c>
      <c r="AJ433">
        <f>LOOKUP(A433,'Over to underbark'!$A$47:$A$48,'Over to underbark'!E$47:E$48)*M433</f>
        <v>362.12400000000002</v>
      </c>
      <c r="AK433" s="22">
        <f>LOOKUP(A433,'Over to underbark'!$A$47:$A$48,'Over to underbark'!$B$47:$B$48)*AJ433</f>
        <v>123.12216000000002</v>
      </c>
      <c r="AL433" s="22">
        <f>LOOKUP(A433,'Over to underbark'!$A$47:$A$48,'Over to underbark'!C$47:C$48)*AJ433</f>
        <v>126.74339999999999</v>
      </c>
      <c r="AM433" s="22">
        <f t="shared" si="113"/>
        <v>485.24616000000003</v>
      </c>
      <c r="AN433" s="36">
        <v>1182.5999999999999</v>
      </c>
      <c r="AO433" s="23">
        <f t="shared" si="114"/>
        <v>970.49232000000006</v>
      </c>
      <c r="AQ433">
        <f t="shared" si="101"/>
        <v>0.67164179104477617</v>
      </c>
    </row>
    <row r="434" spans="1:43" x14ac:dyDescent="0.35">
      <c r="A434" t="s">
        <v>41</v>
      </c>
      <c r="B434">
        <v>14</v>
      </c>
      <c r="C434">
        <v>2</v>
      </c>
      <c r="D434" t="s">
        <v>42</v>
      </c>
      <c r="E434">
        <v>2</v>
      </c>
      <c r="F434">
        <v>1</v>
      </c>
      <c r="G434" s="30">
        <v>73</v>
      </c>
      <c r="H434" s="30">
        <v>27.518000000000001</v>
      </c>
      <c r="I434" s="30">
        <v>712</v>
      </c>
      <c r="J434" s="30">
        <v>37.244999999999997</v>
      </c>
      <c r="K434" s="30">
        <v>77.566999999999993</v>
      </c>
      <c r="L434" s="30">
        <v>1.226</v>
      </c>
      <c r="M434" s="32">
        <v>872.82</v>
      </c>
      <c r="N434" s="30">
        <v>11.69</v>
      </c>
      <c r="O434" s="29">
        <v>11.956</v>
      </c>
      <c r="P434" s="31">
        <v>73</v>
      </c>
      <c r="Q434" s="31">
        <v>37.244999999999997</v>
      </c>
      <c r="R434" s="31">
        <v>65.445999999999998</v>
      </c>
      <c r="S434" s="31">
        <v>807.37400000000002</v>
      </c>
      <c r="T434" s="10" t="b">
        <f t="shared" si="102"/>
        <v>1</v>
      </c>
      <c r="U434" s="10" t="b">
        <f t="shared" si="103"/>
        <v>1</v>
      </c>
      <c r="V434" s="11">
        <f>VLOOKUP(IF(J434&lt;10, 10, IF(J434&gt;50,50,J434)),'Over to underbark'!$A$3:$C$43,IF(A434="Scots pine",3,IF(A434="Sitka spruce",2, "error")),TRUE)/100</f>
        <v>0.85</v>
      </c>
      <c r="W434">
        <f t="shared" si="104"/>
        <v>50.066189999999999</v>
      </c>
      <c r="X434">
        <f t="shared" si="105"/>
        <v>617.64111000000003</v>
      </c>
      <c r="Y434">
        <f t="shared" si="106"/>
        <v>117.83070000000002</v>
      </c>
      <c r="Z434">
        <f t="shared" si="107"/>
        <v>284.56550287650003</v>
      </c>
      <c r="AA434">
        <f t="shared" si="108"/>
        <v>64.422630900000016</v>
      </c>
      <c r="AB434">
        <f t="shared" si="109"/>
        <v>95.611973503499996</v>
      </c>
      <c r="AC434">
        <f t="shared" si="110"/>
        <v>340.93789272000004</v>
      </c>
      <c r="AD434">
        <f>LOOKUP($A434,'Over to underbark'!$A$47:$A$48,'Over to underbark'!E$47:E$48)*Z434</f>
        <v>119.51751120813</v>
      </c>
      <c r="AE434">
        <f>LOOKUP($A434,'Over to underbark'!$A$47:$A$48,'Over to underbark'!E$47:E$48)*AA434</f>
        <v>27.057504978000004</v>
      </c>
      <c r="AF434">
        <f>LOOKUP($A434,'Over to underbark'!$A$47:$A$48,'Over to underbark'!E$47:E$48)*AB434</f>
        <v>40.157028871469997</v>
      </c>
      <c r="AG434">
        <f>LOOKUP($A434,'Over to underbark'!$A$47:$A$48,'Over to underbark'!E$47:E$48)*AC434</f>
        <v>143.1939149424</v>
      </c>
      <c r="AH434" t="b">
        <f t="shared" si="111"/>
        <v>1</v>
      </c>
      <c r="AI434" t="b">
        <f t="shared" si="112"/>
        <v>1</v>
      </c>
      <c r="AJ434">
        <f>LOOKUP(A434,'Over to underbark'!$A$47:$A$48,'Over to underbark'!E$47:E$48)*M434</f>
        <v>366.58440000000002</v>
      </c>
      <c r="AK434" s="22">
        <f>LOOKUP(A434,'Over to underbark'!$A$47:$A$48,'Over to underbark'!$B$47:$B$48)*AJ434</f>
        <v>124.63869600000001</v>
      </c>
      <c r="AL434" s="22">
        <f>LOOKUP(A434,'Over to underbark'!$A$47:$A$48,'Over to underbark'!C$47:C$48)*AJ434</f>
        <v>128.30454</v>
      </c>
      <c r="AM434" s="22">
        <f t="shared" si="113"/>
        <v>491.22309600000006</v>
      </c>
      <c r="AN434" s="36">
        <v>1183.5999999999999</v>
      </c>
      <c r="AO434" s="23">
        <f t="shared" si="114"/>
        <v>982.44619200000011</v>
      </c>
      <c r="AQ434">
        <f t="shared" si="101"/>
        <v>0.67164179104477606</v>
      </c>
    </row>
    <row r="435" spans="1:43" x14ac:dyDescent="0.35">
      <c r="A435" t="s">
        <v>41</v>
      </c>
      <c r="B435">
        <v>14</v>
      </c>
      <c r="C435">
        <v>2</v>
      </c>
      <c r="D435" t="s">
        <v>42</v>
      </c>
      <c r="E435">
        <v>2</v>
      </c>
      <c r="F435">
        <v>1</v>
      </c>
      <c r="G435" s="30">
        <v>74</v>
      </c>
      <c r="H435" s="30">
        <v>27.686</v>
      </c>
      <c r="I435" s="30">
        <v>706</v>
      </c>
      <c r="J435" s="30">
        <v>37.531999999999996</v>
      </c>
      <c r="K435" s="30">
        <v>78.123000000000005</v>
      </c>
      <c r="L435" s="30">
        <v>1.2509999999999999</v>
      </c>
      <c r="M435" s="32">
        <v>883.44</v>
      </c>
      <c r="N435" s="30">
        <v>11.675000000000001</v>
      </c>
      <c r="O435" s="29">
        <v>11.938000000000001</v>
      </c>
      <c r="P435" s="31">
        <v>74</v>
      </c>
      <c r="Q435" s="31">
        <v>37.531999999999996</v>
      </c>
      <c r="R435" s="31">
        <v>63.85</v>
      </c>
      <c r="S435" s="31">
        <v>819.59</v>
      </c>
      <c r="T435" s="10" t="b">
        <f t="shared" si="102"/>
        <v>1</v>
      </c>
      <c r="U435" s="10" t="b">
        <f t="shared" si="103"/>
        <v>1</v>
      </c>
      <c r="V435" s="11">
        <f>VLOOKUP(IF(J435&lt;10, 10, IF(J435&gt;50,50,J435)),'Over to underbark'!$A$3:$C$43,IF(A435="Scots pine",3,IF(A435="Sitka spruce",2, "error")),TRUE)/100</f>
        <v>0.85</v>
      </c>
      <c r="W435">
        <f t="shared" si="104"/>
        <v>48.84525</v>
      </c>
      <c r="X435">
        <f t="shared" si="105"/>
        <v>626.98635000000002</v>
      </c>
      <c r="Y435">
        <f t="shared" si="106"/>
        <v>119.26440000000004</v>
      </c>
      <c r="Z435">
        <f t="shared" si="107"/>
        <v>287.66310738750008</v>
      </c>
      <c r="AA435">
        <f t="shared" si="108"/>
        <v>65.005177500000016</v>
      </c>
      <c r="AB435">
        <f t="shared" si="109"/>
        <v>96.331249912499999</v>
      </c>
      <c r="AC435">
        <f t="shared" si="110"/>
        <v>346.09646520000001</v>
      </c>
      <c r="AD435">
        <f>LOOKUP($A435,'Over to underbark'!$A$47:$A$48,'Over to underbark'!E$47:E$48)*Z435</f>
        <v>120.81850510275002</v>
      </c>
      <c r="AE435">
        <f>LOOKUP($A435,'Over to underbark'!$A$47:$A$48,'Over to underbark'!E$47:E$48)*AA435</f>
        <v>27.302174550000007</v>
      </c>
      <c r="AF435">
        <f>LOOKUP($A435,'Over to underbark'!$A$47:$A$48,'Over to underbark'!E$47:E$48)*AB435</f>
        <v>40.459124963249998</v>
      </c>
      <c r="AG435">
        <f>LOOKUP($A435,'Over to underbark'!$A$47:$A$48,'Over to underbark'!E$47:E$48)*AC435</f>
        <v>145.360515384</v>
      </c>
      <c r="AH435" t="b">
        <f t="shared" si="111"/>
        <v>1</v>
      </c>
      <c r="AI435" t="b">
        <f t="shared" si="112"/>
        <v>1</v>
      </c>
      <c r="AJ435">
        <f>LOOKUP(A435,'Over to underbark'!$A$47:$A$48,'Over to underbark'!E$47:E$48)*M435</f>
        <v>371.04480000000001</v>
      </c>
      <c r="AK435" s="22">
        <f>LOOKUP(A435,'Over to underbark'!$A$47:$A$48,'Over to underbark'!$B$47:$B$48)*AJ435</f>
        <v>126.15523200000001</v>
      </c>
      <c r="AL435" s="22">
        <f>LOOKUP(A435,'Over to underbark'!$A$47:$A$48,'Over to underbark'!C$47:C$48)*AJ435</f>
        <v>129.86568</v>
      </c>
      <c r="AM435" s="22">
        <f t="shared" si="113"/>
        <v>497.20003200000002</v>
      </c>
      <c r="AN435" s="36">
        <v>1184.5999999999999</v>
      </c>
      <c r="AO435" s="23">
        <f t="shared" si="114"/>
        <v>994.40006400000004</v>
      </c>
      <c r="AQ435">
        <f t="shared" si="101"/>
        <v>0.67164179104477617</v>
      </c>
    </row>
    <row r="436" spans="1:43" x14ac:dyDescent="0.35">
      <c r="A436" t="s">
        <v>41</v>
      </c>
      <c r="B436">
        <v>14</v>
      </c>
      <c r="C436">
        <v>2</v>
      </c>
      <c r="D436" t="s">
        <v>42</v>
      </c>
      <c r="E436">
        <v>2</v>
      </c>
      <c r="F436">
        <v>1</v>
      </c>
      <c r="G436" s="30">
        <v>75</v>
      </c>
      <c r="H436" s="30">
        <v>27.853999999999999</v>
      </c>
      <c r="I436" s="30">
        <v>700</v>
      </c>
      <c r="J436" s="30">
        <v>37.822000000000003</v>
      </c>
      <c r="K436" s="30">
        <v>78.677999999999997</v>
      </c>
      <c r="L436" s="30">
        <v>1.2769999999999999</v>
      </c>
      <c r="M436" s="32">
        <v>894.06</v>
      </c>
      <c r="N436" s="30">
        <v>11.661</v>
      </c>
      <c r="O436" s="29">
        <v>11.920999999999999</v>
      </c>
      <c r="P436" s="31">
        <v>75</v>
      </c>
      <c r="Q436" s="31">
        <v>37.822000000000003</v>
      </c>
      <c r="R436" s="31">
        <v>62.258000000000003</v>
      </c>
      <c r="S436" s="31">
        <v>831.80200000000002</v>
      </c>
      <c r="T436" s="10" t="b">
        <f t="shared" si="102"/>
        <v>1</v>
      </c>
      <c r="U436" s="10" t="b">
        <f t="shared" si="103"/>
        <v>1</v>
      </c>
      <c r="V436" s="11">
        <f>VLOOKUP(IF(J436&lt;10, 10, IF(J436&gt;50,50,J436)),'Over to underbark'!$A$3:$C$43,IF(A436="Scots pine",3,IF(A436="Sitka spruce",2, "error")),TRUE)/100</f>
        <v>0.85</v>
      </c>
      <c r="W436">
        <f t="shared" si="104"/>
        <v>47.627369999999999</v>
      </c>
      <c r="X436">
        <f t="shared" si="105"/>
        <v>636.32853</v>
      </c>
      <c r="Y436">
        <f t="shared" si="106"/>
        <v>120.69810000000004</v>
      </c>
      <c r="Z436">
        <f t="shared" si="107"/>
        <v>290.7613219095</v>
      </c>
      <c r="AA436">
        <f t="shared" si="108"/>
        <v>65.588060700000014</v>
      </c>
      <c r="AB436">
        <f t="shared" si="109"/>
        <v>97.051268830499993</v>
      </c>
      <c r="AC436">
        <f t="shared" si="110"/>
        <v>351.25334856000001</v>
      </c>
      <c r="AD436">
        <f>LOOKUP($A436,'Over to underbark'!$A$47:$A$48,'Over to underbark'!E$47:E$48)*Z436</f>
        <v>122.11975520198999</v>
      </c>
      <c r="AE436">
        <f>LOOKUP($A436,'Over to underbark'!$A$47:$A$48,'Over to underbark'!E$47:E$48)*AA436</f>
        <v>27.546985494000005</v>
      </c>
      <c r="AF436">
        <f>LOOKUP($A436,'Over to underbark'!$A$47:$A$48,'Over to underbark'!E$47:E$48)*AB436</f>
        <v>40.761532908809997</v>
      </c>
      <c r="AG436">
        <f>LOOKUP($A436,'Over to underbark'!$A$47:$A$48,'Over to underbark'!E$47:E$48)*AC436</f>
        <v>147.52640639519998</v>
      </c>
      <c r="AH436" t="b">
        <f t="shared" si="111"/>
        <v>1</v>
      </c>
      <c r="AI436" t="b">
        <f t="shared" si="112"/>
        <v>1</v>
      </c>
      <c r="AJ436">
        <f>LOOKUP(A436,'Over to underbark'!$A$47:$A$48,'Over to underbark'!E$47:E$48)*M436</f>
        <v>375.50519999999995</v>
      </c>
      <c r="AK436" s="22">
        <f>LOOKUP(A436,'Over to underbark'!$A$47:$A$48,'Over to underbark'!$B$47:$B$48)*AJ436</f>
        <v>127.67176799999999</v>
      </c>
      <c r="AL436" s="22">
        <f>LOOKUP(A436,'Over to underbark'!$A$47:$A$48,'Over to underbark'!C$47:C$48)*AJ436</f>
        <v>131.42681999999996</v>
      </c>
      <c r="AM436" s="22">
        <f t="shared" si="113"/>
        <v>503.17696799999993</v>
      </c>
      <c r="AN436" s="36">
        <v>1185.5999999999999</v>
      </c>
      <c r="AO436" s="23">
        <f t="shared" si="114"/>
        <v>1006.3539359999999</v>
      </c>
      <c r="AQ436">
        <f t="shared" si="101"/>
        <v>0.67164179104477606</v>
      </c>
    </row>
    <row r="437" spans="1:43" x14ac:dyDescent="0.35">
      <c r="A437" t="s">
        <v>41</v>
      </c>
      <c r="B437">
        <v>14</v>
      </c>
      <c r="C437">
        <v>2</v>
      </c>
      <c r="D437" t="s">
        <v>42</v>
      </c>
      <c r="E437">
        <v>2</v>
      </c>
      <c r="F437">
        <v>1</v>
      </c>
      <c r="G437" s="30">
        <v>76</v>
      </c>
      <c r="H437" s="30">
        <v>28.021999999999998</v>
      </c>
      <c r="I437" s="30">
        <v>694</v>
      </c>
      <c r="J437" s="30">
        <v>38.115000000000002</v>
      </c>
      <c r="K437" s="30">
        <v>79.233999999999995</v>
      </c>
      <c r="L437" s="30">
        <v>1.3029999999999999</v>
      </c>
      <c r="M437" s="32">
        <v>904.68</v>
      </c>
      <c r="N437" s="30">
        <v>11.647</v>
      </c>
      <c r="O437" s="29">
        <v>11.904</v>
      </c>
      <c r="P437" s="31">
        <v>76</v>
      </c>
      <c r="Q437" s="31">
        <v>38.115000000000002</v>
      </c>
      <c r="R437" s="31">
        <v>60.670999999999999</v>
      </c>
      <c r="S437" s="31">
        <v>844.00900000000001</v>
      </c>
      <c r="T437" s="10" t="b">
        <f t="shared" si="102"/>
        <v>1</v>
      </c>
      <c r="U437" s="10" t="b">
        <f t="shared" si="103"/>
        <v>1</v>
      </c>
      <c r="V437" s="11">
        <f>VLOOKUP(IF(J437&lt;10, 10, IF(J437&gt;50,50,J437)),'Over to underbark'!$A$3:$C$43,IF(A437="Scots pine",3,IF(A437="Sitka spruce",2, "error")),TRUE)/100</f>
        <v>0.85</v>
      </c>
      <c r="W437">
        <f t="shared" si="104"/>
        <v>46.413315000000004</v>
      </c>
      <c r="X437">
        <f t="shared" si="105"/>
        <v>645.66688499999998</v>
      </c>
      <c r="Y437">
        <f t="shared" si="106"/>
        <v>122.13180000000003</v>
      </c>
      <c r="Z437">
        <f t="shared" si="107"/>
        <v>293.86029894525001</v>
      </c>
      <c r="AA437">
        <f t="shared" si="108"/>
        <v>66.171364650000015</v>
      </c>
      <c r="AB437">
        <f t="shared" si="109"/>
        <v>97.772215884749997</v>
      </c>
      <c r="AC437">
        <f t="shared" si="110"/>
        <v>356.40812052000001</v>
      </c>
      <c r="AD437">
        <f>LOOKUP($A437,'Over to underbark'!$A$47:$A$48,'Over to underbark'!E$47:E$48)*Z437</f>
        <v>123.42132555700501</v>
      </c>
      <c r="AE437">
        <f>LOOKUP($A437,'Over to underbark'!$A$47:$A$48,'Over to underbark'!E$47:E$48)*AA437</f>
        <v>27.791973153000004</v>
      </c>
      <c r="AF437">
        <f>LOOKUP($A437,'Over to underbark'!$A$47:$A$48,'Over to underbark'!E$47:E$48)*AB437</f>
        <v>41.064330671594995</v>
      </c>
      <c r="AG437">
        <f>LOOKUP($A437,'Over to underbark'!$A$47:$A$48,'Over to underbark'!E$47:E$48)*AC437</f>
        <v>149.6914106184</v>
      </c>
      <c r="AH437" t="b">
        <f t="shared" si="111"/>
        <v>1</v>
      </c>
      <c r="AI437" t="b">
        <f t="shared" si="112"/>
        <v>1</v>
      </c>
      <c r="AJ437">
        <f>LOOKUP(A437,'Over to underbark'!$A$47:$A$48,'Over to underbark'!E$47:E$48)*M437</f>
        <v>379.96559999999994</v>
      </c>
      <c r="AK437" s="22">
        <f>LOOKUP(A437,'Over to underbark'!$A$47:$A$48,'Over to underbark'!$B$47:$B$48)*AJ437</f>
        <v>129.18830399999999</v>
      </c>
      <c r="AL437" s="22">
        <f>LOOKUP(A437,'Over to underbark'!$A$47:$A$48,'Over to underbark'!C$47:C$48)*AJ437</f>
        <v>132.98795999999996</v>
      </c>
      <c r="AM437" s="22">
        <f t="shared" si="113"/>
        <v>509.1539039999999</v>
      </c>
      <c r="AN437" s="36">
        <v>1186.5999999999999</v>
      </c>
      <c r="AO437" s="23">
        <f t="shared" si="114"/>
        <v>1018.3078079999998</v>
      </c>
      <c r="AQ437">
        <f t="shared" si="101"/>
        <v>0.67164179104477628</v>
      </c>
    </row>
    <row r="438" spans="1:43" x14ac:dyDescent="0.35">
      <c r="A438" t="s">
        <v>41</v>
      </c>
      <c r="B438">
        <v>14</v>
      </c>
      <c r="C438">
        <v>2</v>
      </c>
      <c r="D438" t="s">
        <v>42</v>
      </c>
      <c r="E438">
        <v>2</v>
      </c>
      <c r="F438">
        <v>1</v>
      </c>
      <c r="G438" s="30">
        <v>77</v>
      </c>
      <c r="H438" s="30">
        <v>28.19</v>
      </c>
      <c r="I438" s="30">
        <v>689</v>
      </c>
      <c r="J438" s="30">
        <v>38.409999999999997</v>
      </c>
      <c r="K438" s="30">
        <v>79.789000000000001</v>
      </c>
      <c r="L438" s="30">
        <v>1.329</v>
      </c>
      <c r="M438" s="32">
        <v>915.3</v>
      </c>
      <c r="N438" s="30">
        <v>11.634</v>
      </c>
      <c r="O438" s="29">
        <v>11.887</v>
      </c>
      <c r="P438" s="31">
        <v>77</v>
      </c>
      <c r="Q438" s="31">
        <v>38.409999999999997</v>
      </c>
      <c r="R438" s="31">
        <v>59.097999999999999</v>
      </c>
      <c r="S438" s="31">
        <v>856.202</v>
      </c>
      <c r="T438" s="10" t="b">
        <f t="shared" si="102"/>
        <v>1</v>
      </c>
      <c r="U438" s="10" t="b">
        <f t="shared" si="103"/>
        <v>1</v>
      </c>
      <c r="V438" s="11">
        <f>VLOOKUP(IF(J438&lt;10, 10, IF(J438&gt;50,50,J438)),'Over to underbark'!$A$3:$C$43,IF(A438="Scots pine",3,IF(A438="Sitka spruce",2, "error")),TRUE)/100</f>
        <v>0.85</v>
      </c>
      <c r="W438">
        <f t="shared" si="104"/>
        <v>45.209969999999998</v>
      </c>
      <c r="X438">
        <f t="shared" si="105"/>
        <v>654.99453000000005</v>
      </c>
      <c r="Y438">
        <f t="shared" si="106"/>
        <v>123.56550000000001</v>
      </c>
      <c r="Z438">
        <f t="shared" si="107"/>
        <v>296.96141101950002</v>
      </c>
      <c r="AA438">
        <f t="shared" si="108"/>
        <v>66.755846700000006</v>
      </c>
      <c r="AB438">
        <f t="shared" si="109"/>
        <v>98.495761720500013</v>
      </c>
      <c r="AC438">
        <f t="shared" si="110"/>
        <v>361.55698056000006</v>
      </c>
      <c r="AD438">
        <f>LOOKUP($A438,'Over to underbark'!$A$47:$A$48,'Over to underbark'!E$47:E$48)*Z438</f>
        <v>124.72379262819</v>
      </c>
      <c r="AE438">
        <f>LOOKUP($A438,'Over to underbark'!$A$47:$A$48,'Over to underbark'!E$47:E$48)*AA438</f>
        <v>28.037455614000002</v>
      </c>
      <c r="AF438">
        <f>LOOKUP($A438,'Over to underbark'!$A$47:$A$48,'Over to underbark'!E$47:E$48)*AB438</f>
        <v>41.368219922610002</v>
      </c>
      <c r="AG438">
        <f>LOOKUP($A438,'Over to underbark'!$A$47:$A$48,'Over to underbark'!E$47:E$48)*AC438</f>
        <v>151.85393183520003</v>
      </c>
      <c r="AH438" t="b">
        <f t="shared" si="111"/>
        <v>1</v>
      </c>
      <c r="AI438" t="b">
        <f t="shared" si="112"/>
        <v>1</v>
      </c>
      <c r="AJ438">
        <f>LOOKUP(A438,'Over to underbark'!$A$47:$A$48,'Over to underbark'!E$47:E$48)*M438</f>
        <v>384.42599999999999</v>
      </c>
      <c r="AK438" s="22">
        <f>LOOKUP(A438,'Over to underbark'!$A$47:$A$48,'Over to underbark'!$B$47:$B$48)*AJ438</f>
        <v>130.70484000000002</v>
      </c>
      <c r="AL438" s="22">
        <f>LOOKUP(A438,'Over to underbark'!$A$47:$A$48,'Over to underbark'!C$47:C$48)*AJ438</f>
        <v>134.54909999999998</v>
      </c>
      <c r="AM438" s="22">
        <f t="shared" si="113"/>
        <v>515.13084000000003</v>
      </c>
      <c r="AN438" s="36">
        <v>1187.5999999999999</v>
      </c>
      <c r="AO438" s="23">
        <f t="shared" si="114"/>
        <v>1030.2616800000001</v>
      </c>
      <c r="AQ438">
        <f t="shared" si="101"/>
        <v>0.67164179104477606</v>
      </c>
    </row>
    <row r="439" spans="1:43" x14ac:dyDescent="0.35">
      <c r="A439" t="s">
        <v>41</v>
      </c>
      <c r="B439">
        <v>14</v>
      </c>
      <c r="C439">
        <v>2</v>
      </c>
      <c r="D439" t="s">
        <v>42</v>
      </c>
      <c r="E439">
        <v>2</v>
      </c>
      <c r="F439">
        <v>1</v>
      </c>
      <c r="G439" s="30">
        <v>78</v>
      </c>
      <c r="H439" s="30">
        <v>28.34</v>
      </c>
      <c r="I439" s="30">
        <v>684</v>
      </c>
      <c r="J439" s="30">
        <v>38.665999999999997</v>
      </c>
      <c r="K439" s="30">
        <v>80.286000000000001</v>
      </c>
      <c r="L439" s="30">
        <v>1.353</v>
      </c>
      <c r="M439" s="32">
        <v>924.88</v>
      </c>
      <c r="N439" s="30">
        <v>11.622999999999999</v>
      </c>
      <c r="O439" s="29">
        <v>11.856999999999999</v>
      </c>
      <c r="P439" s="31">
        <v>78</v>
      </c>
      <c r="Q439" s="31">
        <v>38.665999999999997</v>
      </c>
      <c r="R439" s="31">
        <v>57.781999999999996</v>
      </c>
      <c r="S439" s="31">
        <v>867.09799999999996</v>
      </c>
      <c r="T439" s="10" t="b">
        <f t="shared" si="102"/>
        <v>1</v>
      </c>
      <c r="U439" s="10" t="b">
        <f t="shared" si="103"/>
        <v>1</v>
      </c>
      <c r="V439" s="11">
        <f>VLOOKUP(IF(J439&lt;10, 10, IF(J439&gt;50,50,J439)),'Over to underbark'!$A$3:$C$43,IF(A439="Scots pine",3,IF(A439="Sitka spruce",2, "error")),TRUE)/100</f>
        <v>0.85</v>
      </c>
      <c r="W439">
        <f t="shared" si="104"/>
        <v>44.203229999999998</v>
      </c>
      <c r="X439">
        <f t="shared" si="105"/>
        <v>663.32997</v>
      </c>
      <c r="Y439">
        <f t="shared" si="106"/>
        <v>124.85880000000003</v>
      </c>
      <c r="Z439">
        <f t="shared" si="107"/>
        <v>299.7745375005</v>
      </c>
      <c r="AA439">
        <f t="shared" si="108"/>
        <v>67.29175530000002</v>
      </c>
      <c r="AB439">
        <f t="shared" si="109"/>
        <v>99.167563759499998</v>
      </c>
      <c r="AC439">
        <f t="shared" si="110"/>
        <v>366.15814344</v>
      </c>
      <c r="AD439">
        <f>LOOKUP($A439,'Over to underbark'!$A$47:$A$48,'Over to underbark'!E$47:E$48)*Z439</f>
        <v>125.90530575020999</v>
      </c>
      <c r="AE439">
        <f>LOOKUP($A439,'Over to underbark'!$A$47:$A$48,'Over to underbark'!E$47:E$48)*AA439</f>
        <v>28.262537226000006</v>
      </c>
      <c r="AF439">
        <f>LOOKUP($A439,'Over to underbark'!$A$47:$A$48,'Over to underbark'!E$47:E$48)*AB439</f>
        <v>41.650376778990001</v>
      </c>
      <c r="AG439">
        <f>LOOKUP($A439,'Over to underbark'!$A$47:$A$48,'Over to underbark'!E$47:E$48)*AC439</f>
        <v>153.78642024479998</v>
      </c>
      <c r="AH439" t="b">
        <f t="shared" si="111"/>
        <v>1</v>
      </c>
      <c r="AI439" t="b">
        <f t="shared" si="112"/>
        <v>1</v>
      </c>
      <c r="AJ439">
        <f>LOOKUP(A439,'Over to underbark'!$A$47:$A$48,'Over to underbark'!E$47:E$48)*M439</f>
        <v>388.44959999999998</v>
      </c>
      <c r="AK439" s="22">
        <f>LOOKUP(A439,'Over to underbark'!$A$47:$A$48,'Over to underbark'!$B$47:$B$48)*AJ439</f>
        <v>132.07286400000001</v>
      </c>
      <c r="AL439" s="22">
        <f>LOOKUP(A439,'Over to underbark'!$A$47:$A$48,'Over to underbark'!C$47:C$48)*AJ439</f>
        <v>135.95735999999999</v>
      </c>
      <c r="AM439" s="22">
        <f t="shared" si="113"/>
        <v>520.52246400000001</v>
      </c>
      <c r="AN439" s="36">
        <v>1188.5999999999999</v>
      </c>
      <c r="AO439" s="23">
        <f t="shared" si="114"/>
        <v>1041.044928</v>
      </c>
      <c r="AQ439">
        <f t="shared" si="101"/>
        <v>0.67164179104477617</v>
      </c>
    </row>
    <row r="440" spans="1:43" x14ac:dyDescent="0.35">
      <c r="A440" t="s">
        <v>41</v>
      </c>
      <c r="B440">
        <v>14</v>
      </c>
      <c r="C440">
        <v>2</v>
      </c>
      <c r="D440" t="s">
        <v>42</v>
      </c>
      <c r="E440">
        <v>2</v>
      </c>
      <c r="F440">
        <v>1</v>
      </c>
      <c r="G440" s="30">
        <v>79</v>
      </c>
      <c r="H440" s="30">
        <v>28.49</v>
      </c>
      <c r="I440" s="30">
        <v>679</v>
      </c>
      <c r="J440" s="30">
        <v>38.923999999999999</v>
      </c>
      <c r="K440" s="30">
        <v>80.783000000000001</v>
      </c>
      <c r="L440" s="30">
        <v>1.3759999999999999</v>
      </c>
      <c r="M440" s="32">
        <v>934.46</v>
      </c>
      <c r="N440" s="30">
        <v>11.613</v>
      </c>
      <c r="O440" s="29">
        <v>11.829000000000001</v>
      </c>
      <c r="P440" s="31">
        <v>79</v>
      </c>
      <c r="Q440" s="31">
        <v>38.923999999999999</v>
      </c>
      <c r="R440" s="31">
        <v>56.472000000000001</v>
      </c>
      <c r="S440" s="31">
        <v>877.98800000000006</v>
      </c>
      <c r="T440" s="10" t="b">
        <f t="shared" si="102"/>
        <v>1</v>
      </c>
      <c r="U440" s="10" t="b">
        <f t="shared" si="103"/>
        <v>1</v>
      </c>
      <c r="V440" s="11">
        <f>VLOOKUP(IF(J440&lt;10, 10, IF(J440&gt;50,50,J440)),'Over to underbark'!$A$3:$C$43,IF(A440="Scots pine",3,IF(A440="Sitka spruce",2, "error")),TRUE)/100</f>
        <v>0.85</v>
      </c>
      <c r="W440">
        <f t="shared" si="104"/>
        <v>43.201080000000005</v>
      </c>
      <c r="X440">
        <f t="shared" si="105"/>
        <v>671.66082000000006</v>
      </c>
      <c r="Y440">
        <f t="shared" si="106"/>
        <v>126.15210000000002</v>
      </c>
      <c r="Z440">
        <f t="shared" si="107"/>
        <v>302.588578998</v>
      </c>
      <c r="AA440">
        <f t="shared" si="108"/>
        <v>67.828168800000014</v>
      </c>
      <c r="AB440">
        <f t="shared" si="109"/>
        <v>99.840479562000013</v>
      </c>
      <c r="AC440">
        <f t="shared" si="110"/>
        <v>370.75677264000007</v>
      </c>
      <c r="AD440">
        <f>LOOKUP($A440,'Over to underbark'!$A$47:$A$48,'Over to underbark'!E$47:E$48)*Z440</f>
        <v>127.08720317916</v>
      </c>
      <c r="AE440">
        <f>LOOKUP($A440,'Over to underbark'!$A$47:$A$48,'Over to underbark'!E$47:E$48)*AA440</f>
        <v>28.487830896000006</v>
      </c>
      <c r="AF440">
        <f>LOOKUP($A440,'Over to underbark'!$A$47:$A$48,'Over to underbark'!E$47:E$48)*AB440</f>
        <v>41.933001416040007</v>
      </c>
      <c r="AG440">
        <f>LOOKUP($A440,'Over to underbark'!$A$47:$A$48,'Over to underbark'!E$47:E$48)*AC440</f>
        <v>155.71784450880003</v>
      </c>
      <c r="AH440" t="b">
        <f t="shared" si="111"/>
        <v>1</v>
      </c>
      <c r="AI440" t="b">
        <f t="shared" si="112"/>
        <v>1</v>
      </c>
      <c r="AJ440">
        <f>LOOKUP(A440,'Over to underbark'!$A$47:$A$48,'Over to underbark'!E$47:E$48)*M440</f>
        <v>392.47320000000002</v>
      </c>
      <c r="AK440" s="22">
        <f>LOOKUP(A440,'Over to underbark'!$A$47:$A$48,'Over to underbark'!$B$47:$B$48)*AJ440</f>
        <v>133.44088800000003</v>
      </c>
      <c r="AL440" s="22">
        <f>LOOKUP(A440,'Over to underbark'!$A$47:$A$48,'Over to underbark'!C$47:C$48)*AJ440</f>
        <v>137.36562000000001</v>
      </c>
      <c r="AM440" s="22">
        <f t="shared" si="113"/>
        <v>525.91408799999999</v>
      </c>
      <c r="AN440" s="36">
        <v>1189.5999999999999</v>
      </c>
      <c r="AO440" s="23">
        <f t="shared" si="114"/>
        <v>1051.828176</v>
      </c>
      <c r="AQ440">
        <f t="shared" si="101"/>
        <v>0.67164179104477628</v>
      </c>
    </row>
    <row r="441" spans="1:43" x14ac:dyDescent="0.35">
      <c r="A441" t="s">
        <v>41</v>
      </c>
      <c r="B441">
        <v>14</v>
      </c>
      <c r="C441">
        <v>2</v>
      </c>
      <c r="D441" t="s">
        <v>42</v>
      </c>
      <c r="E441">
        <v>2</v>
      </c>
      <c r="F441">
        <v>1</v>
      </c>
      <c r="G441" s="30">
        <v>80</v>
      </c>
      <c r="H441" s="30">
        <v>28.64</v>
      </c>
      <c r="I441" s="30">
        <v>674</v>
      </c>
      <c r="J441" s="30">
        <v>39.183999999999997</v>
      </c>
      <c r="K441" s="30">
        <v>81.278999999999996</v>
      </c>
      <c r="L441" s="30">
        <v>1.401</v>
      </c>
      <c r="M441" s="32">
        <v>944.04</v>
      </c>
      <c r="N441" s="30">
        <v>11.603</v>
      </c>
      <c r="O441" s="29">
        <v>11.8</v>
      </c>
      <c r="P441" s="31">
        <v>80</v>
      </c>
      <c r="Q441" s="31">
        <v>39.183999999999997</v>
      </c>
      <c r="R441" s="31">
        <v>55.17</v>
      </c>
      <c r="S441" s="31">
        <v>888.87</v>
      </c>
      <c r="T441" s="10" t="b">
        <f t="shared" si="102"/>
        <v>1</v>
      </c>
      <c r="U441" s="10" t="b">
        <f t="shared" si="103"/>
        <v>1</v>
      </c>
      <c r="V441" s="11">
        <f>VLOOKUP(IF(J441&lt;10, 10, IF(J441&gt;50,50,J441)),'Over to underbark'!$A$3:$C$43,IF(A441="Scots pine",3,IF(A441="Sitka spruce",2, "error")),TRUE)/100</f>
        <v>0.85</v>
      </c>
      <c r="W441">
        <f t="shared" si="104"/>
        <v>42.205050000000007</v>
      </c>
      <c r="X441">
        <f t="shared" si="105"/>
        <v>679.98554999999999</v>
      </c>
      <c r="Y441">
        <f t="shared" si="106"/>
        <v>127.44540000000002</v>
      </c>
      <c r="Z441">
        <f t="shared" si="107"/>
        <v>305.40384051750004</v>
      </c>
      <c r="AA441">
        <f t="shared" si="108"/>
        <v>68.365255500000018</v>
      </c>
      <c r="AB441">
        <f t="shared" si="109"/>
        <v>100.5148803825</v>
      </c>
      <c r="AC441">
        <f t="shared" si="110"/>
        <v>375.3520236</v>
      </c>
      <c r="AD441">
        <f>LOOKUP($A441,'Over to underbark'!$A$47:$A$48,'Over to underbark'!E$47:E$48)*Z441</f>
        <v>128.26961301735003</v>
      </c>
      <c r="AE441">
        <f>LOOKUP($A441,'Over to underbark'!$A$47:$A$48,'Over to underbark'!E$47:E$48)*AA441</f>
        <v>28.713407310000008</v>
      </c>
      <c r="AF441">
        <f>LOOKUP($A441,'Over to underbark'!$A$47:$A$48,'Over to underbark'!E$47:E$48)*AB441</f>
        <v>42.216249760649994</v>
      </c>
      <c r="AG441">
        <f>LOOKUP($A441,'Over to underbark'!$A$47:$A$48,'Over to underbark'!E$47:E$48)*AC441</f>
        <v>157.647849912</v>
      </c>
      <c r="AH441" t="b">
        <f t="shared" si="111"/>
        <v>1</v>
      </c>
      <c r="AI441" t="b">
        <f t="shared" si="112"/>
        <v>1</v>
      </c>
      <c r="AJ441">
        <f>LOOKUP(A441,'Over to underbark'!$A$47:$A$48,'Over to underbark'!E$47:E$48)*M441</f>
        <v>396.49679999999995</v>
      </c>
      <c r="AK441" s="22">
        <f>LOOKUP(A441,'Over to underbark'!$A$47:$A$48,'Over to underbark'!$B$47:$B$48)*AJ441</f>
        <v>134.80891199999999</v>
      </c>
      <c r="AL441" s="22">
        <f>LOOKUP(A441,'Over to underbark'!$A$47:$A$48,'Over to underbark'!C$47:C$48)*AJ441</f>
        <v>138.77387999999996</v>
      </c>
      <c r="AM441" s="22">
        <f t="shared" si="113"/>
        <v>531.30571199999997</v>
      </c>
      <c r="AN441" s="36">
        <v>1190.5999999999999</v>
      </c>
      <c r="AO441" s="23">
        <f t="shared" si="114"/>
        <v>1062.6114239999999</v>
      </c>
      <c r="AQ441">
        <f t="shared" si="101"/>
        <v>0.67164179104477617</v>
      </c>
    </row>
    <row r="442" spans="1:43" x14ac:dyDescent="0.35">
      <c r="A442" t="s">
        <v>41</v>
      </c>
      <c r="B442">
        <v>14</v>
      </c>
      <c r="C442">
        <v>2</v>
      </c>
      <c r="D442" t="s">
        <v>42</v>
      </c>
      <c r="E442">
        <v>2</v>
      </c>
      <c r="F442">
        <v>1</v>
      </c>
      <c r="G442" s="30">
        <v>81</v>
      </c>
      <c r="H442" s="30">
        <v>28.79</v>
      </c>
      <c r="I442" s="30">
        <v>669</v>
      </c>
      <c r="J442" s="30">
        <v>39.445999999999998</v>
      </c>
      <c r="K442" s="30">
        <v>81.775999999999996</v>
      </c>
      <c r="L442" s="30">
        <v>1.425</v>
      </c>
      <c r="M442" s="32">
        <v>953.62</v>
      </c>
      <c r="N442" s="30">
        <v>11.593999999999999</v>
      </c>
      <c r="O442" s="29">
        <v>11.773</v>
      </c>
      <c r="P442" s="31">
        <v>81</v>
      </c>
      <c r="Q442" s="31">
        <v>39.445999999999998</v>
      </c>
      <c r="R442" s="31">
        <v>53.878</v>
      </c>
      <c r="S442" s="31">
        <v>899.74199999999996</v>
      </c>
      <c r="T442" s="10" t="b">
        <f t="shared" si="102"/>
        <v>1</v>
      </c>
      <c r="U442" s="10" t="b">
        <f t="shared" si="103"/>
        <v>1</v>
      </c>
      <c r="V442" s="11">
        <f>VLOOKUP(IF(J442&lt;10, 10, IF(J442&gt;50,50,J442)),'Over to underbark'!$A$3:$C$43,IF(A442="Scots pine",3,IF(A442="Sitka spruce",2, "error")),TRUE)/100</f>
        <v>0.85</v>
      </c>
      <c r="W442">
        <f t="shared" si="104"/>
        <v>41.216670000000001</v>
      </c>
      <c r="X442">
        <f t="shared" si="105"/>
        <v>688.30262999999991</v>
      </c>
      <c r="Y442">
        <f t="shared" si="106"/>
        <v>128.73870000000002</v>
      </c>
      <c r="Z442">
        <f t="shared" si="107"/>
        <v>308.22062706449998</v>
      </c>
      <c r="AA442">
        <f t="shared" si="108"/>
        <v>68.903183700000014</v>
      </c>
      <c r="AB442">
        <f t="shared" si="109"/>
        <v>101.19113747549999</v>
      </c>
      <c r="AC442">
        <f t="shared" si="110"/>
        <v>379.94305176</v>
      </c>
      <c r="AD442">
        <f>LOOKUP($A442,'Over to underbark'!$A$47:$A$48,'Over to underbark'!E$47:E$48)*Z442</f>
        <v>129.45266336709</v>
      </c>
      <c r="AE442">
        <f>LOOKUP($A442,'Over to underbark'!$A$47:$A$48,'Over to underbark'!E$47:E$48)*AA442</f>
        <v>28.939337154000004</v>
      </c>
      <c r="AF442">
        <f>LOOKUP($A442,'Over to underbark'!$A$47:$A$48,'Over to underbark'!E$47:E$48)*AB442</f>
        <v>42.500277739709993</v>
      </c>
      <c r="AG442">
        <f>LOOKUP($A442,'Over to underbark'!$A$47:$A$48,'Over to underbark'!E$47:E$48)*AC442</f>
        <v>159.57608173919999</v>
      </c>
      <c r="AH442" t="b">
        <f t="shared" si="111"/>
        <v>1</v>
      </c>
      <c r="AI442" t="b">
        <f t="shared" si="112"/>
        <v>1</v>
      </c>
      <c r="AJ442">
        <f>LOOKUP(A442,'Over to underbark'!$A$47:$A$48,'Over to underbark'!E$47:E$48)*M442</f>
        <v>400.5204</v>
      </c>
      <c r="AK442" s="22">
        <f>LOOKUP(A442,'Over to underbark'!$A$47:$A$48,'Over to underbark'!$B$47:$B$48)*AJ442</f>
        <v>136.17693600000001</v>
      </c>
      <c r="AL442" s="22">
        <f>LOOKUP(A442,'Over to underbark'!$A$47:$A$48,'Over to underbark'!C$47:C$48)*AJ442</f>
        <v>140.18213999999998</v>
      </c>
      <c r="AM442" s="22">
        <f t="shared" si="113"/>
        <v>536.69733599999995</v>
      </c>
      <c r="AN442" s="36">
        <v>1191.5999999999999</v>
      </c>
      <c r="AO442" s="23">
        <f t="shared" si="114"/>
        <v>1073.3946719999999</v>
      </c>
      <c r="AQ442">
        <f t="shared" si="101"/>
        <v>0.67164179104477606</v>
      </c>
    </row>
    <row r="443" spans="1:43" x14ac:dyDescent="0.35">
      <c r="A443" t="s">
        <v>41</v>
      </c>
      <c r="B443">
        <v>14</v>
      </c>
      <c r="C443">
        <v>2</v>
      </c>
      <c r="D443" t="s">
        <v>42</v>
      </c>
      <c r="E443">
        <v>2</v>
      </c>
      <c r="F443">
        <v>1</v>
      </c>
      <c r="G443" s="30">
        <v>82</v>
      </c>
      <c r="H443" s="30">
        <v>28.94</v>
      </c>
      <c r="I443" s="30">
        <v>664</v>
      </c>
      <c r="J443" s="30">
        <v>39.71</v>
      </c>
      <c r="K443" s="30">
        <v>82.272000000000006</v>
      </c>
      <c r="L443" s="30">
        <v>1.45</v>
      </c>
      <c r="M443" s="32">
        <v>963.2</v>
      </c>
      <c r="N443" s="30">
        <v>11.584</v>
      </c>
      <c r="O443" s="29">
        <v>11.746</v>
      </c>
      <c r="P443" s="31">
        <v>82</v>
      </c>
      <c r="Q443" s="31">
        <v>39.71</v>
      </c>
      <c r="R443" s="31">
        <v>52.594999999999999</v>
      </c>
      <c r="S443" s="31">
        <v>910.60500000000002</v>
      </c>
      <c r="T443" s="10" t="b">
        <f t="shared" si="102"/>
        <v>1</v>
      </c>
      <c r="U443" s="10" t="b">
        <f t="shared" si="103"/>
        <v>1</v>
      </c>
      <c r="V443" s="11">
        <f>VLOOKUP(IF(J443&lt;10, 10, IF(J443&gt;50,50,J443)),'Over to underbark'!$A$3:$C$43,IF(A443="Scots pine",3,IF(A443="Sitka spruce",2, "error")),TRUE)/100</f>
        <v>0.85</v>
      </c>
      <c r="W443">
        <f t="shared" si="104"/>
        <v>40.235175000000005</v>
      </c>
      <c r="X443">
        <f t="shared" si="105"/>
        <v>696.61282500000004</v>
      </c>
      <c r="Y443">
        <f t="shared" si="106"/>
        <v>130.03200000000004</v>
      </c>
      <c r="Z443">
        <f t="shared" si="107"/>
        <v>311.03878613625005</v>
      </c>
      <c r="AA443">
        <f t="shared" si="108"/>
        <v>69.441869250000025</v>
      </c>
      <c r="AB443">
        <f t="shared" si="109"/>
        <v>101.86906521375001</v>
      </c>
      <c r="AC443">
        <f t="shared" si="110"/>
        <v>384.53027939999998</v>
      </c>
      <c r="AD443">
        <f>LOOKUP($A443,'Over to underbark'!$A$47:$A$48,'Over to underbark'!E$47:E$48)*Z443</f>
        <v>130.63629017722502</v>
      </c>
      <c r="AE443">
        <f>LOOKUP($A443,'Over to underbark'!$A$47:$A$48,'Over to underbark'!E$47:E$48)*AA443</f>
        <v>29.165585085000011</v>
      </c>
      <c r="AF443">
        <f>LOOKUP($A443,'Over to underbark'!$A$47:$A$48,'Over to underbark'!E$47:E$48)*AB443</f>
        <v>42.785007389775004</v>
      </c>
      <c r="AG443">
        <f>LOOKUP($A443,'Over to underbark'!$A$47:$A$48,'Over to underbark'!E$47:E$48)*AC443</f>
        <v>161.50271734799998</v>
      </c>
      <c r="AH443" t="b">
        <f t="shared" si="111"/>
        <v>1</v>
      </c>
      <c r="AI443" t="b">
        <f t="shared" si="112"/>
        <v>1</v>
      </c>
      <c r="AJ443">
        <f>LOOKUP(A443,'Over to underbark'!$A$47:$A$48,'Over to underbark'!E$47:E$48)*M443</f>
        <v>404.54399999999998</v>
      </c>
      <c r="AK443" s="22">
        <f>LOOKUP(A443,'Over to underbark'!$A$47:$A$48,'Over to underbark'!$B$47:$B$48)*AJ443</f>
        <v>137.54496</v>
      </c>
      <c r="AL443" s="22">
        <f>LOOKUP(A443,'Over to underbark'!$A$47:$A$48,'Over to underbark'!C$47:C$48)*AJ443</f>
        <v>141.59039999999999</v>
      </c>
      <c r="AM443" s="22">
        <f t="shared" si="113"/>
        <v>542.08896000000004</v>
      </c>
      <c r="AN443" s="36">
        <v>1192.5999999999999</v>
      </c>
      <c r="AO443" s="23">
        <f t="shared" si="114"/>
        <v>1084.1779200000001</v>
      </c>
      <c r="AQ443">
        <f t="shared" si="101"/>
        <v>0.67164179104477606</v>
      </c>
    </row>
    <row r="444" spans="1:43" x14ac:dyDescent="0.35">
      <c r="A444" t="s">
        <v>41</v>
      </c>
      <c r="B444">
        <v>14</v>
      </c>
      <c r="C444">
        <v>2</v>
      </c>
      <c r="D444" t="s">
        <v>42</v>
      </c>
      <c r="E444">
        <v>2</v>
      </c>
      <c r="F444">
        <v>1</v>
      </c>
      <c r="G444" s="30">
        <v>83</v>
      </c>
      <c r="H444" s="30">
        <v>29.071999999999999</v>
      </c>
      <c r="I444" s="30">
        <v>660</v>
      </c>
      <c r="J444" s="30">
        <v>39.936999999999998</v>
      </c>
      <c r="K444" s="30">
        <v>82.709000000000003</v>
      </c>
      <c r="L444" s="30">
        <v>1.472</v>
      </c>
      <c r="M444" s="32">
        <v>971.66</v>
      </c>
      <c r="N444" s="30">
        <v>11.577</v>
      </c>
      <c r="O444" s="29">
        <v>11.707000000000001</v>
      </c>
      <c r="P444" s="31">
        <v>83</v>
      </c>
      <c r="Q444" s="31">
        <v>39.936999999999998</v>
      </c>
      <c r="R444" s="31">
        <v>51.523000000000003</v>
      </c>
      <c r="S444" s="31">
        <v>920.13699999999994</v>
      </c>
      <c r="T444" s="10" t="b">
        <f t="shared" si="102"/>
        <v>1</v>
      </c>
      <c r="U444" s="10" t="b">
        <f t="shared" si="103"/>
        <v>1</v>
      </c>
      <c r="V444" s="11">
        <f>VLOOKUP(IF(J444&lt;10, 10, IF(J444&gt;50,50,J444)),'Over to underbark'!$A$3:$C$43,IF(A444="Scots pine",3,IF(A444="Sitka spruce",2, "error")),TRUE)/100</f>
        <v>0.85</v>
      </c>
      <c r="W444">
        <f t="shared" si="104"/>
        <v>39.415095000000008</v>
      </c>
      <c r="X444">
        <f t="shared" si="105"/>
        <v>703.90480500000001</v>
      </c>
      <c r="Y444">
        <f t="shared" si="106"/>
        <v>131.17410000000001</v>
      </c>
      <c r="Z444">
        <f t="shared" si="107"/>
        <v>313.53677688824996</v>
      </c>
      <c r="AA444">
        <f t="shared" si="108"/>
        <v>69.922710450000011</v>
      </c>
      <c r="AB444">
        <f t="shared" si="109"/>
        <v>102.47906030175</v>
      </c>
      <c r="AC444">
        <f t="shared" si="110"/>
        <v>388.55545236</v>
      </c>
      <c r="AD444">
        <f>LOOKUP($A444,'Over to underbark'!$A$47:$A$48,'Over to underbark'!E$47:E$48)*Z444</f>
        <v>131.68544629306498</v>
      </c>
      <c r="AE444">
        <f>LOOKUP($A444,'Over to underbark'!$A$47:$A$48,'Over to underbark'!E$47:E$48)*AA444</f>
        <v>29.367538389000003</v>
      </c>
      <c r="AF444">
        <f>LOOKUP($A444,'Over to underbark'!$A$47:$A$48,'Over to underbark'!E$47:E$48)*AB444</f>
        <v>43.041205326734996</v>
      </c>
      <c r="AG444">
        <f>LOOKUP($A444,'Over to underbark'!$A$47:$A$48,'Over to underbark'!E$47:E$48)*AC444</f>
        <v>163.1932899912</v>
      </c>
      <c r="AH444" t="b">
        <f t="shared" si="111"/>
        <v>1</v>
      </c>
      <c r="AI444" t="b">
        <f t="shared" si="112"/>
        <v>1</v>
      </c>
      <c r="AJ444">
        <f>LOOKUP(A444,'Over to underbark'!$A$47:$A$48,'Over to underbark'!E$47:E$48)*M444</f>
        <v>408.09719999999999</v>
      </c>
      <c r="AK444" s="22">
        <f>LOOKUP(A444,'Over to underbark'!$A$47:$A$48,'Over to underbark'!$B$47:$B$48)*AJ444</f>
        <v>138.75304800000001</v>
      </c>
      <c r="AL444" s="22">
        <f>LOOKUP(A444,'Over to underbark'!$A$47:$A$48,'Over to underbark'!C$47:C$48)*AJ444</f>
        <v>142.83401999999998</v>
      </c>
      <c r="AM444" s="22">
        <f t="shared" si="113"/>
        <v>546.85024799999997</v>
      </c>
      <c r="AN444" s="36">
        <v>1193.5999999999999</v>
      </c>
      <c r="AO444" s="23">
        <f t="shared" si="114"/>
        <v>1093.7004959999999</v>
      </c>
      <c r="AQ444">
        <f t="shared" si="101"/>
        <v>0.67164179104477606</v>
      </c>
    </row>
    <row r="445" spans="1:43" x14ac:dyDescent="0.35">
      <c r="A445" t="s">
        <v>41</v>
      </c>
      <c r="B445">
        <v>14</v>
      </c>
      <c r="C445">
        <v>2</v>
      </c>
      <c r="D445" t="s">
        <v>42</v>
      </c>
      <c r="E445">
        <v>2</v>
      </c>
      <c r="F445">
        <v>1</v>
      </c>
      <c r="G445" s="30">
        <v>84</v>
      </c>
      <c r="H445" s="30">
        <v>29.204000000000001</v>
      </c>
      <c r="I445" s="30">
        <v>656</v>
      </c>
      <c r="J445" s="30">
        <v>40.164999999999999</v>
      </c>
      <c r="K445" s="30">
        <v>83.147000000000006</v>
      </c>
      <c r="L445" s="30">
        <v>1.494</v>
      </c>
      <c r="M445" s="32">
        <v>980.12</v>
      </c>
      <c r="N445" s="30">
        <v>11.57</v>
      </c>
      <c r="O445" s="29">
        <v>11.667999999999999</v>
      </c>
      <c r="P445" s="31">
        <v>84</v>
      </c>
      <c r="Q445" s="31">
        <v>40.164999999999999</v>
      </c>
      <c r="R445" s="31">
        <v>50.462000000000003</v>
      </c>
      <c r="S445" s="31">
        <v>929.65800000000002</v>
      </c>
      <c r="T445" s="10" t="b">
        <f t="shared" si="102"/>
        <v>1</v>
      </c>
      <c r="U445" s="10" t="b">
        <f t="shared" si="103"/>
        <v>1</v>
      </c>
      <c r="V445" s="11">
        <f>VLOOKUP(IF(J445&lt;10, 10, IF(J445&gt;50,50,J445)),'Over to underbark'!$A$3:$C$43,IF(A445="Scots pine",3,IF(A445="Sitka spruce",2, "error")),TRUE)/100</f>
        <v>0.85</v>
      </c>
      <c r="W445">
        <f t="shared" si="104"/>
        <v>38.603430000000003</v>
      </c>
      <c r="X445">
        <f t="shared" si="105"/>
        <v>711.18837000000008</v>
      </c>
      <c r="Y445">
        <f t="shared" si="106"/>
        <v>132.31620000000004</v>
      </c>
      <c r="Z445">
        <f t="shared" si="107"/>
        <v>316.03644517050003</v>
      </c>
      <c r="AA445">
        <f t="shared" si="108"/>
        <v>70.404477300000025</v>
      </c>
      <c r="AB445">
        <f t="shared" si="109"/>
        <v>103.09109728950001</v>
      </c>
      <c r="AC445">
        <f t="shared" si="110"/>
        <v>392.57598024000004</v>
      </c>
      <c r="AD445">
        <f>LOOKUP($A445,'Over to underbark'!$A$47:$A$48,'Over to underbark'!E$47:E$48)*Z445</f>
        <v>132.73530697161002</v>
      </c>
      <c r="AE445">
        <f>LOOKUP($A445,'Over to underbark'!$A$47:$A$48,'Over to underbark'!E$47:E$48)*AA445</f>
        <v>29.569880466000008</v>
      </c>
      <c r="AF445">
        <f>LOOKUP($A445,'Over to underbark'!$A$47:$A$48,'Over to underbark'!E$47:E$48)*AB445</f>
        <v>43.298260861590002</v>
      </c>
      <c r="AG445">
        <f>LOOKUP($A445,'Over to underbark'!$A$47:$A$48,'Over to underbark'!E$47:E$48)*AC445</f>
        <v>164.8819117008</v>
      </c>
      <c r="AH445" t="b">
        <f t="shared" si="111"/>
        <v>1</v>
      </c>
      <c r="AI445" t="b">
        <f t="shared" si="112"/>
        <v>1</v>
      </c>
      <c r="AJ445">
        <f>LOOKUP(A445,'Over to underbark'!$A$47:$A$48,'Over to underbark'!E$47:E$48)*M445</f>
        <v>411.65039999999999</v>
      </c>
      <c r="AK445" s="22">
        <f>LOOKUP(A445,'Over to underbark'!$A$47:$A$48,'Over to underbark'!$B$47:$B$48)*AJ445</f>
        <v>139.96113600000001</v>
      </c>
      <c r="AL445" s="22">
        <f>LOOKUP(A445,'Over to underbark'!$A$47:$A$48,'Over to underbark'!C$47:C$48)*AJ445</f>
        <v>144.07763999999997</v>
      </c>
      <c r="AM445" s="22">
        <f t="shared" si="113"/>
        <v>551.611536</v>
      </c>
      <c r="AN445" s="36">
        <v>1194.5999999999999</v>
      </c>
      <c r="AO445" s="23">
        <f t="shared" si="114"/>
        <v>1103.223072</v>
      </c>
      <c r="AQ445">
        <f t="shared" si="101"/>
        <v>0.67164179104477617</v>
      </c>
    </row>
    <row r="446" spans="1:43" x14ac:dyDescent="0.35">
      <c r="A446" t="s">
        <v>41</v>
      </c>
      <c r="B446">
        <v>14</v>
      </c>
      <c r="C446">
        <v>2</v>
      </c>
      <c r="D446" t="s">
        <v>42</v>
      </c>
      <c r="E446">
        <v>2</v>
      </c>
      <c r="F446">
        <v>1</v>
      </c>
      <c r="G446" s="30">
        <v>85</v>
      </c>
      <c r="H446" s="30">
        <v>29.335999999999999</v>
      </c>
      <c r="I446" s="30">
        <v>652</v>
      </c>
      <c r="J446" s="30">
        <v>40.395000000000003</v>
      </c>
      <c r="K446" s="30">
        <v>83.584000000000003</v>
      </c>
      <c r="L446" s="30">
        <v>1.516</v>
      </c>
      <c r="M446" s="32">
        <v>988.58</v>
      </c>
      <c r="N446" s="30">
        <v>11.563000000000001</v>
      </c>
      <c r="O446" s="29">
        <v>11.63</v>
      </c>
      <c r="P446" s="31">
        <v>85</v>
      </c>
      <c r="Q446" s="31">
        <v>40.395000000000003</v>
      </c>
      <c r="R446" s="31">
        <v>49.405000000000001</v>
      </c>
      <c r="S446" s="31">
        <v>939.17499999999995</v>
      </c>
      <c r="T446" s="10" t="b">
        <f t="shared" si="102"/>
        <v>1</v>
      </c>
      <c r="U446" s="10" t="b">
        <f t="shared" si="103"/>
        <v>1</v>
      </c>
      <c r="V446" s="11">
        <f>VLOOKUP(IF(J446&lt;10, 10, IF(J446&gt;50,50,J446)),'Over to underbark'!$A$3:$C$43,IF(A446="Scots pine",3,IF(A446="Sitka spruce",2, "error")),TRUE)/100</f>
        <v>0.85</v>
      </c>
      <c r="W446">
        <f t="shared" si="104"/>
        <v>37.794825000000003</v>
      </c>
      <c r="X446">
        <f t="shared" si="105"/>
        <v>718.46887499999991</v>
      </c>
      <c r="Y446">
        <f t="shared" si="106"/>
        <v>133.45830000000001</v>
      </c>
      <c r="Z446">
        <f t="shared" si="107"/>
        <v>318.53672346374998</v>
      </c>
      <c r="AA446">
        <f t="shared" si="108"/>
        <v>70.886580750000007</v>
      </c>
      <c r="AB446">
        <f t="shared" si="109"/>
        <v>103.70387678624999</v>
      </c>
      <c r="AC446">
        <f t="shared" si="110"/>
        <v>396.59481899999997</v>
      </c>
      <c r="AD446">
        <f>LOOKUP($A446,'Over to underbark'!$A$47:$A$48,'Over to underbark'!E$47:E$48)*Z446</f>
        <v>133.78542385477499</v>
      </c>
      <c r="AE446">
        <f>LOOKUP($A446,'Over to underbark'!$A$47:$A$48,'Over to underbark'!E$47:E$48)*AA446</f>
        <v>29.772363915000003</v>
      </c>
      <c r="AF446">
        <f>LOOKUP($A446,'Over to underbark'!$A$47:$A$48,'Over to underbark'!E$47:E$48)*AB446</f>
        <v>43.555628250224999</v>
      </c>
      <c r="AG446">
        <f>LOOKUP($A446,'Over to underbark'!$A$47:$A$48,'Over to underbark'!E$47:E$48)*AC446</f>
        <v>166.56982398</v>
      </c>
      <c r="AH446" t="b">
        <f t="shared" si="111"/>
        <v>1</v>
      </c>
      <c r="AI446" t="b">
        <f t="shared" si="112"/>
        <v>1</v>
      </c>
      <c r="AJ446">
        <f>LOOKUP(A446,'Over to underbark'!$A$47:$A$48,'Over to underbark'!E$47:E$48)*M446</f>
        <v>415.20359999999999</v>
      </c>
      <c r="AK446" s="22">
        <f>LOOKUP(A446,'Over to underbark'!$A$47:$A$48,'Over to underbark'!$B$47:$B$48)*AJ446</f>
        <v>141.16922400000001</v>
      </c>
      <c r="AL446" s="22">
        <f>LOOKUP(A446,'Over to underbark'!$A$47:$A$48,'Over to underbark'!C$47:C$48)*AJ446</f>
        <v>145.32126</v>
      </c>
      <c r="AM446" s="22">
        <f t="shared" si="113"/>
        <v>556.37282400000004</v>
      </c>
      <c r="AN446" s="36">
        <v>1195.5999999999999</v>
      </c>
      <c r="AO446" s="23">
        <f t="shared" si="114"/>
        <v>1112.7456480000001</v>
      </c>
      <c r="AQ446">
        <f t="shared" si="101"/>
        <v>0.67164179104477595</v>
      </c>
    </row>
    <row r="447" spans="1:43" x14ac:dyDescent="0.35">
      <c r="A447" t="s">
        <v>41</v>
      </c>
      <c r="B447">
        <v>14</v>
      </c>
      <c r="C447">
        <v>2</v>
      </c>
      <c r="D447" t="s">
        <v>42</v>
      </c>
      <c r="E447">
        <v>2</v>
      </c>
      <c r="F447">
        <v>1</v>
      </c>
      <c r="G447" s="30">
        <v>86</v>
      </c>
      <c r="H447" s="30">
        <v>29.468</v>
      </c>
      <c r="I447" s="30">
        <v>648</v>
      </c>
      <c r="J447" s="30">
        <v>40.627000000000002</v>
      </c>
      <c r="K447" s="30">
        <v>84.021000000000001</v>
      </c>
      <c r="L447" s="30">
        <v>1.538</v>
      </c>
      <c r="M447" s="32">
        <v>997.04</v>
      </c>
      <c r="N447" s="30">
        <v>11.557</v>
      </c>
      <c r="O447" s="29">
        <v>11.593</v>
      </c>
      <c r="P447" s="31">
        <v>86</v>
      </c>
      <c r="Q447" s="31">
        <v>40.627000000000002</v>
      </c>
      <c r="R447" s="31">
        <v>48.353999999999999</v>
      </c>
      <c r="S447" s="31">
        <v>948.68600000000004</v>
      </c>
      <c r="T447" s="10" t="b">
        <f t="shared" si="102"/>
        <v>1</v>
      </c>
      <c r="U447" s="10" t="b">
        <f t="shared" si="103"/>
        <v>1</v>
      </c>
      <c r="V447" s="11">
        <f>VLOOKUP(IF(J447&lt;10, 10, IF(J447&gt;50,50,J447)),'Over to underbark'!$A$3:$C$43,IF(A447="Scots pine",3,IF(A447="Sitka spruce",2, "error")),TRUE)/100</f>
        <v>0.85</v>
      </c>
      <c r="W447">
        <f t="shared" si="104"/>
        <v>36.990809999999996</v>
      </c>
      <c r="X447">
        <f t="shared" si="105"/>
        <v>725.74478999999997</v>
      </c>
      <c r="Y447">
        <f t="shared" si="106"/>
        <v>134.60040000000004</v>
      </c>
      <c r="Z447">
        <f t="shared" si="107"/>
        <v>321.0379167735</v>
      </c>
      <c r="AA447">
        <f t="shared" si="108"/>
        <v>71.369189100000014</v>
      </c>
      <c r="AB447">
        <f t="shared" si="109"/>
        <v>104.31777004649999</v>
      </c>
      <c r="AC447">
        <f t="shared" si="110"/>
        <v>400.61112408000002</v>
      </c>
      <c r="AD447">
        <f>LOOKUP($A447,'Over to underbark'!$A$47:$A$48,'Over to underbark'!E$47:E$48)*Z447</f>
        <v>134.83592504487001</v>
      </c>
      <c r="AE447">
        <f>LOOKUP($A447,'Over to underbark'!$A$47:$A$48,'Over to underbark'!E$47:E$48)*AA447</f>
        <v>29.975059422000005</v>
      </c>
      <c r="AF447">
        <f>LOOKUP($A447,'Over to underbark'!$A$47:$A$48,'Over to underbark'!E$47:E$48)*AB447</f>
        <v>43.813463419529995</v>
      </c>
      <c r="AG447">
        <f>LOOKUP($A447,'Over to underbark'!$A$47:$A$48,'Over to underbark'!E$47:E$48)*AC447</f>
        <v>168.25667211360002</v>
      </c>
      <c r="AH447" t="b">
        <f t="shared" si="111"/>
        <v>1</v>
      </c>
      <c r="AI447" t="b">
        <f t="shared" si="112"/>
        <v>1</v>
      </c>
      <c r="AJ447">
        <f>LOOKUP(A447,'Over to underbark'!$A$47:$A$48,'Over to underbark'!E$47:E$48)*M447</f>
        <v>418.75679999999994</v>
      </c>
      <c r="AK447" s="22">
        <f>LOOKUP(A447,'Over to underbark'!$A$47:$A$48,'Over to underbark'!$B$47:$B$48)*AJ447</f>
        <v>142.37731199999999</v>
      </c>
      <c r="AL447" s="22">
        <f>LOOKUP(A447,'Over to underbark'!$A$47:$A$48,'Over to underbark'!C$47:C$48)*AJ447</f>
        <v>146.56487999999996</v>
      </c>
      <c r="AM447" s="22">
        <f t="shared" si="113"/>
        <v>561.13411199999996</v>
      </c>
      <c r="AN447" s="36">
        <v>1196.5999999999999</v>
      </c>
      <c r="AO447" s="23">
        <f t="shared" si="114"/>
        <v>1122.2682239999999</v>
      </c>
      <c r="AQ447">
        <f t="shared" si="101"/>
        <v>0.67164179104477617</v>
      </c>
    </row>
    <row r="448" spans="1:43" x14ac:dyDescent="0.35">
      <c r="A448" t="s">
        <v>41</v>
      </c>
      <c r="B448">
        <v>14</v>
      </c>
      <c r="C448">
        <v>2</v>
      </c>
      <c r="D448" t="s">
        <v>42</v>
      </c>
      <c r="E448">
        <v>2</v>
      </c>
      <c r="F448">
        <v>1</v>
      </c>
      <c r="G448" s="30">
        <v>87</v>
      </c>
      <c r="H448" s="30">
        <v>29.6</v>
      </c>
      <c r="I448" s="30">
        <v>644</v>
      </c>
      <c r="J448" s="30">
        <v>40.86</v>
      </c>
      <c r="K448" s="30">
        <v>84.457999999999998</v>
      </c>
      <c r="L448" s="30">
        <v>1.5609999999999999</v>
      </c>
      <c r="M448" s="32">
        <v>1005.5</v>
      </c>
      <c r="N448" s="30">
        <v>11.55</v>
      </c>
      <c r="O448" s="29">
        <v>11.557</v>
      </c>
      <c r="P448" s="31">
        <v>87</v>
      </c>
      <c r="Q448" s="31">
        <v>40.86</v>
      </c>
      <c r="R448" s="31">
        <v>47.314</v>
      </c>
      <c r="S448" s="31">
        <v>958.18600000000004</v>
      </c>
      <c r="T448" s="10" t="b">
        <f t="shared" si="102"/>
        <v>1</v>
      </c>
      <c r="U448" s="10" t="b">
        <f t="shared" si="103"/>
        <v>1</v>
      </c>
      <c r="V448" s="11">
        <f>VLOOKUP(IF(J448&lt;10, 10, IF(J448&gt;50,50,J448)),'Over to underbark'!$A$3:$C$43,IF(A448="Scots pine",3,IF(A448="Sitka spruce",2, "error")),TRUE)/100</f>
        <v>0.85</v>
      </c>
      <c r="W448">
        <f t="shared" si="104"/>
        <v>36.195209999999996</v>
      </c>
      <c r="X448">
        <f t="shared" si="105"/>
        <v>733.01229000000001</v>
      </c>
      <c r="Y448">
        <f t="shared" si="106"/>
        <v>135.74250000000004</v>
      </c>
      <c r="Z448">
        <f t="shared" si="107"/>
        <v>323.54078761350007</v>
      </c>
      <c r="AA448">
        <f t="shared" si="108"/>
        <v>71.85272310000002</v>
      </c>
      <c r="AB448">
        <f t="shared" si="109"/>
        <v>104.93370520649999</v>
      </c>
      <c r="AC448">
        <f t="shared" si="110"/>
        <v>404.62278407999997</v>
      </c>
      <c r="AD448">
        <f>LOOKUP($A448,'Over to underbark'!$A$47:$A$48,'Over to underbark'!E$47:E$48)*Z448</f>
        <v>135.88713079767004</v>
      </c>
      <c r="AE448">
        <f>LOOKUP($A448,'Over to underbark'!$A$47:$A$48,'Over to underbark'!E$47:E$48)*AA448</f>
        <v>30.178143702000007</v>
      </c>
      <c r="AF448">
        <f>LOOKUP($A448,'Over to underbark'!$A$47:$A$48,'Over to underbark'!E$47:E$48)*AB448</f>
        <v>44.072156186729998</v>
      </c>
      <c r="AG448">
        <f>LOOKUP($A448,'Over to underbark'!$A$47:$A$48,'Over to underbark'!E$47:E$48)*AC448</f>
        <v>169.94156931359998</v>
      </c>
      <c r="AH448" t="b">
        <f t="shared" si="111"/>
        <v>1</v>
      </c>
      <c r="AI448" t="b">
        <f t="shared" si="112"/>
        <v>1</v>
      </c>
      <c r="AJ448">
        <f>LOOKUP(A448,'Over to underbark'!$A$47:$A$48,'Over to underbark'!E$47:E$48)*M448</f>
        <v>422.31</v>
      </c>
      <c r="AK448" s="22">
        <f>LOOKUP(A448,'Over to underbark'!$A$47:$A$48,'Over to underbark'!$B$47:$B$48)*AJ448</f>
        <v>143.58540000000002</v>
      </c>
      <c r="AL448" s="22">
        <f>LOOKUP(A448,'Over to underbark'!$A$47:$A$48,'Over to underbark'!C$47:C$48)*AJ448</f>
        <v>147.80849999999998</v>
      </c>
      <c r="AM448" s="22">
        <f t="shared" si="113"/>
        <v>565.8954</v>
      </c>
      <c r="AN448" s="36">
        <v>1197.5999999999999</v>
      </c>
      <c r="AO448" s="23">
        <f t="shared" si="114"/>
        <v>1131.7908</v>
      </c>
      <c r="AQ448">
        <f t="shared" si="101"/>
        <v>0.67164179104477617</v>
      </c>
    </row>
    <row r="449" spans="1:43" x14ac:dyDescent="0.35">
      <c r="A449" t="s">
        <v>41</v>
      </c>
      <c r="B449">
        <v>14</v>
      </c>
      <c r="C449">
        <v>2</v>
      </c>
      <c r="D449" t="s">
        <v>42</v>
      </c>
      <c r="E449">
        <v>2</v>
      </c>
      <c r="F449">
        <v>1</v>
      </c>
      <c r="G449" s="30">
        <v>88</v>
      </c>
      <c r="H449" s="30">
        <v>29.71</v>
      </c>
      <c r="I449" s="30">
        <v>641</v>
      </c>
      <c r="J449" s="30">
        <v>41.054000000000002</v>
      </c>
      <c r="K449" s="30">
        <v>84.83</v>
      </c>
      <c r="L449" s="30">
        <v>1.58</v>
      </c>
      <c r="M449" s="32">
        <v>1012.58</v>
      </c>
      <c r="N449" s="30">
        <v>11.554</v>
      </c>
      <c r="O449" s="29">
        <v>11.507</v>
      </c>
      <c r="P449" s="31">
        <v>88</v>
      </c>
      <c r="Q449" s="31">
        <v>41.054000000000002</v>
      </c>
      <c r="R449" s="31">
        <v>46.463999999999999</v>
      </c>
      <c r="S449" s="31">
        <v>966.11599999999999</v>
      </c>
      <c r="T449" s="10" t="b">
        <f t="shared" si="102"/>
        <v>1</v>
      </c>
      <c r="U449" s="10" t="b">
        <f t="shared" si="103"/>
        <v>1</v>
      </c>
      <c r="V449" s="11">
        <f>VLOOKUP(IF(J449&lt;10, 10, IF(J449&gt;50,50,J449)),'Over to underbark'!$A$3:$C$43,IF(A449="Scots pine",3,IF(A449="Sitka spruce",2, "error")),TRUE)/100</f>
        <v>0.85</v>
      </c>
      <c r="W449">
        <f t="shared" si="104"/>
        <v>35.544959999999996</v>
      </c>
      <c r="X449">
        <f t="shared" si="105"/>
        <v>739.07874000000004</v>
      </c>
      <c r="Y449">
        <f t="shared" si="106"/>
        <v>136.69830000000002</v>
      </c>
      <c r="Z449">
        <f t="shared" si="107"/>
        <v>325.63849287600004</v>
      </c>
      <c r="AA449">
        <f t="shared" si="108"/>
        <v>72.259095600000009</v>
      </c>
      <c r="AB449">
        <f t="shared" si="109"/>
        <v>105.452947044</v>
      </c>
      <c r="AC449">
        <f t="shared" si="110"/>
        <v>407.97146448000001</v>
      </c>
      <c r="AD449">
        <f>LOOKUP($A449,'Over to underbark'!$A$47:$A$48,'Over to underbark'!E$47:E$48)*Z449</f>
        <v>136.76816700792003</v>
      </c>
      <c r="AE449">
        <f>LOOKUP($A449,'Over to underbark'!$A$47:$A$48,'Over to underbark'!E$47:E$48)*AA449</f>
        <v>30.348820152000002</v>
      </c>
      <c r="AF449">
        <f>LOOKUP($A449,'Over to underbark'!$A$47:$A$48,'Over to underbark'!E$47:E$48)*AB449</f>
        <v>44.290237758479996</v>
      </c>
      <c r="AG449">
        <f>LOOKUP($A449,'Over to underbark'!$A$47:$A$48,'Over to underbark'!E$47:E$48)*AC449</f>
        <v>171.34801508160001</v>
      </c>
      <c r="AH449" t="b">
        <f t="shared" si="111"/>
        <v>1</v>
      </c>
      <c r="AI449" t="b">
        <f t="shared" si="112"/>
        <v>1</v>
      </c>
      <c r="AJ449">
        <f>LOOKUP(A449,'Over to underbark'!$A$47:$A$48,'Over to underbark'!E$47:E$48)*M449</f>
        <v>425.28359999999998</v>
      </c>
      <c r="AK449" s="22">
        <f>LOOKUP(A449,'Over to underbark'!$A$47:$A$48,'Over to underbark'!$B$47:$B$48)*AJ449</f>
        <v>144.59642400000001</v>
      </c>
      <c r="AL449" s="22">
        <f>LOOKUP(A449,'Over to underbark'!$A$47:$A$48,'Over to underbark'!C$47:C$48)*AJ449</f>
        <v>148.84925999999999</v>
      </c>
      <c r="AM449" s="22">
        <f t="shared" si="113"/>
        <v>569.88002400000005</v>
      </c>
      <c r="AN449" s="36">
        <v>1198.5999999999999</v>
      </c>
      <c r="AO449" s="23">
        <f t="shared" si="114"/>
        <v>1139.7600480000001</v>
      </c>
      <c r="AQ449">
        <f t="shared" si="101"/>
        <v>0.67164179104477617</v>
      </c>
    </row>
    <row r="450" spans="1:43" x14ac:dyDescent="0.35">
      <c r="A450" t="s">
        <v>41</v>
      </c>
      <c r="B450">
        <v>14</v>
      </c>
      <c r="C450">
        <v>2</v>
      </c>
      <c r="D450" t="s">
        <v>42</v>
      </c>
      <c r="E450">
        <v>2</v>
      </c>
      <c r="F450">
        <v>1</v>
      </c>
      <c r="G450" s="30">
        <v>89</v>
      </c>
      <c r="H450" s="30">
        <v>29.82</v>
      </c>
      <c r="I450" s="30">
        <v>638</v>
      </c>
      <c r="J450" s="30">
        <v>41.249000000000002</v>
      </c>
      <c r="K450" s="30">
        <v>85.200999999999993</v>
      </c>
      <c r="L450" s="30">
        <v>1.599</v>
      </c>
      <c r="M450" s="32">
        <v>1019.66</v>
      </c>
      <c r="N450" s="30">
        <v>11.558</v>
      </c>
      <c r="O450" s="29">
        <v>11.457000000000001</v>
      </c>
      <c r="P450" s="31">
        <v>89</v>
      </c>
      <c r="Q450" s="31">
        <v>41.249000000000002</v>
      </c>
      <c r="R450" s="31">
        <v>45.621000000000002</v>
      </c>
      <c r="S450" s="31">
        <v>974.03899999999999</v>
      </c>
      <c r="T450" s="10" t="b">
        <f t="shared" si="102"/>
        <v>1</v>
      </c>
      <c r="U450" s="10" t="b">
        <f t="shared" si="103"/>
        <v>1</v>
      </c>
      <c r="V450" s="11">
        <f>VLOOKUP(IF(J450&lt;10, 10, IF(J450&gt;50,50,J450)),'Over to underbark'!$A$3:$C$43,IF(A450="Scots pine",3,IF(A450="Sitka spruce",2, "error")),TRUE)/100</f>
        <v>0.85</v>
      </c>
      <c r="W450">
        <f t="shared" si="104"/>
        <v>34.900064999999998</v>
      </c>
      <c r="X450">
        <f t="shared" si="105"/>
        <v>745.13983499999995</v>
      </c>
      <c r="Y450">
        <f t="shared" si="106"/>
        <v>137.65410000000003</v>
      </c>
      <c r="Z450">
        <f t="shared" si="107"/>
        <v>327.73726565775002</v>
      </c>
      <c r="AA450">
        <f t="shared" si="108"/>
        <v>72.666057150000015</v>
      </c>
      <c r="AB450">
        <f t="shared" si="109"/>
        <v>105.97348827224999</v>
      </c>
      <c r="AC450">
        <f t="shared" si="110"/>
        <v>411.31718891999998</v>
      </c>
      <c r="AD450">
        <f>LOOKUP($A450,'Over to underbark'!$A$47:$A$48,'Over to underbark'!E$47:E$48)*Z450</f>
        <v>137.649651576255</v>
      </c>
      <c r="AE450">
        <f>LOOKUP($A450,'Over to underbark'!$A$47:$A$48,'Over to underbark'!E$47:E$48)*AA450</f>
        <v>30.519744003000007</v>
      </c>
      <c r="AF450">
        <f>LOOKUP($A450,'Over to underbark'!$A$47:$A$48,'Over to underbark'!E$47:E$48)*AB450</f>
        <v>44.508865074344996</v>
      </c>
      <c r="AG450">
        <f>LOOKUP($A450,'Over to underbark'!$A$47:$A$48,'Over to underbark'!E$47:E$48)*AC450</f>
        <v>172.75321934639999</v>
      </c>
      <c r="AH450" t="b">
        <f t="shared" si="111"/>
        <v>1</v>
      </c>
      <c r="AI450" t="b">
        <f t="shared" si="112"/>
        <v>1</v>
      </c>
      <c r="AJ450">
        <f>LOOKUP(A450,'Over to underbark'!$A$47:$A$48,'Over to underbark'!E$47:E$48)*M450</f>
        <v>428.25719999999995</v>
      </c>
      <c r="AK450" s="22">
        <f>LOOKUP(A450,'Over to underbark'!$A$47:$A$48,'Over to underbark'!$B$47:$B$48)*AJ450</f>
        <v>145.60744800000001</v>
      </c>
      <c r="AL450" s="22">
        <f>LOOKUP(A450,'Over to underbark'!$A$47:$A$48,'Over to underbark'!C$47:C$48)*AJ450</f>
        <v>149.89001999999996</v>
      </c>
      <c r="AM450" s="22">
        <f t="shared" si="113"/>
        <v>573.86464799999999</v>
      </c>
      <c r="AN450" s="36">
        <v>1199.5999999999999</v>
      </c>
      <c r="AO450" s="23">
        <f t="shared" si="114"/>
        <v>1147.729296</v>
      </c>
      <c r="AQ450">
        <f t="shared" si="101"/>
        <v>0.67164179104477606</v>
      </c>
    </row>
    <row r="451" spans="1:43" x14ac:dyDescent="0.35">
      <c r="A451" t="s">
        <v>41</v>
      </c>
      <c r="B451">
        <v>14</v>
      </c>
      <c r="C451">
        <v>2</v>
      </c>
      <c r="D451" t="s">
        <v>42</v>
      </c>
      <c r="E451">
        <v>2</v>
      </c>
      <c r="F451">
        <v>1</v>
      </c>
      <c r="G451" s="30">
        <v>90</v>
      </c>
      <c r="H451" s="30">
        <v>29.93</v>
      </c>
      <c r="I451" s="30">
        <v>634</v>
      </c>
      <c r="J451" s="30">
        <v>41.445</v>
      </c>
      <c r="K451" s="30">
        <v>85.572999999999993</v>
      </c>
      <c r="L451" s="30">
        <v>1.619</v>
      </c>
      <c r="M451" s="32">
        <v>1026.74</v>
      </c>
      <c r="N451" s="30">
        <v>11.563000000000001</v>
      </c>
      <c r="O451" s="29">
        <v>11.407999999999999</v>
      </c>
      <c r="P451" s="31">
        <v>90</v>
      </c>
      <c r="Q451" s="31">
        <v>41.445</v>
      </c>
      <c r="R451" s="31">
        <v>44.783999999999999</v>
      </c>
      <c r="S451" s="31">
        <v>981.95600000000002</v>
      </c>
      <c r="T451" s="10" t="b">
        <f t="shared" si="102"/>
        <v>1</v>
      </c>
      <c r="U451" s="10" t="b">
        <f t="shared" si="103"/>
        <v>1</v>
      </c>
      <c r="V451" s="11">
        <f>VLOOKUP(IF(J451&lt;10, 10, IF(J451&gt;50,50,J451)),'Over to underbark'!$A$3:$C$43,IF(A451="Scots pine",3,IF(A451="Sitka spruce",2, "error")),TRUE)/100</f>
        <v>0.85</v>
      </c>
      <c r="W451">
        <f t="shared" si="104"/>
        <v>34.25976</v>
      </c>
      <c r="X451">
        <f t="shared" si="105"/>
        <v>751.19633999999996</v>
      </c>
      <c r="Y451">
        <f t="shared" si="106"/>
        <v>138.60990000000004</v>
      </c>
      <c r="Z451">
        <f t="shared" si="107"/>
        <v>329.836953456</v>
      </c>
      <c r="AA451">
        <f t="shared" si="108"/>
        <v>73.073523600000016</v>
      </c>
      <c r="AB451">
        <f t="shared" si="109"/>
        <v>106.49514326399999</v>
      </c>
      <c r="AC451">
        <f t="shared" si="110"/>
        <v>414.66037967999995</v>
      </c>
      <c r="AD451">
        <f>LOOKUP($A451,'Over to underbark'!$A$47:$A$48,'Over to underbark'!E$47:E$48)*Z451</f>
        <v>138.53152045152001</v>
      </c>
      <c r="AE451">
        <f>LOOKUP($A451,'Over to underbark'!$A$47:$A$48,'Over to underbark'!E$47:E$48)*AA451</f>
        <v>30.690879912000007</v>
      </c>
      <c r="AF451">
        <f>LOOKUP($A451,'Over to underbark'!$A$47:$A$48,'Over to underbark'!E$47:E$48)*AB451</f>
        <v>44.727960170879996</v>
      </c>
      <c r="AG451">
        <f>LOOKUP($A451,'Over to underbark'!$A$47:$A$48,'Over to underbark'!E$47:E$48)*AC451</f>
        <v>174.15735946559997</v>
      </c>
      <c r="AH451" t="b">
        <f t="shared" si="111"/>
        <v>1</v>
      </c>
      <c r="AI451" t="b">
        <f t="shared" si="112"/>
        <v>1</v>
      </c>
      <c r="AJ451">
        <f>LOOKUP(A451,'Over to underbark'!$A$47:$A$48,'Over to underbark'!E$47:E$48)*M451</f>
        <v>431.23079999999999</v>
      </c>
      <c r="AK451" s="22">
        <f>LOOKUP(A451,'Over to underbark'!$A$47:$A$48,'Over to underbark'!$B$47:$B$48)*AJ451</f>
        <v>146.618472</v>
      </c>
      <c r="AL451" s="22">
        <f>LOOKUP(A451,'Over to underbark'!$A$47:$A$48,'Over to underbark'!C$47:C$48)*AJ451</f>
        <v>150.93078</v>
      </c>
      <c r="AM451" s="22">
        <f t="shared" si="113"/>
        <v>577.84927199999993</v>
      </c>
      <c r="AN451" s="36">
        <v>1200.5999999999999</v>
      </c>
      <c r="AO451" s="23">
        <f t="shared" si="114"/>
        <v>1155.6985439999999</v>
      </c>
      <c r="AQ451">
        <f t="shared" si="101"/>
        <v>0.67164179104477617</v>
      </c>
    </row>
    <row r="452" spans="1:43" x14ac:dyDescent="0.35">
      <c r="A452" t="s">
        <v>41</v>
      </c>
      <c r="B452">
        <v>14</v>
      </c>
      <c r="C452">
        <v>2</v>
      </c>
      <c r="D452" t="s">
        <v>42</v>
      </c>
      <c r="E452">
        <v>2</v>
      </c>
      <c r="F452">
        <v>1</v>
      </c>
      <c r="G452" s="30">
        <v>91</v>
      </c>
      <c r="H452" s="30">
        <v>30.04</v>
      </c>
      <c r="I452" s="30">
        <v>631</v>
      </c>
      <c r="J452" s="30">
        <v>41.642000000000003</v>
      </c>
      <c r="K452" s="30">
        <v>85.944999999999993</v>
      </c>
      <c r="L452" s="30">
        <v>1.6379999999999999</v>
      </c>
      <c r="M452" s="32">
        <v>1033.82</v>
      </c>
      <c r="N452" s="30">
        <v>11.567</v>
      </c>
      <c r="O452" s="29">
        <v>11.361000000000001</v>
      </c>
      <c r="P452" s="31">
        <v>91</v>
      </c>
      <c r="Q452" s="31">
        <v>41.642000000000003</v>
      </c>
      <c r="R452" s="31">
        <v>43.954999999999998</v>
      </c>
      <c r="S452" s="31">
        <v>989.86500000000001</v>
      </c>
      <c r="T452" s="10" t="b">
        <f t="shared" si="102"/>
        <v>1</v>
      </c>
      <c r="U452" s="10" t="b">
        <f t="shared" si="103"/>
        <v>1</v>
      </c>
      <c r="V452" s="11">
        <f>VLOOKUP(IF(J452&lt;10, 10, IF(J452&gt;50,50,J452)),'Over to underbark'!$A$3:$C$43,IF(A452="Scots pine",3,IF(A452="Sitka spruce",2, "error")),TRUE)/100</f>
        <v>0.85</v>
      </c>
      <c r="W452">
        <f t="shared" si="104"/>
        <v>33.625574999999998</v>
      </c>
      <c r="X452">
        <f t="shared" si="105"/>
        <v>757.24672499999997</v>
      </c>
      <c r="Y452">
        <f t="shared" si="106"/>
        <v>139.56570000000002</v>
      </c>
      <c r="Z452">
        <f t="shared" si="107"/>
        <v>331.93786127625003</v>
      </c>
      <c r="AA452">
        <f t="shared" si="108"/>
        <v>73.481663250000011</v>
      </c>
      <c r="AB452">
        <f t="shared" si="109"/>
        <v>107.01828327375</v>
      </c>
      <c r="AC452">
        <f t="shared" si="110"/>
        <v>418.00019220000001</v>
      </c>
      <c r="AD452">
        <f>LOOKUP($A452,'Over to underbark'!$A$47:$A$48,'Over to underbark'!E$47:E$48)*Z452</f>
        <v>139.413901736025</v>
      </c>
      <c r="AE452">
        <f>LOOKUP($A452,'Over to underbark'!$A$47:$A$48,'Over to underbark'!E$47:E$48)*AA452</f>
        <v>30.862298565000003</v>
      </c>
      <c r="AF452">
        <f>LOOKUP($A452,'Over to underbark'!$A$47:$A$48,'Over to underbark'!E$47:E$48)*AB452</f>
        <v>44.947678974974998</v>
      </c>
      <c r="AG452">
        <f>LOOKUP($A452,'Over to underbark'!$A$47:$A$48,'Over to underbark'!E$47:E$48)*AC452</f>
        <v>175.56008072399999</v>
      </c>
      <c r="AH452" t="b">
        <f t="shared" si="111"/>
        <v>1</v>
      </c>
      <c r="AI452" t="b">
        <f t="shared" si="112"/>
        <v>1</v>
      </c>
      <c r="AJ452">
        <f>LOOKUP(A452,'Over to underbark'!$A$47:$A$48,'Over to underbark'!E$47:E$48)*M452</f>
        <v>434.20439999999996</v>
      </c>
      <c r="AK452" s="22">
        <f>LOOKUP(A452,'Over to underbark'!$A$47:$A$48,'Over to underbark'!$B$47:$B$48)*AJ452</f>
        <v>147.62949599999999</v>
      </c>
      <c r="AL452" s="22">
        <f>LOOKUP(A452,'Over to underbark'!$A$47:$A$48,'Over to underbark'!C$47:C$48)*AJ452</f>
        <v>151.97153999999998</v>
      </c>
      <c r="AM452" s="22">
        <f t="shared" si="113"/>
        <v>581.83389599999998</v>
      </c>
      <c r="AN452" s="36">
        <v>1201.5999999999999</v>
      </c>
      <c r="AO452" s="23">
        <f t="shared" si="114"/>
        <v>1163.667792</v>
      </c>
      <c r="AQ452">
        <f t="shared" ref="AQ452:AQ515" si="115">(AD452+AE452+AF452+AG452)/AM452</f>
        <v>0.67164179104477606</v>
      </c>
    </row>
    <row r="453" spans="1:43" x14ac:dyDescent="0.35">
      <c r="A453" t="s">
        <v>41</v>
      </c>
      <c r="B453">
        <v>14</v>
      </c>
      <c r="C453">
        <v>2</v>
      </c>
      <c r="D453" t="s">
        <v>42</v>
      </c>
      <c r="E453">
        <v>2</v>
      </c>
      <c r="F453">
        <v>1</v>
      </c>
      <c r="G453" s="30">
        <v>92</v>
      </c>
      <c r="H453" s="30">
        <v>30.15</v>
      </c>
      <c r="I453" s="30">
        <v>628</v>
      </c>
      <c r="J453" s="30">
        <v>41.84</v>
      </c>
      <c r="K453" s="30">
        <v>86.316999999999993</v>
      </c>
      <c r="L453" s="30">
        <v>1.6579999999999999</v>
      </c>
      <c r="M453" s="32">
        <v>1040.9000000000001</v>
      </c>
      <c r="N453" s="30">
        <v>11.571</v>
      </c>
      <c r="O453" s="29">
        <v>11.314</v>
      </c>
      <c r="P453" s="31">
        <v>92</v>
      </c>
      <c r="Q453" s="31">
        <v>41.84</v>
      </c>
      <c r="R453" s="31">
        <v>43.131999999999998</v>
      </c>
      <c r="S453" s="31">
        <v>997.76800000000003</v>
      </c>
      <c r="T453" s="10" t="b">
        <f t="shared" si="102"/>
        <v>1</v>
      </c>
      <c r="U453" s="10" t="b">
        <f t="shared" si="103"/>
        <v>1</v>
      </c>
      <c r="V453" s="11">
        <f>VLOOKUP(IF(J453&lt;10, 10, IF(J453&gt;50,50,J453)),'Over to underbark'!$A$3:$C$43,IF(A453="Scots pine",3,IF(A453="Sitka spruce",2, "error")),TRUE)/100</f>
        <v>0.85</v>
      </c>
      <c r="W453">
        <f t="shared" si="104"/>
        <v>32.995979999999996</v>
      </c>
      <c r="X453">
        <f t="shared" si="105"/>
        <v>763.29251999999997</v>
      </c>
      <c r="Y453">
        <f t="shared" si="106"/>
        <v>140.52150000000003</v>
      </c>
      <c r="Z453">
        <f t="shared" si="107"/>
        <v>334.03968411300002</v>
      </c>
      <c r="AA453">
        <f t="shared" si="108"/>
        <v>73.890307800000016</v>
      </c>
      <c r="AB453">
        <f t="shared" si="109"/>
        <v>107.542537047</v>
      </c>
      <c r="AC453">
        <f t="shared" si="110"/>
        <v>421.33747104000003</v>
      </c>
      <c r="AD453">
        <f>LOOKUP($A453,'Over to underbark'!$A$47:$A$48,'Over to underbark'!E$47:E$48)*Z453</f>
        <v>140.29666732746</v>
      </c>
      <c r="AE453">
        <f>LOOKUP($A453,'Over to underbark'!$A$47:$A$48,'Over to underbark'!E$47:E$48)*AA453</f>
        <v>31.033929276000006</v>
      </c>
      <c r="AF453">
        <f>LOOKUP($A453,'Over to underbark'!$A$47:$A$48,'Over to underbark'!E$47:E$48)*AB453</f>
        <v>45.167865559739994</v>
      </c>
      <c r="AG453">
        <f>LOOKUP($A453,'Over to underbark'!$A$47:$A$48,'Over to underbark'!E$47:E$48)*AC453</f>
        <v>176.96173783680001</v>
      </c>
      <c r="AH453" t="b">
        <f t="shared" si="111"/>
        <v>1</v>
      </c>
      <c r="AI453" t="b">
        <f t="shared" si="112"/>
        <v>1</v>
      </c>
      <c r="AJ453">
        <f>LOOKUP(A453,'Over to underbark'!$A$47:$A$48,'Over to underbark'!E$47:E$48)*M453</f>
        <v>437.178</v>
      </c>
      <c r="AK453" s="22">
        <f>LOOKUP(A453,'Over to underbark'!$A$47:$A$48,'Over to underbark'!$B$47:$B$48)*AJ453</f>
        <v>148.64052000000001</v>
      </c>
      <c r="AL453" s="22">
        <f>LOOKUP(A453,'Over to underbark'!$A$47:$A$48,'Over to underbark'!C$47:C$48)*AJ453</f>
        <v>153.01229999999998</v>
      </c>
      <c r="AM453" s="22">
        <f t="shared" si="113"/>
        <v>585.81852000000003</v>
      </c>
      <c r="AN453" s="36">
        <v>1202.5999999999999</v>
      </c>
      <c r="AO453" s="23">
        <f t="shared" si="114"/>
        <v>1171.6370400000001</v>
      </c>
      <c r="AQ453">
        <f t="shared" si="115"/>
        <v>0.67164179104477606</v>
      </c>
    </row>
    <row r="454" spans="1:43" x14ac:dyDescent="0.35">
      <c r="A454" t="s">
        <v>41</v>
      </c>
      <c r="B454">
        <v>14</v>
      </c>
      <c r="C454">
        <v>2</v>
      </c>
      <c r="D454" t="s">
        <v>42</v>
      </c>
      <c r="E454">
        <v>2</v>
      </c>
      <c r="F454">
        <v>1</v>
      </c>
      <c r="G454" s="30">
        <v>93</v>
      </c>
      <c r="H454" s="30">
        <v>30.24</v>
      </c>
      <c r="I454" s="30">
        <v>625</v>
      </c>
      <c r="J454" s="30">
        <v>42.005000000000003</v>
      </c>
      <c r="K454" s="30">
        <v>86.644999999999996</v>
      </c>
      <c r="L454" s="30">
        <v>1.6739999999999999</v>
      </c>
      <c r="M454" s="32">
        <v>1046.78</v>
      </c>
      <c r="N454" s="30">
        <v>11.581</v>
      </c>
      <c r="O454" s="29">
        <v>11.256</v>
      </c>
      <c r="P454" s="31">
        <v>93</v>
      </c>
      <c r="Q454" s="31">
        <v>42.005000000000003</v>
      </c>
      <c r="R454" s="31">
        <v>42.456000000000003</v>
      </c>
      <c r="S454" s="31">
        <v>1004.324</v>
      </c>
      <c r="T454" s="10" t="b">
        <f t="shared" si="102"/>
        <v>1</v>
      </c>
      <c r="U454" s="10" t="b">
        <f t="shared" si="103"/>
        <v>1</v>
      </c>
      <c r="V454" s="11">
        <f>VLOOKUP(IF(J454&lt;10, 10, IF(J454&gt;50,50,J454)),'Over to underbark'!$A$3:$C$43,IF(A454="Scots pine",3,IF(A454="Sitka spruce",2, "error")),TRUE)/100</f>
        <v>0.85</v>
      </c>
      <c r="W454">
        <f t="shared" si="104"/>
        <v>32.478840000000005</v>
      </c>
      <c r="X454">
        <f t="shared" si="105"/>
        <v>768.30785999999989</v>
      </c>
      <c r="Y454">
        <f t="shared" si="106"/>
        <v>141.31530000000001</v>
      </c>
      <c r="Z454">
        <f t="shared" si="107"/>
        <v>335.786410854</v>
      </c>
      <c r="AA454">
        <f t="shared" si="108"/>
        <v>74.230322400000006</v>
      </c>
      <c r="AB454">
        <f t="shared" si="109"/>
        <v>107.97932802599999</v>
      </c>
      <c r="AC454">
        <f t="shared" si="110"/>
        <v>424.10593871999998</v>
      </c>
      <c r="AD454">
        <f>LOOKUP($A454,'Over to underbark'!$A$47:$A$48,'Over to underbark'!E$47:E$48)*Z454</f>
        <v>141.03029255868</v>
      </c>
      <c r="AE454">
        <f>LOOKUP($A454,'Over to underbark'!$A$47:$A$48,'Over to underbark'!E$47:E$48)*AA454</f>
        <v>31.176735408000003</v>
      </c>
      <c r="AF454">
        <f>LOOKUP($A454,'Over to underbark'!$A$47:$A$48,'Over to underbark'!E$47:E$48)*AB454</f>
        <v>45.351317770919991</v>
      </c>
      <c r="AG454">
        <f>LOOKUP($A454,'Over to underbark'!$A$47:$A$48,'Over to underbark'!E$47:E$48)*AC454</f>
        <v>178.12449426239999</v>
      </c>
      <c r="AH454" t="b">
        <f t="shared" si="111"/>
        <v>1</v>
      </c>
      <c r="AI454" t="b">
        <f t="shared" si="112"/>
        <v>1</v>
      </c>
      <c r="AJ454">
        <f>LOOKUP(A454,'Over to underbark'!$A$47:$A$48,'Over to underbark'!E$47:E$48)*M454</f>
        <v>439.64759999999995</v>
      </c>
      <c r="AK454" s="22">
        <f>LOOKUP(A454,'Over to underbark'!$A$47:$A$48,'Over to underbark'!$B$47:$B$48)*AJ454</f>
        <v>149.48018400000001</v>
      </c>
      <c r="AL454" s="22">
        <f>LOOKUP(A454,'Over to underbark'!$A$47:$A$48,'Over to underbark'!C$47:C$48)*AJ454</f>
        <v>153.87665999999999</v>
      </c>
      <c r="AM454" s="22">
        <f t="shared" si="113"/>
        <v>589.12778400000002</v>
      </c>
      <c r="AN454" s="36">
        <v>1203.5999999999999</v>
      </c>
      <c r="AO454" s="23">
        <f t="shared" si="114"/>
        <v>1178.255568</v>
      </c>
      <c r="AQ454">
        <f t="shared" si="115"/>
        <v>0.67164179104477606</v>
      </c>
    </row>
    <row r="455" spans="1:43" x14ac:dyDescent="0.35">
      <c r="A455" t="s">
        <v>41</v>
      </c>
      <c r="B455">
        <v>14</v>
      </c>
      <c r="C455">
        <v>2</v>
      </c>
      <c r="D455" t="s">
        <v>42</v>
      </c>
      <c r="E455">
        <v>2</v>
      </c>
      <c r="F455">
        <v>1</v>
      </c>
      <c r="G455" s="30">
        <v>94</v>
      </c>
      <c r="H455" s="30">
        <v>30.33</v>
      </c>
      <c r="I455" s="30">
        <v>623</v>
      </c>
      <c r="J455" s="30">
        <v>42.17</v>
      </c>
      <c r="K455" s="30">
        <v>86.974000000000004</v>
      </c>
      <c r="L455" s="30">
        <v>1.69</v>
      </c>
      <c r="M455" s="32">
        <v>1052.6600000000001</v>
      </c>
      <c r="N455" s="30">
        <v>11.59</v>
      </c>
      <c r="O455" s="29">
        <v>11.199</v>
      </c>
      <c r="P455" s="31">
        <v>94</v>
      </c>
      <c r="Q455" s="31">
        <v>42.17</v>
      </c>
      <c r="R455" s="31">
        <v>41.789000000000001</v>
      </c>
      <c r="S455" s="31">
        <v>1010.871</v>
      </c>
      <c r="T455" s="10" t="b">
        <f t="shared" si="102"/>
        <v>1</v>
      </c>
      <c r="U455" s="10" t="b">
        <f t="shared" si="103"/>
        <v>1</v>
      </c>
      <c r="V455" s="11">
        <f>VLOOKUP(IF(J455&lt;10, 10, IF(J455&gt;50,50,J455)),'Over to underbark'!$A$3:$C$43,IF(A455="Scots pine",3,IF(A455="Sitka spruce",2, "error")),TRUE)/100</f>
        <v>0.85</v>
      </c>
      <c r="W455">
        <f t="shared" si="104"/>
        <v>31.968585000000001</v>
      </c>
      <c r="X455">
        <f t="shared" si="105"/>
        <v>773.31631500000003</v>
      </c>
      <c r="Y455">
        <f t="shared" si="106"/>
        <v>142.10910000000004</v>
      </c>
      <c r="Z455">
        <f t="shared" si="107"/>
        <v>337.53451011975005</v>
      </c>
      <c r="AA455">
        <f t="shared" si="108"/>
        <v>74.571094350000024</v>
      </c>
      <c r="AB455">
        <f t="shared" si="109"/>
        <v>108.41778965025</v>
      </c>
      <c r="AC455">
        <f t="shared" si="110"/>
        <v>426.87060587999997</v>
      </c>
      <c r="AD455">
        <f>LOOKUP($A455,'Over to underbark'!$A$47:$A$48,'Over to underbark'!E$47:E$48)*Z455</f>
        <v>141.76449425029503</v>
      </c>
      <c r="AE455">
        <f>LOOKUP($A455,'Over to underbark'!$A$47:$A$48,'Over to underbark'!E$47:E$48)*AA455</f>
        <v>31.31985962700001</v>
      </c>
      <c r="AF455">
        <f>LOOKUP($A455,'Over to underbark'!$A$47:$A$48,'Over to underbark'!E$47:E$48)*AB455</f>
        <v>45.535471653104999</v>
      </c>
      <c r="AG455">
        <f>LOOKUP($A455,'Over to underbark'!$A$47:$A$48,'Over to underbark'!E$47:E$48)*AC455</f>
        <v>179.28565446959999</v>
      </c>
      <c r="AH455" t="b">
        <f t="shared" si="111"/>
        <v>1</v>
      </c>
      <c r="AI455" t="b">
        <f t="shared" si="112"/>
        <v>1</v>
      </c>
      <c r="AJ455">
        <f>LOOKUP(A455,'Over to underbark'!$A$47:$A$48,'Over to underbark'!E$47:E$48)*M455</f>
        <v>442.11720000000003</v>
      </c>
      <c r="AK455" s="22">
        <f>LOOKUP(A455,'Over to underbark'!$A$47:$A$48,'Over to underbark'!$B$47:$B$48)*AJ455</f>
        <v>150.31984800000001</v>
      </c>
      <c r="AL455" s="22">
        <f>LOOKUP(A455,'Over to underbark'!$A$47:$A$48,'Over to underbark'!C$47:C$48)*AJ455</f>
        <v>154.74101999999999</v>
      </c>
      <c r="AM455" s="22">
        <f t="shared" si="113"/>
        <v>592.437048</v>
      </c>
      <c r="AN455" s="36">
        <v>1204.5999999999999</v>
      </c>
      <c r="AO455" s="23">
        <f t="shared" si="114"/>
        <v>1184.874096</v>
      </c>
      <c r="AQ455">
        <f t="shared" si="115"/>
        <v>0.67164179104477617</v>
      </c>
    </row>
    <row r="456" spans="1:43" x14ac:dyDescent="0.35">
      <c r="A456" t="s">
        <v>41</v>
      </c>
      <c r="B456">
        <v>14</v>
      </c>
      <c r="C456">
        <v>2</v>
      </c>
      <c r="D456" t="s">
        <v>42</v>
      </c>
      <c r="E456">
        <v>2</v>
      </c>
      <c r="F456">
        <v>1</v>
      </c>
      <c r="G456" s="30">
        <v>95</v>
      </c>
      <c r="H456" s="30">
        <v>30.42</v>
      </c>
      <c r="I456" s="30">
        <v>620</v>
      </c>
      <c r="J456" s="30">
        <v>42.335999999999999</v>
      </c>
      <c r="K456" s="30">
        <v>87.302000000000007</v>
      </c>
      <c r="L456" s="30">
        <v>1.7070000000000001</v>
      </c>
      <c r="M456" s="32">
        <v>1058.54</v>
      </c>
      <c r="N456" s="30">
        <v>11.6</v>
      </c>
      <c r="O456" s="29">
        <v>11.143000000000001</v>
      </c>
      <c r="P456" s="31">
        <v>95</v>
      </c>
      <c r="Q456" s="31">
        <v>42.335999999999999</v>
      </c>
      <c r="R456" s="31">
        <v>41.125</v>
      </c>
      <c r="S456" s="31">
        <v>1017.415</v>
      </c>
      <c r="T456" s="10" t="b">
        <f t="shared" si="88"/>
        <v>1</v>
      </c>
      <c r="U456" s="10" t="b">
        <f t="shared" si="89"/>
        <v>1</v>
      </c>
      <c r="V456" s="11">
        <f>VLOOKUP(IF(J456&lt;10, 10, IF(J456&gt;50,50,J456)),'Over to underbark'!$A$3:$C$43,IF(A456="Scots pine",3,IF(A456="Sitka spruce",2, "error")),TRUE)/100</f>
        <v>0.85</v>
      </c>
      <c r="W456">
        <f t="shared" si="104"/>
        <v>31.460625</v>
      </c>
      <c r="X456">
        <f t="shared" si="105"/>
        <v>778.32247499999994</v>
      </c>
      <c r="Y456">
        <f t="shared" si="106"/>
        <v>142.90290000000002</v>
      </c>
      <c r="Z456">
        <f t="shared" si="107"/>
        <v>339.28306689375</v>
      </c>
      <c r="AA456">
        <f t="shared" si="108"/>
        <v>74.912118750000005</v>
      </c>
      <c r="AB456">
        <f t="shared" si="109"/>
        <v>108.85680815625</v>
      </c>
      <c r="AC456">
        <f t="shared" si="110"/>
        <v>429.63400619999999</v>
      </c>
      <c r="AD456">
        <f>LOOKUP($A456,'Over to underbark'!$A$47:$A$48,'Over to underbark'!E$47:E$48)*Z456</f>
        <v>142.49888809537501</v>
      </c>
      <c r="AE456">
        <f>LOOKUP($A456,'Over to underbark'!$A$47:$A$48,'Over to underbark'!E$47:E$48)*AA456</f>
        <v>31.463089875000001</v>
      </c>
      <c r="AF456">
        <f>LOOKUP($A456,'Over to underbark'!$A$47:$A$48,'Over to underbark'!E$47:E$48)*AB456</f>
        <v>45.719859425624996</v>
      </c>
      <c r="AG456">
        <f>LOOKUP($A456,'Over to underbark'!$A$47:$A$48,'Over to underbark'!E$47:E$48)*AC456</f>
        <v>180.44628260399998</v>
      </c>
      <c r="AH456" t="b">
        <f t="shared" si="111"/>
        <v>1</v>
      </c>
      <c r="AI456" t="b">
        <f t="shared" si="112"/>
        <v>1</v>
      </c>
      <c r="AJ456">
        <f>LOOKUP(A456,'Over to underbark'!$A$47:$A$48,'Over to underbark'!E$47:E$48)*M456</f>
        <v>444.58679999999998</v>
      </c>
      <c r="AK456" s="22">
        <f>LOOKUP(A456,'Over to underbark'!$A$47:$A$48,'Over to underbark'!$B$47:$B$48)*AJ456</f>
        <v>151.15951200000001</v>
      </c>
      <c r="AL456" s="22">
        <f>LOOKUP(A456,'Over to underbark'!$A$47:$A$48,'Over to underbark'!C$47:C$48)*AJ456</f>
        <v>155.60538</v>
      </c>
      <c r="AM456" s="22">
        <f t="shared" si="113"/>
        <v>595.74631199999999</v>
      </c>
      <c r="AN456" s="36">
        <v>1205.5999999999999</v>
      </c>
      <c r="AO456" s="23">
        <f t="shared" si="114"/>
        <v>1191.492624</v>
      </c>
      <c r="AQ456">
        <f t="shared" si="115"/>
        <v>0.67164179104477606</v>
      </c>
    </row>
    <row r="457" spans="1:43" x14ac:dyDescent="0.35">
      <c r="A457" t="s">
        <v>41</v>
      </c>
      <c r="B457">
        <v>14</v>
      </c>
      <c r="C457">
        <v>2</v>
      </c>
      <c r="D457" t="s">
        <v>42</v>
      </c>
      <c r="E457">
        <v>2</v>
      </c>
      <c r="F457">
        <v>1</v>
      </c>
      <c r="G457" s="30">
        <v>96</v>
      </c>
      <c r="H457" s="30">
        <v>30.51</v>
      </c>
      <c r="I457" s="30">
        <v>618</v>
      </c>
      <c r="J457" s="30">
        <v>42.503</v>
      </c>
      <c r="K457" s="30">
        <v>87.631</v>
      </c>
      <c r="L457" s="30">
        <v>1.7230000000000001</v>
      </c>
      <c r="M457" s="32">
        <v>1064.42</v>
      </c>
      <c r="N457" s="30">
        <v>11.609</v>
      </c>
      <c r="O457" s="29">
        <v>11.087999999999999</v>
      </c>
      <c r="P457" s="31">
        <v>96</v>
      </c>
      <c r="Q457" s="31">
        <v>42.503</v>
      </c>
      <c r="R457" s="31">
        <v>40.465000000000003</v>
      </c>
      <c r="S457" s="31">
        <v>1023.955</v>
      </c>
      <c r="T457" s="10" t="b">
        <f t="shared" si="88"/>
        <v>1</v>
      </c>
      <c r="U457" s="10" t="b">
        <f t="shared" si="89"/>
        <v>1</v>
      </c>
      <c r="V457" s="11">
        <f>VLOOKUP(IF(J457&lt;10, 10, IF(J457&gt;50,50,J457)),'Over to underbark'!$A$3:$C$43,IF(A457="Scots pine",3,IF(A457="Sitka spruce",2, "error")),TRUE)/100</f>
        <v>0.85</v>
      </c>
      <c r="W457">
        <f t="shared" si="104"/>
        <v>30.955725000000001</v>
      </c>
      <c r="X457">
        <f t="shared" si="105"/>
        <v>783.32557500000007</v>
      </c>
      <c r="Y457">
        <f t="shared" si="106"/>
        <v>143.69670000000002</v>
      </c>
      <c r="Z457">
        <f t="shared" si="107"/>
        <v>341.03223367875006</v>
      </c>
      <c r="AA457">
        <f t="shared" si="108"/>
        <v>75.253479750000011</v>
      </c>
      <c r="AB457">
        <f t="shared" si="109"/>
        <v>109.29656917125001</v>
      </c>
      <c r="AC457">
        <f t="shared" si="110"/>
        <v>432.39571740000008</v>
      </c>
      <c r="AD457">
        <f>LOOKUP($A457,'Over to underbark'!$A$47:$A$48,'Over to underbark'!E$47:E$48)*Z457</f>
        <v>143.23353814507502</v>
      </c>
      <c r="AE457">
        <f>LOOKUP($A457,'Over to underbark'!$A$47:$A$48,'Over to underbark'!E$47:E$48)*AA457</f>
        <v>31.606461495000005</v>
      </c>
      <c r="AF457">
        <f>LOOKUP($A457,'Over to underbark'!$A$47:$A$48,'Over to underbark'!E$47:E$48)*AB457</f>
        <v>45.904559051925006</v>
      </c>
      <c r="AG457">
        <f>LOOKUP($A457,'Over to underbark'!$A$47:$A$48,'Over to underbark'!E$47:E$48)*AC457</f>
        <v>181.60620130800004</v>
      </c>
      <c r="AH457" t="b">
        <f t="shared" si="111"/>
        <v>1</v>
      </c>
      <c r="AI457" t="b">
        <f t="shared" si="112"/>
        <v>1</v>
      </c>
      <c r="AJ457">
        <f>LOOKUP(A457,'Over to underbark'!$A$47:$A$48,'Over to underbark'!E$47:E$48)*M457</f>
        <v>447.0564</v>
      </c>
      <c r="AK457" s="22">
        <f>LOOKUP(A457,'Over to underbark'!$A$47:$A$48,'Over to underbark'!$B$47:$B$48)*AJ457</f>
        <v>151.99917600000001</v>
      </c>
      <c r="AL457" s="22">
        <f>LOOKUP(A457,'Over to underbark'!$A$47:$A$48,'Over to underbark'!C$47:C$48)*AJ457</f>
        <v>156.46974</v>
      </c>
      <c r="AM457" s="22">
        <f t="shared" si="113"/>
        <v>599.05557599999997</v>
      </c>
      <c r="AN457" s="36">
        <v>1206.5999999999999</v>
      </c>
      <c r="AO457" s="23">
        <f t="shared" si="114"/>
        <v>1198.1111519999999</v>
      </c>
      <c r="AQ457">
        <f t="shared" si="115"/>
        <v>0.67164179104477617</v>
      </c>
    </row>
    <row r="458" spans="1:43" x14ac:dyDescent="0.35">
      <c r="A458" t="s">
        <v>41</v>
      </c>
      <c r="B458">
        <v>14</v>
      </c>
      <c r="C458">
        <v>2</v>
      </c>
      <c r="D458" t="s">
        <v>42</v>
      </c>
      <c r="E458">
        <v>2</v>
      </c>
      <c r="F458">
        <v>1</v>
      </c>
      <c r="G458" s="30">
        <v>97</v>
      </c>
      <c r="H458" s="30">
        <v>30.6</v>
      </c>
      <c r="I458" s="30">
        <v>615</v>
      </c>
      <c r="J458" s="30">
        <v>42.67</v>
      </c>
      <c r="K458" s="30">
        <v>87.959000000000003</v>
      </c>
      <c r="L458" s="30">
        <v>1.74</v>
      </c>
      <c r="M458" s="32">
        <v>1070.3</v>
      </c>
      <c r="N458" s="30">
        <v>11.618</v>
      </c>
      <c r="O458" s="29">
        <v>11.034000000000001</v>
      </c>
      <c r="P458" s="31">
        <v>97</v>
      </c>
      <c r="Q458" s="31">
        <v>42.67</v>
      </c>
      <c r="R458" s="31">
        <v>39.814999999999998</v>
      </c>
      <c r="S458" s="31">
        <v>1030.4849999999999</v>
      </c>
      <c r="T458" s="10" t="b">
        <f t="shared" si="88"/>
        <v>1</v>
      </c>
      <c r="U458" s="10" t="b">
        <f t="shared" si="89"/>
        <v>1</v>
      </c>
      <c r="V458" s="11">
        <f>VLOOKUP(IF(J458&lt;10, 10, IF(J458&gt;50,50,J458)),'Over to underbark'!$A$3:$C$43,IF(A458="Scots pine",3,IF(A458="Sitka spruce",2, "error")),TRUE)/100</f>
        <v>0.85</v>
      </c>
      <c r="W458">
        <f t="shared" si="104"/>
        <v>30.458475</v>
      </c>
      <c r="X458">
        <f t="shared" si="105"/>
        <v>788.32102499999985</v>
      </c>
      <c r="Y458">
        <f t="shared" si="106"/>
        <v>144.49050000000003</v>
      </c>
      <c r="Z458">
        <f t="shared" si="107"/>
        <v>342.78292549124996</v>
      </c>
      <c r="AA458">
        <f t="shared" si="108"/>
        <v>75.59568225000001</v>
      </c>
      <c r="AB458">
        <f t="shared" si="109"/>
        <v>109.73818645874998</v>
      </c>
      <c r="AC458">
        <f t="shared" si="110"/>
        <v>435.15320579999991</v>
      </c>
      <c r="AD458">
        <f>LOOKUP($A458,'Over to underbark'!$A$47:$A$48,'Over to underbark'!E$47:E$48)*Z458</f>
        <v>143.96882870632498</v>
      </c>
      <c r="AE458">
        <f>LOOKUP($A458,'Over to underbark'!$A$47:$A$48,'Over to underbark'!E$47:E$48)*AA458</f>
        <v>31.750186545000002</v>
      </c>
      <c r="AF458">
        <f>LOOKUP($A458,'Over to underbark'!$A$47:$A$48,'Over to underbark'!E$47:E$48)*AB458</f>
        <v>46.090038312674992</v>
      </c>
      <c r="AG458">
        <f>LOOKUP($A458,'Over to underbark'!$A$47:$A$48,'Over to underbark'!E$47:E$48)*AC458</f>
        <v>182.76434643599995</v>
      </c>
      <c r="AH458" t="b">
        <f t="shared" si="111"/>
        <v>1</v>
      </c>
      <c r="AI458" t="b">
        <f t="shared" si="112"/>
        <v>1</v>
      </c>
      <c r="AJ458">
        <f>LOOKUP(A458,'Over to underbark'!$A$47:$A$48,'Over to underbark'!E$47:E$48)*M458</f>
        <v>449.52599999999995</v>
      </c>
      <c r="AK458" s="22">
        <f>LOOKUP(A458,'Over to underbark'!$A$47:$A$48,'Over to underbark'!$B$47:$B$48)*AJ458</f>
        <v>152.83884</v>
      </c>
      <c r="AL458" s="22">
        <f>LOOKUP(A458,'Over to underbark'!$A$47:$A$48,'Over to underbark'!C$47:C$48)*AJ458</f>
        <v>157.33409999999998</v>
      </c>
      <c r="AM458" s="22">
        <f t="shared" si="113"/>
        <v>602.36483999999996</v>
      </c>
      <c r="AN458" s="36">
        <v>1207.5999999999999</v>
      </c>
      <c r="AO458" s="23">
        <f t="shared" si="114"/>
        <v>1204.7296799999999</v>
      </c>
      <c r="AQ458">
        <f t="shared" si="115"/>
        <v>0.67164179104477595</v>
      </c>
    </row>
    <row r="459" spans="1:43" x14ac:dyDescent="0.35">
      <c r="A459" t="s">
        <v>43</v>
      </c>
      <c r="B459">
        <v>6</v>
      </c>
      <c r="C459">
        <v>2</v>
      </c>
      <c r="D459" t="s">
        <v>42</v>
      </c>
      <c r="E459">
        <v>2</v>
      </c>
      <c r="F459">
        <v>1</v>
      </c>
      <c r="G459" s="12">
        <v>30</v>
      </c>
      <c r="H459" s="12">
        <v>7.45</v>
      </c>
      <c r="I459" s="12">
        <v>2307</v>
      </c>
      <c r="J459" s="12">
        <v>11.42</v>
      </c>
      <c r="K459" s="12">
        <v>23.63</v>
      </c>
      <c r="L459" s="12">
        <v>2.9000000000000001E-2</v>
      </c>
      <c r="M459" s="19">
        <v>67</v>
      </c>
      <c r="N459" s="12">
        <v>0</v>
      </c>
      <c r="O459" s="13">
        <v>2.2330000000000001</v>
      </c>
      <c r="P459" s="14">
        <v>30</v>
      </c>
      <c r="Q459" s="14">
        <v>11.42</v>
      </c>
      <c r="R459" s="14">
        <v>67</v>
      </c>
      <c r="S459" s="14">
        <v>0</v>
      </c>
      <c r="T459" s="10" t="b">
        <f t="shared" ref="T459:T522" si="116">G459=P459</f>
        <v>1</v>
      </c>
      <c r="U459" s="10" t="b">
        <f t="shared" ref="U459:U522" si="117">J459=Q459</f>
        <v>1</v>
      </c>
      <c r="V459" s="11">
        <f>VLOOKUP(IF(J459&lt;10, 10, IF(J459&gt;50,50,J459)),'Over to underbark'!$A$3:$C$43,IF(A459="Scots pine",3,IF(A459="Sitka spruce",2, "error")),TRUE)/100</f>
        <v>0.82</v>
      </c>
      <c r="W459">
        <f t="shared" ref="W459:W522" si="118">R459*0.9*V459</f>
        <v>49.445999999999998</v>
      </c>
      <c r="X459">
        <f t="shared" ref="X459:X522" si="119">S459*0.9*V459</f>
        <v>0</v>
      </c>
      <c r="Y459">
        <f t="shared" ref="Y459:Y522" si="120">(R459+S459)*0.9*(100%-V459)</f>
        <v>10.854000000000005</v>
      </c>
      <c r="Z459">
        <f t="shared" si="63"/>
        <v>31.255118100000001</v>
      </c>
      <c r="AA459">
        <f t="shared" si="64"/>
        <v>10.866060000000001</v>
      </c>
      <c r="AB459">
        <f t="shared" si="65"/>
        <v>18.178821899999999</v>
      </c>
      <c r="AC459">
        <f t="shared" si="66"/>
        <v>0</v>
      </c>
      <c r="AD459">
        <f>LOOKUP($A459,'Over to underbark'!$A$47:$A$48,'Over to underbark'!E$47:E$48)*Z459</f>
        <v>10.314188973</v>
      </c>
      <c r="AE459">
        <f>LOOKUP($A459,'Over to underbark'!$A$47:$A$48,'Over to underbark'!E$47:E$48)*AA459</f>
        <v>3.5857998000000006</v>
      </c>
      <c r="AF459">
        <f>LOOKUP($A459,'Over to underbark'!$A$47:$A$48,'Over to underbark'!E$47:E$48)*AB459</f>
        <v>5.9990112269999996</v>
      </c>
      <c r="AG459">
        <f>LOOKUP($A459,'Over to underbark'!$A$47:$A$48,'Over to underbark'!E$47:E$48)*AC459</f>
        <v>0</v>
      </c>
      <c r="AH459" t="b">
        <f t="shared" si="67"/>
        <v>1</v>
      </c>
      <c r="AI459" t="b">
        <f t="shared" ref="AI459:AI522" si="121">SUM(R459:S459)*0.9 = SUM(W459:Y459)</f>
        <v>1</v>
      </c>
      <c r="AJ459">
        <f>LOOKUP(A459,'Over to underbark'!$A$47:$A$48,'Over to underbark'!E$47:E$48)*M459</f>
        <v>22.11</v>
      </c>
      <c r="AK459" s="22">
        <f>LOOKUP(A459,'Over to underbark'!$A$47:$A$48,'Over to underbark'!$B$47:$B$48)*AJ459</f>
        <v>7.0751999999999997</v>
      </c>
      <c r="AL459" s="22">
        <f>LOOKUP(A459,'Over to underbark'!$A$47:$A$48,'Over to underbark'!C$47:C$48)*AJ459</f>
        <v>10.8339</v>
      </c>
      <c r="AM459" s="22">
        <f t="shared" si="69"/>
        <v>29.185199999999998</v>
      </c>
      <c r="AN459" s="36">
        <v>88.44</v>
      </c>
      <c r="AO459" s="23">
        <f t="shared" si="70"/>
        <v>58.370399999999997</v>
      </c>
      <c r="AQ459">
        <f t="shared" si="115"/>
        <v>0.68181818181818188</v>
      </c>
    </row>
    <row r="460" spans="1:43" x14ac:dyDescent="0.35">
      <c r="A460" t="s">
        <v>43</v>
      </c>
      <c r="B460">
        <v>6</v>
      </c>
      <c r="C460">
        <v>2</v>
      </c>
      <c r="D460" t="s">
        <v>42</v>
      </c>
      <c r="E460">
        <v>2</v>
      </c>
      <c r="F460">
        <v>1</v>
      </c>
      <c r="G460" s="12">
        <v>31</v>
      </c>
      <c r="H460" s="12">
        <v>7.8019999999999996</v>
      </c>
      <c r="I460" s="12">
        <v>2299</v>
      </c>
      <c r="J460" s="12">
        <v>11.76</v>
      </c>
      <c r="K460" s="12">
        <v>24.971</v>
      </c>
      <c r="L460" s="12">
        <v>3.3000000000000002E-2</v>
      </c>
      <c r="M460" s="19">
        <v>75.14</v>
      </c>
      <c r="N460" s="12">
        <v>0</v>
      </c>
      <c r="O460" s="13">
        <v>2.4239999999999999</v>
      </c>
      <c r="P460" s="14">
        <v>31</v>
      </c>
      <c r="Q460" s="14">
        <v>11.76</v>
      </c>
      <c r="R460" s="14">
        <v>75.14</v>
      </c>
      <c r="S460" s="14">
        <v>0</v>
      </c>
      <c r="T460" s="10" t="b">
        <f t="shared" si="116"/>
        <v>1</v>
      </c>
      <c r="U460" s="10" t="b">
        <f t="shared" si="117"/>
        <v>1</v>
      </c>
      <c r="V460" s="11">
        <f>VLOOKUP(IF(J460&lt;10, 10, IF(J460&gt;50,50,J460)),'Over to underbark'!$A$3:$C$43,IF(A460="Scots pine",3,IF(A460="Sitka spruce",2, "error")),TRUE)/100</f>
        <v>0.82</v>
      </c>
      <c r="W460">
        <f t="shared" si="118"/>
        <v>55.453319999999998</v>
      </c>
      <c r="X460">
        <f t="shared" si="119"/>
        <v>0</v>
      </c>
      <c r="Y460">
        <f t="shared" si="120"/>
        <v>12.172680000000003</v>
      </c>
      <c r="Z460">
        <f t="shared" si="63"/>
        <v>35.052381702000005</v>
      </c>
      <c r="AA460">
        <f t="shared" si="64"/>
        <v>12.186205200000002</v>
      </c>
      <c r="AB460">
        <f t="shared" si="65"/>
        <v>20.387413097999996</v>
      </c>
      <c r="AC460">
        <f t="shared" si="66"/>
        <v>0</v>
      </c>
      <c r="AD460">
        <f>LOOKUP($A460,'Over to underbark'!$A$47:$A$48,'Over to underbark'!E$47:E$48)*Z460</f>
        <v>11.567285961660001</v>
      </c>
      <c r="AE460">
        <f>LOOKUP($A460,'Over to underbark'!$A$47:$A$48,'Over to underbark'!E$47:E$48)*AA460</f>
        <v>4.0214477160000008</v>
      </c>
      <c r="AF460">
        <f>LOOKUP($A460,'Over to underbark'!$A$47:$A$48,'Over to underbark'!E$47:E$48)*AB460</f>
        <v>6.7278463223399987</v>
      </c>
      <c r="AG460">
        <f>LOOKUP($A460,'Over to underbark'!$A$47:$A$48,'Over to underbark'!E$47:E$48)*AC460</f>
        <v>0</v>
      </c>
      <c r="AH460" t="b">
        <f t="shared" si="67"/>
        <v>1</v>
      </c>
      <c r="AI460" t="b">
        <f t="shared" si="121"/>
        <v>1</v>
      </c>
      <c r="AJ460">
        <f>LOOKUP(A460,'Over to underbark'!$A$47:$A$48,'Over to underbark'!E$47:E$48)*M460</f>
        <v>24.796200000000002</v>
      </c>
      <c r="AK460" s="22">
        <f>LOOKUP(A460,'Over to underbark'!$A$47:$A$48,'Over to underbark'!$B$47:$B$48)*AJ460</f>
        <v>7.9347840000000014</v>
      </c>
      <c r="AL460" s="22">
        <f>LOOKUP(A460,'Over to underbark'!$A$47:$A$48,'Over to underbark'!C$47:C$48)*AJ460</f>
        <v>12.150138</v>
      </c>
      <c r="AM460" s="22">
        <f t="shared" si="69"/>
        <v>32.730984000000007</v>
      </c>
      <c r="AN460" s="36">
        <v>99.18</v>
      </c>
      <c r="AO460" s="23">
        <f t="shared" si="70"/>
        <v>65.461968000000013</v>
      </c>
      <c r="AQ460">
        <f t="shared" si="115"/>
        <v>0.68181818181818177</v>
      </c>
    </row>
    <row r="461" spans="1:43" x14ac:dyDescent="0.35">
      <c r="A461" t="s">
        <v>43</v>
      </c>
      <c r="B461">
        <v>6</v>
      </c>
      <c r="C461">
        <v>2</v>
      </c>
      <c r="D461" t="s">
        <v>42</v>
      </c>
      <c r="E461">
        <v>2</v>
      </c>
      <c r="F461">
        <v>1</v>
      </c>
      <c r="G461" s="12">
        <v>32</v>
      </c>
      <c r="H461" s="12">
        <v>8.1539999999999999</v>
      </c>
      <c r="I461" s="12">
        <v>2291</v>
      </c>
      <c r="J461" s="12">
        <v>12.093</v>
      </c>
      <c r="K461" s="12">
        <v>26.312000000000001</v>
      </c>
      <c r="L461" s="12">
        <v>3.5999999999999997E-2</v>
      </c>
      <c r="M461" s="19">
        <v>83.28</v>
      </c>
      <c r="N461" s="12">
        <v>0</v>
      </c>
      <c r="O461" s="13">
        <v>2.6030000000000002</v>
      </c>
      <c r="P461" s="14">
        <v>32</v>
      </c>
      <c r="Q461" s="14">
        <v>12.093</v>
      </c>
      <c r="R461" s="14">
        <v>83.28</v>
      </c>
      <c r="S461" s="14">
        <v>0</v>
      </c>
      <c r="T461" s="10" t="b">
        <f t="shared" si="116"/>
        <v>1</v>
      </c>
      <c r="U461" s="10" t="b">
        <f t="shared" si="117"/>
        <v>1</v>
      </c>
      <c r="V461" s="11">
        <f>VLOOKUP(IF(J461&lt;10, 10, IF(J461&gt;50,50,J461)),'Over to underbark'!$A$3:$C$43,IF(A461="Scots pine",3,IF(A461="Sitka spruce",2, "error")),TRUE)/100</f>
        <v>0.87</v>
      </c>
      <c r="W461">
        <f t="shared" si="118"/>
        <v>65.208240000000004</v>
      </c>
      <c r="X461">
        <f t="shared" si="119"/>
        <v>0</v>
      </c>
      <c r="Y461">
        <f t="shared" si="120"/>
        <v>9.74376</v>
      </c>
      <c r="Z461">
        <f t="shared" si="63"/>
        <v>38.933404164000002</v>
      </c>
      <c r="AA461">
        <f t="shared" si="64"/>
        <v>12.0447864</v>
      </c>
      <c r="AB461">
        <f t="shared" si="65"/>
        <v>23.973809436</v>
      </c>
      <c r="AC461">
        <f t="shared" si="66"/>
        <v>0</v>
      </c>
      <c r="AD461">
        <f>LOOKUP($A461,'Over to underbark'!$A$47:$A$48,'Over to underbark'!E$47:E$48)*Z461</f>
        <v>12.848023374120002</v>
      </c>
      <c r="AE461">
        <f>LOOKUP($A461,'Over to underbark'!$A$47:$A$48,'Over to underbark'!E$47:E$48)*AA461</f>
        <v>3.974779512</v>
      </c>
      <c r="AF461">
        <f>LOOKUP($A461,'Over to underbark'!$A$47:$A$48,'Over to underbark'!E$47:E$48)*AB461</f>
        <v>7.9113571138800003</v>
      </c>
      <c r="AG461">
        <f>LOOKUP($A461,'Over to underbark'!$A$47:$A$48,'Over to underbark'!E$47:E$48)*AC461</f>
        <v>0</v>
      </c>
      <c r="AH461" t="b">
        <f t="shared" si="67"/>
        <v>1</v>
      </c>
      <c r="AI461" t="b">
        <f t="shared" si="121"/>
        <v>1</v>
      </c>
      <c r="AJ461">
        <f>LOOKUP(A461,'Over to underbark'!$A$47:$A$48,'Over to underbark'!E$47:E$48)*M461</f>
        <v>27.482400000000002</v>
      </c>
      <c r="AK461" s="22">
        <f>LOOKUP(A461,'Over to underbark'!$A$47:$A$48,'Over to underbark'!$B$47:$B$48)*AJ461</f>
        <v>8.7943680000000004</v>
      </c>
      <c r="AL461" s="22">
        <f>LOOKUP(A461,'Over to underbark'!$A$47:$A$48,'Over to underbark'!C$47:C$48)*AJ461</f>
        <v>13.466376</v>
      </c>
      <c r="AM461" s="22">
        <f t="shared" si="69"/>
        <v>36.276768000000004</v>
      </c>
      <c r="AN461" s="36">
        <v>109.93</v>
      </c>
      <c r="AO461" s="23">
        <f t="shared" si="70"/>
        <v>72.553536000000008</v>
      </c>
      <c r="AQ461">
        <f t="shared" si="115"/>
        <v>0.68181818181818177</v>
      </c>
    </row>
    <row r="462" spans="1:43" x14ac:dyDescent="0.35">
      <c r="A462" t="s">
        <v>43</v>
      </c>
      <c r="B462">
        <v>6</v>
      </c>
      <c r="C462">
        <v>2</v>
      </c>
      <c r="D462" t="s">
        <v>42</v>
      </c>
      <c r="E462">
        <v>2</v>
      </c>
      <c r="F462">
        <v>1</v>
      </c>
      <c r="G462" s="12">
        <v>33</v>
      </c>
      <c r="H462" s="12">
        <v>8.5060000000000002</v>
      </c>
      <c r="I462" s="12">
        <v>2283</v>
      </c>
      <c r="J462" s="12">
        <v>12.419</v>
      </c>
      <c r="K462" s="12">
        <v>27.654</v>
      </c>
      <c r="L462" s="12">
        <v>0.04</v>
      </c>
      <c r="M462" s="19">
        <v>91.42</v>
      </c>
      <c r="N462" s="12">
        <v>0</v>
      </c>
      <c r="O462" s="13">
        <v>2.77</v>
      </c>
      <c r="P462" s="14">
        <v>33</v>
      </c>
      <c r="Q462" s="14">
        <v>12.419</v>
      </c>
      <c r="R462" s="14">
        <v>91.42</v>
      </c>
      <c r="S462" s="14">
        <v>0</v>
      </c>
      <c r="T462" s="10" t="b">
        <f t="shared" si="116"/>
        <v>1</v>
      </c>
      <c r="U462" s="10" t="b">
        <f t="shared" si="117"/>
        <v>1</v>
      </c>
      <c r="V462" s="11">
        <f>VLOOKUP(IF(J462&lt;10, 10, IF(J462&gt;50,50,J462)),'Over to underbark'!$A$3:$C$43,IF(A462="Scots pine",3,IF(A462="Sitka spruce",2, "error")),TRUE)/100</f>
        <v>0.87</v>
      </c>
      <c r="W462">
        <f t="shared" si="118"/>
        <v>71.581860000000006</v>
      </c>
      <c r="X462">
        <f t="shared" si="119"/>
        <v>0</v>
      </c>
      <c r="Y462">
        <f t="shared" si="120"/>
        <v>10.696140000000002</v>
      </c>
      <c r="Z462">
        <f t="shared" si="63"/>
        <v>42.738854571000005</v>
      </c>
      <c r="AA462">
        <f t="shared" si="64"/>
        <v>13.222074600000003</v>
      </c>
      <c r="AB462">
        <f t="shared" si="65"/>
        <v>26.317070828999999</v>
      </c>
      <c r="AC462">
        <f t="shared" si="66"/>
        <v>0</v>
      </c>
      <c r="AD462">
        <f>LOOKUP($A462,'Over to underbark'!$A$47:$A$48,'Over to underbark'!E$47:E$48)*Z462</f>
        <v>14.103822008430003</v>
      </c>
      <c r="AE462">
        <f>LOOKUP($A462,'Over to underbark'!$A$47:$A$48,'Over to underbark'!E$47:E$48)*AA462</f>
        <v>4.3632846180000007</v>
      </c>
      <c r="AF462">
        <f>LOOKUP($A462,'Over to underbark'!$A$47:$A$48,'Over to underbark'!E$47:E$48)*AB462</f>
        <v>8.6846333735699996</v>
      </c>
      <c r="AG462">
        <f>LOOKUP($A462,'Over to underbark'!$A$47:$A$48,'Over to underbark'!E$47:E$48)*AC462</f>
        <v>0</v>
      </c>
      <c r="AH462" t="b">
        <f t="shared" si="67"/>
        <v>1</v>
      </c>
      <c r="AI462" t="b">
        <f t="shared" si="121"/>
        <v>1</v>
      </c>
      <c r="AJ462">
        <f>LOOKUP(A462,'Over to underbark'!$A$47:$A$48,'Over to underbark'!E$47:E$48)*M462</f>
        <v>30.168600000000001</v>
      </c>
      <c r="AK462" s="22">
        <f>LOOKUP(A462,'Over to underbark'!$A$47:$A$48,'Over to underbark'!$B$47:$B$48)*AJ462</f>
        <v>9.6539520000000003</v>
      </c>
      <c r="AL462" s="22">
        <f>LOOKUP(A462,'Over to underbark'!$A$47:$A$48,'Over to underbark'!C$47:C$48)*AJ462</f>
        <v>14.782614000000001</v>
      </c>
      <c r="AM462" s="22">
        <f t="shared" si="69"/>
        <v>39.822552000000002</v>
      </c>
      <c r="AN462" s="36">
        <v>120.67</v>
      </c>
      <c r="AO462" s="23">
        <f t="shared" si="70"/>
        <v>79.645104000000003</v>
      </c>
      <c r="AQ462">
        <f t="shared" si="115"/>
        <v>0.68181818181818188</v>
      </c>
    </row>
    <row r="463" spans="1:43" x14ac:dyDescent="0.35">
      <c r="A463" t="s">
        <v>43</v>
      </c>
      <c r="B463">
        <v>6</v>
      </c>
      <c r="C463">
        <v>2</v>
      </c>
      <c r="D463" t="s">
        <v>42</v>
      </c>
      <c r="E463">
        <v>2</v>
      </c>
      <c r="F463">
        <v>1</v>
      </c>
      <c r="G463" s="12">
        <v>34</v>
      </c>
      <c r="H463" s="12">
        <v>8.8580000000000005</v>
      </c>
      <c r="I463" s="12">
        <v>2275</v>
      </c>
      <c r="J463" s="12">
        <v>12.739000000000001</v>
      </c>
      <c r="K463" s="12">
        <v>28.995000000000001</v>
      </c>
      <c r="L463" s="12">
        <v>4.3999999999999997E-2</v>
      </c>
      <c r="M463" s="19">
        <v>99.56</v>
      </c>
      <c r="N463" s="12">
        <v>0</v>
      </c>
      <c r="O463" s="13">
        <v>2.9279999999999999</v>
      </c>
      <c r="P463" s="14">
        <v>34</v>
      </c>
      <c r="Q463" s="14">
        <v>12.739000000000001</v>
      </c>
      <c r="R463" s="14">
        <v>99.284999999999997</v>
      </c>
      <c r="S463" s="14">
        <v>0.27500000000000002</v>
      </c>
      <c r="T463" s="10" t="b">
        <f t="shared" si="116"/>
        <v>1</v>
      </c>
      <c r="U463" s="10" t="b">
        <f t="shared" si="117"/>
        <v>1</v>
      </c>
      <c r="V463" s="11">
        <f>VLOOKUP(IF(J463&lt;10, 10, IF(J463&gt;50,50,J463)),'Over to underbark'!$A$3:$C$43,IF(A463="Scots pine",3,IF(A463="Sitka spruce",2, "error")),TRUE)/100</f>
        <v>0.87</v>
      </c>
      <c r="W463">
        <f t="shared" si="118"/>
        <v>77.740155000000001</v>
      </c>
      <c r="X463">
        <f t="shared" si="119"/>
        <v>0.21532500000000002</v>
      </c>
      <c r="Y463">
        <f t="shared" si="120"/>
        <v>11.64852</v>
      </c>
      <c r="Z463">
        <f t="shared" si="63"/>
        <v>46.50137993925</v>
      </c>
      <c r="AA463">
        <f t="shared" si="64"/>
        <v>14.37567705</v>
      </c>
      <c r="AB463">
        <f t="shared" si="65"/>
        <v>28.608083610749997</v>
      </c>
      <c r="AC463">
        <f t="shared" si="66"/>
        <v>0.1188594</v>
      </c>
      <c r="AD463">
        <f>LOOKUP($A463,'Over to underbark'!$A$47:$A$48,'Over to underbark'!E$47:E$48)*Z463</f>
        <v>15.345455379952501</v>
      </c>
      <c r="AE463">
        <f>LOOKUP($A463,'Over to underbark'!$A$47:$A$48,'Over to underbark'!E$47:E$48)*AA463</f>
        <v>4.7439734265000002</v>
      </c>
      <c r="AF463">
        <f>LOOKUP($A463,'Over to underbark'!$A$47:$A$48,'Over to underbark'!E$47:E$48)*AB463</f>
        <v>9.4406675915475002</v>
      </c>
      <c r="AG463">
        <f>LOOKUP($A463,'Over to underbark'!$A$47:$A$48,'Over to underbark'!E$47:E$48)*AC463</f>
        <v>3.9223602000000003E-2</v>
      </c>
      <c r="AH463" t="b">
        <f t="shared" si="67"/>
        <v>1</v>
      </c>
      <c r="AI463" t="b">
        <f t="shared" si="121"/>
        <v>1</v>
      </c>
      <c r="AJ463">
        <f>LOOKUP(A463,'Over to underbark'!$A$47:$A$48,'Over to underbark'!E$47:E$48)*M463</f>
        <v>32.854800000000004</v>
      </c>
      <c r="AK463" s="22">
        <f>LOOKUP(A463,'Over to underbark'!$A$47:$A$48,'Over to underbark'!$B$47:$B$48)*AJ463</f>
        <v>10.513536000000002</v>
      </c>
      <c r="AL463" s="22">
        <f>LOOKUP(A463,'Over to underbark'!$A$47:$A$48,'Over to underbark'!C$47:C$48)*AJ463</f>
        <v>16.098852000000001</v>
      </c>
      <c r="AM463" s="22">
        <f t="shared" si="69"/>
        <v>43.368336000000006</v>
      </c>
      <c r="AN463" s="36">
        <v>131.41999999999999</v>
      </c>
      <c r="AO463" s="23">
        <f t="shared" si="70"/>
        <v>86.736672000000013</v>
      </c>
      <c r="AQ463">
        <f t="shared" si="115"/>
        <v>0.68181818181818188</v>
      </c>
    </row>
    <row r="464" spans="1:43" x14ac:dyDescent="0.35">
      <c r="A464" t="s">
        <v>43</v>
      </c>
      <c r="B464">
        <v>6</v>
      </c>
      <c r="C464">
        <v>2</v>
      </c>
      <c r="D464" t="s">
        <v>42</v>
      </c>
      <c r="E464">
        <v>2</v>
      </c>
      <c r="F464">
        <v>1</v>
      </c>
      <c r="G464" s="12">
        <v>35</v>
      </c>
      <c r="H464" s="12">
        <v>9.2100000000000009</v>
      </c>
      <c r="I464" s="12">
        <v>2268</v>
      </c>
      <c r="J464" s="12">
        <v>13.05</v>
      </c>
      <c r="K464" s="12">
        <v>30.335999999999999</v>
      </c>
      <c r="L464" s="12">
        <v>4.7E-2</v>
      </c>
      <c r="M464" s="19">
        <v>107.7</v>
      </c>
      <c r="N464" s="12">
        <v>0</v>
      </c>
      <c r="O464" s="13">
        <v>3.077</v>
      </c>
      <c r="P464" s="14">
        <v>35</v>
      </c>
      <c r="Q464" s="14">
        <v>13.05</v>
      </c>
      <c r="R464" s="14">
        <v>105.548</v>
      </c>
      <c r="S464" s="14">
        <v>2.1520000000000001</v>
      </c>
      <c r="T464" s="10" t="b">
        <f t="shared" si="116"/>
        <v>1</v>
      </c>
      <c r="U464" s="10" t="b">
        <f t="shared" si="117"/>
        <v>1</v>
      </c>
      <c r="V464" s="11">
        <f>VLOOKUP(IF(J464&lt;10, 10, IF(J464&gt;50,50,J464)),'Over to underbark'!$A$3:$C$43,IF(A464="Scots pine",3,IF(A464="Sitka spruce",2, "error")),TRUE)/100</f>
        <v>0.89</v>
      </c>
      <c r="W464">
        <f t="shared" si="118"/>
        <v>84.543948</v>
      </c>
      <c r="X464">
        <f t="shared" si="119"/>
        <v>1.7237520000000002</v>
      </c>
      <c r="Y464">
        <f t="shared" si="120"/>
        <v>10.6623</v>
      </c>
      <c r="Z464">
        <f t="shared" si="63"/>
        <v>50.049453133800007</v>
      </c>
      <c r="AA464">
        <f t="shared" si="64"/>
        <v>14.63098428</v>
      </c>
      <c r="AB464">
        <f t="shared" si="65"/>
        <v>31.298051482200002</v>
      </c>
      <c r="AC464">
        <f t="shared" si="66"/>
        <v>0.95151110400000016</v>
      </c>
      <c r="AD464">
        <f>LOOKUP($A464,'Over to underbark'!$A$47:$A$48,'Over to underbark'!E$47:E$48)*Z464</f>
        <v>16.516319534154004</v>
      </c>
      <c r="AE464">
        <f>LOOKUP($A464,'Over to underbark'!$A$47:$A$48,'Over to underbark'!E$47:E$48)*AA464</f>
        <v>4.8282248124000002</v>
      </c>
      <c r="AF464">
        <f>LOOKUP($A464,'Over to underbark'!$A$47:$A$48,'Over to underbark'!E$47:E$48)*AB464</f>
        <v>10.328356989126002</v>
      </c>
      <c r="AG464">
        <f>LOOKUP($A464,'Over to underbark'!$A$47:$A$48,'Over to underbark'!E$47:E$48)*AC464</f>
        <v>0.31399866432000006</v>
      </c>
      <c r="AH464" t="b">
        <f t="shared" si="67"/>
        <v>1</v>
      </c>
      <c r="AI464" t="b">
        <f t="shared" si="121"/>
        <v>1</v>
      </c>
      <c r="AJ464">
        <f>LOOKUP(A464,'Over to underbark'!$A$47:$A$48,'Over to underbark'!E$47:E$48)*M464</f>
        <v>35.541000000000004</v>
      </c>
      <c r="AK464" s="22">
        <f>LOOKUP(A464,'Over to underbark'!$A$47:$A$48,'Over to underbark'!$B$47:$B$48)*AJ464</f>
        <v>11.373120000000002</v>
      </c>
      <c r="AL464" s="22">
        <f>LOOKUP(A464,'Over to underbark'!$A$47:$A$48,'Over to underbark'!C$47:C$48)*AJ464</f>
        <v>17.415090000000003</v>
      </c>
      <c r="AM464" s="22">
        <f t="shared" si="69"/>
        <v>46.914120000000004</v>
      </c>
      <c r="AN464" s="36">
        <v>142.16</v>
      </c>
      <c r="AO464" s="23">
        <f t="shared" si="70"/>
        <v>93.828240000000008</v>
      </c>
      <c r="AQ464">
        <f t="shared" si="115"/>
        <v>0.68181818181818177</v>
      </c>
    </row>
    <row r="465" spans="1:43" x14ac:dyDescent="0.35">
      <c r="A465" t="s">
        <v>43</v>
      </c>
      <c r="B465">
        <v>6</v>
      </c>
      <c r="C465">
        <v>2</v>
      </c>
      <c r="D465" t="s">
        <v>42</v>
      </c>
      <c r="E465">
        <v>2</v>
      </c>
      <c r="F465">
        <v>1</v>
      </c>
      <c r="G465" s="12">
        <v>36</v>
      </c>
      <c r="H465" s="12">
        <v>9.532</v>
      </c>
      <c r="I465" s="12">
        <v>2260</v>
      </c>
      <c r="J465" s="12">
        <v>13.359</v>
      </c>
      <c r="K465" s="12">
        <v>31.677</v>
      </c>
      <c r="L465" s="12">
        <v>5.1999999999999998E-2</v>
      </c>
      <c r="M465" s="19">
        <v>117.22</v>
      </c>
      <c r="N465" s="12">
        <v>0</v>
      </c>
      <c r="O465" s="13">
        <v>3.2559999999999998</v>
      </c>
      <c r="P465" s="14">
        <v>36</v>
      </c>
      <c r="Q465" s="14">
        <v>13.359</v>
      </c>
      <c r="R465" s="14">
        <v>112.83</v>
      </c>
      <c r="S465" s="14">
        <v>4.3899999999999997</v>
      </c>
      <c r="T465" s="10" t="b">
        <f t="shared" si="116"/>
        <v>1</v>
      </c>
      <c r="U465" s="10" t="b">
        <f t="shared" si="117"/>
        <v>1</v>
      </c>
      <c r="V465" s="11">
        <f>VLOOKUP(IF(J465&lt;10, 10, IF(J465&gt;50,50,J465)),'Over to underbark'!$A$3:$C$43,IF(A465="Scots pine",3,IF(A465="Sitka spruce",2, "error")),TRUE)/100</f>
        <v>0.89</v>
      </c>
      <c r="W465">
        <f t="shared" si="118"/>
        <v>90.376829999999998</v>
      </c>
      <c r="X465">
        <f t="shared" si="119"/>
        <v>3.5163899999999999</v>
      </c>
      <c r="Y465">
        <f t="shared" si="120"/>
        <v>11.60478</v>
      </c>
      <c r="Z465">
        <f t="shared" si="63"/>
        <v>54.146521120500005</v>
      </c>
      <c r="AA465">
        <f t="shared" si="64"/>
        <v>15.7438413</v>
      </c>
      <c r="AB465">
        <f t="shared" si="65"/>
        <v>33.666590299499994</v>
      </c>
      <c r="AC465">
        <f t="shared" si="66"/>
        <v>1.9410472799999998</v>
      </c>
      <c r="AD465">
        <f>LOOKUP($A465,'Over to underbark'!$A$47:$A$48,'Over to underbark'!E$47:E$48)*Z465</f>
        <v>17.868351969765001</v>
      </c>
      <c r="AE465">
        <f>LOOKUP($A465,'Over to underbark'!$A$47:$A$48,'Over to underbark'!E$47:E$48)*AA465</f>
        <v>5.1954676290000004</v>
      </c>
      <c r="AF465">
        <f>LOOKUP($A465,'Over to underbark'!$A$47:$A$48,'Over to underbark'!E$47:E$48)*AB465</f>
        <v>11.109974798834999</v>
      </c>
      <c r="AG465">
        <f>LOOKUP($A465,'Over to underbark'!$A$47:$A$48,'Over to underbark'!E$47:E$48)*AC465</f>
        <v>0.64054560240000002</v>
      </c>
      <c r="AH465" t="b">
        <f t="shared" si="67"/>
        <v>1</v>
      </c>
      <c r="AI465" t="b">
        <f t="shared" si="121"/>
        <v>1</v>
      </c>
      <c r="AJ465">
        <f>LOOKUP(A465,'Over to underbark'!$A$47:$A$48,'Over to underbark'!E$47:E$48)*M465</f>
        <v>38.682600000000001</v>
      </c>
      <c r="AK465" s="22">
        <f>LOOKUP(A465,'Over to underbark'!$A$47:$A$48,'Over to underbark'!$B$47:$B$48)*AJ465</f>
        <v>12.378432</v>
      </c>
      <c r="AL465" s="22">
        <f>LOOKUP(A465,'Over to underbark'!$A$47:$A$48,'Over to underbark'!C$47:C$48)*AJ465</f>
        <v>18.954474000000001</v>
      </c>
      <c r="AM465" s="22">
        <f t="shared" si="69"/>
        <v>51.061031999999997</v>
      </c>
      <c r="AN465" s="36">
        <v>154.72999999999999</v>
      </c>
      <c r="AO465" s="23">
        <f t="shared" si="70"/>
        <v>102.12206399999999</v>
      </c>
      <c r="AQ465">
        <f t="shared" si="115"/>
        <v>0.68181818181818188</v>
      </c>
    </row>
    <row r="466" spans="1:43" x14ac:dyDescent="0.35">
      <c r="A466" t="s">
        <v>43</v>
      </c>
      <c r="B466">
        <v>6</v>
      </c>
      <c r="C466">
        <v>2</v>
      </c>
      <c r="D466" t="s">
        <v>42</v>
      </c>
      <c r="E466">
        <v>2</v>
      </c>
      <c r="F466">
        <v>1</v>
      </c>
      <c r="G466" s="12">
        <v>37</v>
      </c>
      <c r="H466" s="12">
        <v>9.8539999999999992</v>
      </c>
      <c r="I466" s="12">
        <v>2253</v>
      </c>
      <c r="J466" s="12">
        <v>13.66</v>
      </c>
      <c r="K466" s="12">
        <v>33.018999999999998</v>
      </c>
      <c r="L466" s="12">
        <v>5.6000000000000001E-2</v>
      </c>
      <c r="M466" s="19">
        <v>126.74</v>
      </c>
      <c r="N466" s="12">
        <v>0</v>
      </c>
      <c r="O466" s="13">
        <v>3.4249999999999998</v>
      </c>
      <c r="P466" s="14">
        <v>37</v>
      </c>
      <c r="Q466" s="14">
        <v>13.66</v>
      </c>
      <c r="R466" s="14">
        <v>119.79900000000001</v>
      </c>
      <c r="S466" s="14">
        <v>6.9409999999999998</v>
      </c>
      <c r="T466" s="10" t="b">
        <f t="shared" si="116"/>
        <v>1</v>
      </c>
      <c r="U466" s="10" t="b">
        <f t="shared" si="117"/>
        <v>1</v>
      </c>
      <c r="V466" s="11">
        <f>VLOOKUP(IF(J466&lt;10, 10, IF(J466&gt;50,50,J466)),'Over to underbark'!$A$3:$C$43,IF(A466="Scots pine",3,IF(A466="Sitka spruce",2, "error")),TRUE)/100</f>
        <v>0.89</v>
      </c>
      <c r="W466">
        <f t="shared" si="118"/>
        <v>95.958999000000006</v>
      </c>
      <c r="X466">
        <f t="shared" si="119"/>
        <v>5.5597409999999998</v>
      </c>
      <c r="Y466">
        <f t="shared" si="120"/>
        <v>12.54726</v>
      </c>
      <c r="Z466">
        <f t="shared" si="63"/>
        <v>58.193609470650003</v>
      </c>
      <c r="AA466">
        <f t="shared" si="64"/>
        <v>16.829119890000001</v>
      </c>
      <c r="AB466">
        <f t="shared" si="65"/>
        <v>35.974293607350006</v>
      </c>
      <c r="AC466">
        <f t="shared" si="66"/>
        <v>3.0689770319999998</v>
      </c>
      <c r="AD466">
        <f>LOOKUP($A466,'Over to underbark'!$A$47:$A$48,'Over to underbark'!E$47:E$48)*Z466</f>
        <v>19.203891125314502</v>
      </c>
      <c r="AE466">
        <f>LOOKUP($A466,'Over to underbark'!$A$47:$A$48,'Over to underbark'!E$47:E$48)*AA466</f>
        <v>5.5536095637000003</v>
      </c>
      <c r="AF466">
        <f>LOOKUP($A466,'Over to underbark'!$A$47:$A$48,'Over to underbark'!E$47:E$48)*AB466</f>
        <v>11.871516890425502</v>
      </c>
      <c r="AG466">
        <f>LOOKUP($A466,'Over to underbark'!$A$47:$A$48,'Over to underbark'!E$47:E$48)*AC466</f>
        <v>1.0127624205600001</v>
      </c>
      <c r="AH466" t="b">
        <f t="shared" si="67"/>
        <v>1</v>
      </c>
      <c r="AI466" t="b">
        <f t="shared" si="121"/>
        <v>1</v>
      </c>
      <c r="AJ466">
        <f>LOOKUP(A466,'Over to underbark'!$A$47:$A$48,'Over to underbark'!E$47:E$48)*M466</f>
        <v>41.824199999999998</v>
      </c>
      <c r="AK466" s="22">
        <f>LOOKUP(A466,'Over to underbark'!$A$47:$A$48,'Over to underbark'!$B$47:$B$48)*AJ466</f>
        <v>13.383744</v>
      </c>
      <c r="AL466" s="22">
        <f>LOOKUP(A466,'Over to underbark'!$A$47:$A$48,'Over to underbark'!C$47:C$48)*AJ466</f>
        <v>20.493857999999999</v>
      </c>
      <c r="AM466" s="22">
        <f t="shared" si="69"/>
        <v>55.207943999999998</v>
      </c>
      <c r="AN466" s="36">
        <v>167.3</v>
      </c>
      <c r="AO466" s="23">
        <f t="shared" si="70"/>
        <v>110.415888</v>
      </c>
      <c r="AQ466">
        <f t="shared" si="115"/>
        <v>0.68181818181818188</v>
      </c>
    </row>
    <row r="467" spans="1:43" x14ac:dyDescent="0.35">
      <c r="A467" t="s">
        <v>43</v>
      </c>
      <c r="B467">
        <v>6</v>
      </c>
      <c r="C467">
        <v>2</v>
      </c>
      <c r="D467" t="s">
        <v>42</v>
      </c>
      <c r="E467">
        <v>2</v>
      </c>
      <c r="F467">
        <v>1</v>
      </c>
      <c r="G467" s="12">
        <v>38</v>
      </c>
      <c r="H467" s="12">
        <v>10.176</v>
      </c>
      <c r="I467" s="12">
        <v>2245</v>
      </c>
      <c r="J467" s="12">
        <v>13.96</v>
      </c>
      <c r="K467" s="12">
        <v>34.360999999999997</v>
      </c>
      <c r="L467" s="12">
        <v>6.0999999999999999E-2</v>
      </c>
      <c r="M467" s="19">
        <v>136.26</v>
      </c>
      <c r="N467" s="12">
        <v>0</v>
      </c>
      <c r="O467" s="13">
        <v>3.5859999999999999</v>
      </c>
      <c r="P467" s="14">
        <v>38</v>
      </c>
      <c r="Q467" s="14">
        <v>13.96</v>
      </c>
      <c r="R467" s="14">
        <v>126.41</v>
      </c>
      <c r="S467" s="14">
        <v>9.85</v>
      </c>
      <c r="T467" s="10" t="b">
        <f t="shared" si="116"/>
        <v>1</v>
      </c>
      <c r="U467" s="10" t="b">
        <f t="shared" si="117"/>
        <v>1</v>
      </c>
      <c r="V467" s="11">
        <f>VLOOKUP(IF(J467&lt;10, 10, IF(J467&gt;50,50,J467)),'Over to underbark'!$A$3:$C$43,IF(A467="Scots pine",3,IF(A467="Sitka spruce",2, "error")),TRUE)/100</f>
        <v>0.89</v>
      </c>
      <c r="W467">
        <f t="shared" si="118"/>
        <v>101.25441000000001</v>
      </c>
      <c r="X467">
        <f t="shared" si="119"/>
        <v>7.88985</v>
      </c>
      <c r="Y467">
        <f t="shared" si="120"/>
        <v>13.489739999999998</v>
      </c>
      <c r="Z467">
        <f t="shared" si="63"/>
        <v>62.183532613500013</v>
      </c>
      <c r="AA467">
        <f t="shared" si="64"/>
        <v>17.8828551</v>
      </c>
      <c r="AB467">
        <f t="shared" si="65"/>
        <v>38.212415086500002</v>
      </c>
      <c r="AC467">
        <f t="shared" si="66"/>
        <v>4.3551972000000001</v>
      </c>
      <c r="AD467">
        <f>LOOKUP($A467,'Over to underbark'!$A$47:$A$48,'Over to underbark'!E$47:E$48)*Z467</f>
        <v>20.520565762455004</v>
      </c>
      <c r="AE467">
        <f>LOOKUP($A467,'Over to underbark'!$A$47:$A$48,'Over to underbark'!E$47:E$48)*AA467</f>
        <v>5.9013421830000006</v>
      </c>
      <c r="AF467">
        <f>LOOKUP($A467,'Over to underbark'!$A$47:$A$48,'Over to underbark'!E$47:E$48)*AB467</f>
        <v>12.610096978545002</v>
      </c>
      <c r="AG467">
        <f>LOOKUP($A467,'Over to underbark'!$A$47:$A$48,'Over to underbark'!E$47:E$48)*AC467</f>
        <v>1.4372150760000002</v>
      </c>
      <c r="AH467" t="b">
        <f t="shared" si="67"/>
        <v>1</v>
      </c>
      <c r="AI467" t="b">
        <f t="shared" si="121"/>
        <v>1</v>
      </c>
      <c r="AJ467">
        <f>LOOKUP(A467,'Over to underbark'!$A$47:$A$48,'Over to underbark'!E$47:E$48)*M467</f>
        <v>44.965800000000002</v>
      </c>
      <c r="AK467" s="22">
        <f>LOOKUP(A467,'Over to underbark'!$A$47:$A$48,'Over to underbark'!$B$47:$B$48)*AJ467</f>
        <v>14.389056</v>
      </c>
      <c r="AL467" s="22">
        <f>LOOKUP(A467,'Over to underbark'!$A$47:$A$48,'Over to underbark'!C$47:C$48)*AJ467</f>
        <v>22.033242000000001</v>
      </c>
      <c r="AM467" s="22">
        <f t="shared" si="69"/>
        <v>59.354855999999998</v>
      </c>
      <c r="AN467" s="36">
        <v>179.86</v>
      </c>
      <c r="AO467" s="23">
        <f t="shared" si="70"/>
        <v>118.709712</v>
      </c>
      <c r="AQ467">
        <f t="shared" si="115"/>
        <v>0.68181818181818199</v>
      </c>
    </row>
    <row r="468" spans="1:43" x14ac:dyDescent="0.35">
      <c r="A468" t="s">
        <v>43</v>
      </c>
      <c r="B468">
        <v>6</v>
      </c>
      <c r="C468">
        <v>2</v>
      </c>
      <c r="D468" t="s">
        <v>42</v>
      </c>
      <c r="E468">
        <v>2</v>
      </c>
      <c r="F468">
        <v>1</v>
      </c>
      <c r="G468" s="12">
        <v>39</v>
      </c>
      <c r="H468" s="12">
        <v>10.497999999999999</v>
      </c>
      <c r="I468" s="12">
        <v>2238</v>
      </c>
      <c r="J468" s="12">
        <v>14.252000000000001</v>
      </c>
      <c r="K468" s="12">
        <v>35.701999999999998</v>
      </c>
      <c r="L468" s="12">
        <v>6.5000000000000002E-2</v>
      </c>
      <c r="M468" s="19">
        <v>145.78</v>
      </c>
      <c r="N468" s="12">
        <v>0</v>
      </c>
      <c r="O468" s="13">
        <v>3.738</v>
      </c>
      <c r="P468" s="14">
        <v>39</v>
      </c>
      <c r="Q468" s="14">
        <v>14.252000000000001</v>
      </c>
      <c r="R468" s="14">
        <v>132.72499999999999</v>
      </c>
      <c r="S468" s="14">
        <v>13.055</v>
      </c>
      <c r="T468" s="10" t="b">
        <f t="shared" si="116"/>
        <v>1</v>
      </c>
      <c r="U468" s="10" t="b">
        <f t="shared" si="117"/>
        <v>1</v>
      </c>
      <c r="V468" s="11">
        <f>VLOOKUP(IF(J468&lt;10, 10, IF(J468&gt;50,50,J468)),'Over to underbark'!$A$3:$C$43,IF(A468="Scots pine",3,IF(A468="Sitka spruce",2, "error")),TRUE)/100</f>
        <v>0.9</v>
      </c>
      <c r="W468">
        <f t="shared" si="118"/>
        <v>107.50725</v>
      </c>
      <c r="X468">
        <f t="shared" si="119"/>
        <v>10.57455</v>
      </c>
      <c r="Y468">
        <f t="shared" si="120"/>
        <v>13.120199999999997</v>
      </c>
      <c r="Z468">
        <f t="shared" si="63"/>
        <v>66.132091687500008</v>
      </c>
      <c r="AA468">
        <f t="shared" si="64"/>
        <v>18.385897499999999</v>
      </c>
      <c r="AB468">
        <f t="shared" si="65"/>
        <v>40.846859212499993</v>
      </c>
      <c r="AC468">
        <f t="shared" si="66"/>
        <v>5.8371516000000003</v>
      </c>
      <c r="AD468">
        <f>LOOKUP($A468,'Over to underbark'!$A$47:$A$48,'Over to underbark'!E$47:E$48)*Z468</f>
        <v>21.823590256875004</v>
      </c>
      <c r="AE468">
        <f>LOOKUP($A468,'Over to underbark'!$A$47:$A$48,'Over to underbark'!E$47:E$48)*AA468</f>
        <v>6.067346175</v>
      </c>
      <c r="AF468">
        <f>LOOKUP($A468,'Over to underbark'!$A$47:$A$48,'Over to underbark'!E$47:E$48)*AB468</f>
        <v>13.479463540124998</v>
      </c>
      <c r="AG468">
        <f>LOOKUP($A468,'Over to underbark'!$A$47:$A$48,'Over to underbark'!E$47:E$48)*AC468</f>
        <v>1.9262600280000002</v>
      </c>
      <c r="AH468" t="b">
        <f t="shared" si="67"/>
        <v>1</v>
      </c>
      <c r="AI468" t="b">
        <f t="shared" si="121"/>
        <v>1</v>
      </c>
      <c r="AJ468">
        <f>LOOKUP(A468,'Over to underbark'!$A$47:$A$48,'Over to underbark'!E$47:E$48)*M468</f>
        <v>48.107400000000005</v>
      </c>
      <c r="AK468" s="22">
        <f>LOOKUP(A468,'Over to underbark'!$A$47:$A$48,'Over to underbark'!$B$47:$B$48)*AJ468</f>
        <v>15.394368000000002</v>
      </c>
      <c r="AL468" s="22">
        <f>LOOKUP(A468,'Over to underbark'!$A$47:$A$48,'Over to underbark'!C$47:C$48)*AJ468</f>
        <v>23.572626000000003</v>
      </c>
      <c r="AM468" s="22">
        <f t="shared" si="69"/>
        <v>63.501768000000006</v>
      </c>
      <c r="AN468" s="36">
        <v>192.43</v>
      </c>
      <c r="AO468" s="23">
        <f t="shared" si="70"/>
        <v>127.00353600000001</v>
      </c>
      <c r="AQ468">
        <f t="shared" si="115"/>
        <v>0.68181818181818177</v>
      </c>
    </row>
    <row r="469" spans="1:43" x14ac:dyDescent="0.35">
      <c r="A469" t="s">
        <v>43</v>
      </c>
      <c r="B469">
        <v>6</v>
      </c>
      <c r="C469">
        <v>2</v>
      </c>
      <c r="D469" t="s">
        <v>42</v>
      </c>
      <c r="E469">
        <v>2</v>
      </c>
      <c r="F469">
        <v>1</v>
      </c>
      <c r="G469" s="12">
        <v>40</v>
      </c>
      <c r="H469" s="12">
        <v>10.82</v>
      </c>
      <c r="I469" s="12">
        <v>2231</v>
      </c>
      <c r="J469" s="12">
        <v>14.54</v>
      </c>
      <c r="K469" s="12">
        <v>37.043999999999997</v>
      </c>
      <c r="L469" s="12">
        <v>7.0000000000000007E-2</v>
      </c>
      <c r="M469" s="19">
        <v>155.30000000000001</v>
      </c>
      <c r="N469" s="12">
        <v>0</v>
      </c>
      <c r="O469" s="13">
        <v>3.883</v>
      </c>
      <c r="P469" s="14">
        <v>40</v>
      </c>
      <c r="Q469" s="14">
        <v>14.54</v>
      </c>
      <c r="R469" s="14">
        <v>138.71899999999999</v>
      </c>
      <c r="S469" s="14">
        <v>16.581</v>
      </c>
      <c r="T469" s="10" t="b">
        <f t="shared" si="116"/>
        <v>1</v>
      </c>
      <c r="U469" s="10" t="b">
        <f t="shared" si="117"/>
        <v>1</v>
      </c>
      <c r="V469" s="11">
        <f>VLOOKUP(IF(J469&lt;10, 10, IF(J469&gt;50,50,J469)),'Over to underbark'!$A$3:$C$43,IF(A469="Scots pine",3,IF(A469="Sitka spruce",2, "error")),TRUE)/100</f>
        <v>0.9</v>
      </c>
      <c r="W469">
        <f t="shared" si="118"/>
        <v>112.36239</v>
      </c>
      <c r="X469">
        <f t="shared" si="119"/>
        <v>13.43061</v>
      </c>
      <c r="Y469">
        <f t="shared" si="120"/>
        <v>13.976999999999995</v>
      </c>
      <c r="Z469">
        <f t="shared" si="63"/>
        <v>70.01908144650001</v>
      </c>
      <c r="AA469">
        <f t="shared" si="64"/>
        <v>19.348362899999998</v>
      </c>
      <c r="AB469">
        <f t="shared" si="65"/>
        <v>42.988858933499998</v>
      </c>
      <c r="AC469">
        <f t="shared" si="66"/>
        <v>7.4136967199999999</v>
      </c>
      <c r="AD469">
        <f>LOOKUP($A469,'Over to underbark'!$A$47:$A$48,'Over to underbark'!E$47:E$48)*Z469</f>
        <v>23.106296877345006</v>
      </c>
      <c r="AE469">
        <f>LOOKUP($A469,'Over to underbark'!$A$47:$A$48,'Over to underbark'!E$47:E$48)*AA469</f>
        <v>6.3849597569999998</v>
      </c>
      <c r="AF469">
        <f>LOOKUP($A469,'Over to underbark'!$A$47:$A$48,'Over to underbark'!E$47:E$48)*AB469</f>
        <v>14.186323448054999</v>
      </c>
      <c r="AG469">
        <f>LOOKUP($A469,'Over to underbark'!$A$47:$A$48,'Over to underbark'!E$47:E$48)*AC469</f>
        <v>2.4465199175999999</v>
      </c>
      <c r="AH469" t="b">
        <f t="shared" si="67"/>
        <v>1</v>
      </c>
      <c r="AI469" t="b">
        <f t="shared" si="121"/>
        <v>1</v>
      </c>
      <c r="AJ469">
        <f>LOOKUP(A469,'Over to underbark'!$A$47:$A$48,'Over to underbark'!E$47:E$48)*M469</f>
        <v>51.249000000000009</v>
      </c>
      <c r="AK469" s="22">
        <f>LOOKUP(A469,'Over to underbark'!$A$47:$A$48,'Over to underbark'!$B$47:$B$48)*AJ469</f>
        <v>16.399680000000004</v>
      </c>
      <c r="AL469" s="22">
        <f>LOOKUP(A469,'Over to underbark'!$A$47:$A$48,'Over to underbark'!C$47:C$48)*AJ469</f>
        <v>25.112010000000005</v>
      </c>
      <c r="AM469" s="22">
        <f t="shared" si="69"/>
        <v>67.648680000000013</v>
      </c>
      <c r="AN469" s="36">
        <v>205</v>
      </c>
      <c r="AO469" s="23">
        <f t="shared" si="70"/>
        <v>135.29736000000003</v>
      </c>
      <c r="AQ469">
        <f t="shared" si="115"/>
        <v>0.68181818181818177</v>
      </c>
    </row>
    <row r="470" spans="1:43" x14ac:dyDescent="0.35">
      <c r="A470" t="s">
        <v>43</v>
      </c>
      <c r="B470">
        <v>6</v>
      </c>
      <c r="C470">
        <v>2</v>
      </c>
      <c r="D470" t="s">
        <v>42</v>
      </c>
      <c r="E470">
        <v>2</v>
      </c>
      <c r="F470">
        <v>1</v>
      </c>
      <c r="G470" s="12">
        <v>41</v>
      </c>
      <c r="H470" s="12">
        <v>11.116</v>
      </c>
      <c r="I470" s="12">
        <v>2211</v>
      </c>
      <c r="J470" s="12">
        <v>14.805999999999999</v>
      </c>
      <c r="K470" s="12">
        <v>38.07</v>
      </c>
      <c r="L470" s="12">
        <v>7.4999999999999997E-2</v>
      </c>
      <c r="M470" s="19">
        <v>165.3</v>
      </c>
      <c r="N470" s="12">
        <v>8.5000000000000006E-2</v>
      </c>
      <c r="O470" s="13">
        <v>4.032</v>
      </c>
      <c r="P470" s="14">
        <v>41</v>
      </c>
      <c r="Q470" s="14">
        <v>14.805999999999999</v>
      </c>
      <c r="R470" s="14">
        <v>145.001</v>
      </c>
      <c r="S470" s="14">
        <v>20.298999999999999</v>
      </c>
      <c r="T470" s="10" t="b">
        <f t="shared" si="116"/>
        <v>1</v>
      </c>
      <c r="U470" s="10" t="b">
        <f t="shared" si="117"/>
        <v>1</v>
      </c>
      <c r="V470" s="11">
        <f>VLOOKUP(IF(J470&lt;10, 10, IF(J470&gt;50,50,J470)),'Over to underbark'!$A$3:$C$43,IF(A470="Scots pine",3,IF(A470="Sitka spruce",2, "error")),TRUE)/100</f>
        <v>0.9</v>
      </c>
      <c r="W470">
        <f t="shared" si="118"/>
        <v>117.45081</v>
      </c>
      <c r="X470">
        <f t="shared" si="119"/>
        <v>16.442190000000004</v>
      </c>
      <c r="Y470">
        <f t="shared" si="120"/>
        <v>14.876999999999997</v>
      </c>
      <c r="Z470">
        <f t="shared" si="63"/>
        <v>74.099757973500004</v>
      </c>
      <c r="AA470">
        <f t="shared" si="64"/>
        <v>20.358089100000001</v>
      </c>
      <c r="AB470">
        <f t="shared" si="65"/>
        <v>45.236064046499997</v>
      </c>
      <c r="AC470">
        <f t="shared" si="66"/>
        <v>9.0760888800000021</v>
      </c>
      <c r="AD470">
        <f>LOOKUP($A470,'Over to underbark'!$A$47:$A$48,'Over to underbark'!E$47:E$48)*Z470</f>
        <v>24.452920131255002</v>
      </c>
      <c r="AE470">
        <f>LOOKUP($A470,'Over to underbark'!$A$47:$A$48,'Over to underbark'!E$47:E$48)*AA470</f>
        <v>6.718169403000001</v>
      </c>
      <c r="AF470">
        <f>LOOKUP($A470,'Over to underbark'!$A$47:$A$48,'Over to underbark'!E$47:E$48)*AB470</f>
        <v>14.927901135345</v>
      </c>
      <c r="AG470">
        <f>LOOKUP($A470,'Over to underbark'!$A$47:$A$48,'Over to underbark'!E$47:E$48)*AC470</f>
        <v>2.9951093304000009</v>
      </c>
      <c r="AH470" t="b">
        <f t="shared" si="67"/>
        <v>1</v>
      </c>
      <c r="AI470" t="b">
        <f t="shared" si="121"/>
        <v>1</v>
      </c>
      <c r="AJ470">
        <f>LOOKUP(A470,'Over to underbark'!$A$47:$A$48,'Over to underbark'!E$47:E$48)*M470</f>
        <v>54.549000000000007</v>
      </c>
      <c r="AK470" s="22">
        <f>LOOKUP(A470,'Over to underbark'!$A$47:$A$48,'Over to underbark'!$B$47:$B$48)*AJ470</f>
        <v>17.455680000000001</v>
      </c>
      <c r="AL470" s="22">
        <f>LOOKUP(A470,'Over to underbark'!$A$47:$A$48,'Over to underbark'!C$47:C$48)*AJ470</f>
        <v>26.729010000000002</v>
      </c>
      <c r="AM470" s="22">
        <f t="shared" si="69"/>
        <v>72.004680000000008</v>
      </c>
      <c r="AN470" s="36">
        <v>218.2</v>
      </c>
      <c r="AO470" s="23">
        <f t="shared" si="70"/>
        <v>144.00936000000002</v>
      </c>
      <c r="AQ470">
        <f t="shared" si="115"/>
        <v>0.68181818181818166</v>
      </c>
    </row>
    <row r="471" spans="1:43" x14ac:dyDescent="0.35">
      <c r="A471" t="s">
        <v>43</v>
      </c>
      <c r="B471">
        <v>6</v>
      </c>
      <c r="C471">
        <v>2</v>
      </c>
      <c r="D471" t="s">
        <v>42</v>
      </c>
      <c r="E471">
        <v>2</v>
      </c>
      <c r="F471">
        <v>1</v>
      </c>
      <c r="G471" s="12">
        <v>42</v>
      </c>
      <c r="H471" s="12">
        <v>11.412000000000001</v>
      </c>
      <c r="I471" s="12">
        <v>2191</v>
      </c>
      <c r="J471" s="12">
        <v>15.073</v>
      </c>
      <c r="K471" s="12">
        <v>39.094999999999999</v>
      </c>
      <c r="L471" s="12">
        <v>0.08</v>
      </c>
      <c r="M471" s="19">
        <v>175.3</v>
      </c>
      <c r="N471" s="12">
        <v>0.159</v>
      </c>
      <c r="O471" s="13">
        <v>4.1740000000000004</v>
      </c>
      <c r="P471" s="14">
        <v>42</v>
      </c>
      <c r="Q471" s="14">
        <v>15.073</v>
      </c>
      <c r="R471" s="14">
        <v>150.934</v>
      </c>
      <c r="S471" s="14">
        <v>24.366</v>
      </c>
      <c r="T471" s="10" t="b">
        <f t="shared" si="116"/>
        <v>1</v>
      </c>
      <c r="U471" s="10" t="b">
        <f t="shared" si="117"/>
        <v>1</v>
      </c>
      <c r="V471" s="11">
        <f>VLOOKUP(IF(J471&lt;10, 10, IF(J471&gt;50,50,J471)),'Over to underbark'!$A$3:$C$43,IF(A471="Scots pine",3,IF(A471="Sitka spruce",2, "error")),TRUE)/100</f>
        <v>0.9</v>
      </c>
      <c r="W471">
        <f t="shared" si="118"/>
        <v>122.25654</v>
      </c>
      <c r="X471">
        <f t="shared" si="119"/>
        <v>19.736460000000001</v>
      </c>
      <c r="Y471">
        <f t="shared" si="120"/>
        <v>15.776999999999997</v>
      </c>
      <c r="Z471">
        <f t="shared" si="63"/>
        <v>78.124080249000016</v>
      </c>
      <c r="AA471">
        <f t="shared" si="64"/>
        <v>21.3367194</v>
      </c>
      <c r="AB471">
        <f t="shared" si="65"/>
        <v>47.414674430999995</v>
      </c>
      <c r="AC471">
        <f t="shared" si="66"/>
        <v>10.894525920000001</v>
      </c>
      <c r="AD471">
        <f>LOOKUP($A471,'Over to underbark'!$A$47:$A$48,'Over to underbark'!E$47:E$48)*Z471</f>
        <v>25.780946482170005</v>
      </c>
      <c r="AE471">
        <f>LOOKUP($A471,'Over to underbark'!$A$47:$A$48,'Over to underbark'!E$47:E$48)*AA471</f>
        <v>7.0411174020000002</v>
      </c>
      <c r="AF471">
        <f>LOOKUP($A471,'Over to underbark'!$A$47:$A$48,'Over to underbark'!E$47:E$48)*AB471</f>
        <v>15.646842562229999</v>
      </c>
      <c r="AG471">
        <f>LOOKUP($A471,'Over to underbark'!$A$47:$A$48,'Over to underbark'!E$47:E$48)*AC471</f>
        <v>3.5951935536000006</v>
      </c>
      <c r="AH471" t="b">
        <f t="shared" si="67"/>
        <v>1</v>
      </c>
      <c r="AI471" t="b">
        <f t="shared" si="121"/>
        <v>1</v>
      </c>
      <c r="AJ471">
        <f>LOOKUP(A471,'Over to underbark'!$A$47:$A$48,'Over to underbark'!E$47:E$48)*M471</f>
        <v>57.849000000000004</v>
      </c>
      <c r="AK471" s="22">
        <f>LOOKUP(A471,'Over to underbark'!$A$47:$A$48,'Over to underbark'!$B$47:$B$48)*AJ471</f>
        <v>18.511680000000002</v>
      </c>
      <c r="AL471" s="22">
        <f>LOOKUP(A471,'Over to underbark'!$A$47:$A$48,'Over to underbark'!C$47:C$48)*AJ471</f>
        <v>28.34601</v>
      </c>
      <c r="AM471" s="22">
        <f t="shared" si="69"/>
        <v>76.360680000000002</v>
      </c>
      <c r="AN471" s="36">
        <v>231.4</v>
      </c>
      <c r="AO471" s="23">
        <f t="shared" si="70"/>
        <v>152.72136</v>
      </c>
      <c r="AQ471">
        <f t="shared" si="115"/>
        <v>0.68181818181818188</v>
      </c>
    </row>
    <row r="472" spans="1:43" x14ac:dyDescent="0.35">
      <c r="A472" t="s">
        <v>43</v>
      </c>
      <c r="B472">
        <v>6</v>
      </c>
      <c r="C472">
        <v>2</v>
      </c>
      <c r="D472" t="s">
        <v>42</v>
      </c>
      <c r="E472">
        <v>2</v>
      </c>
      <c r="F472">
        <v>1</v>
      </c>
      <c r="G472" s="12">
        <v>43</v>
      </c>
      <c r="H472" s="12">
        <v>11.708</v>
      </c>
      <c r="I472" s="12">
        <v>2171</v>
      </c>
      <c r="J472" s="12">
        <v>15.34</v>
      </c>
      <c r="K472" s="12">
        <v>40.121000000000002</v>
      </c>
      <c r="L472" s="12">
        <v>8.5000000000000006E-2</v>
      </c>
      <c r="M472" s="19">
        <v>185.3</v>
      </c>
      <c r="N472" s="12">
        <v>0.22600000000000001</v>
      </c>
      <c r="O472" s="13">
        <v>4.3090000000000002</v>
      </c>
      <c r="P472" s="14">
        <v>43</v>
      </c>
      <c r="Q472" s="14">
        <v>15.34</v>
      </c>
      <c r="R472" s="14">
        <v>156.52799999999999</v>
      </c>
      <c r="S472" s="14">
        <v>28.771999999999998</v>
      </c>
      <c r="T472" s="10" t="b">
        <f t="shared" si="116"/>
        <v>1</v>
      </c>
      <c r="U472" s="10" t="b">
        <f t="shared" si="117"/>
        <v>1</v>
      </c>
      <c r="V472" s="11">
        <f>VLOOKUP(IF(J472&lt;10, 10, IF(J472&gt;50,50,J472)),'Over to underbark'!$A$3:$C$43,IF(A472="Scots pine",3,IF(A472="Sitka spruce",2, "error")),TRUE)/100</f>
        <v>0.9</v>
      </c>
      <c r="W472">
        <f t="shared" si="118"/>
        <v>126.78768000000001</v>
      </c>
      <c r="X472">
        <f t="shared" si="119"/>
        <v>23.305320000000002</v>
      </c>
      <c r="Y472">
        <f t="shared" si="120"/>
        <v>16.676999999999996</v>
      </c>
      <c r="Z472">
        <f t="shared" si="63"/>
        <v>82.093663008000021</v>
      </c>
      <c r="AA472">
        <f t="shared" si="64"/>
        <v>22.285144799999998</v>
      </c>
      <c r="AB472">
        <f t="shared" si="65"/>
        <v>49.526655552000001</v>
      </c>
      <c r="AC472">
        <f t="shared" si="66"/>
        <v>12.864536640000001</v>
      </c>
      <c r="AD472">
        <f>LOOKUP($A472,'Over to underbark'!$A$47:$A$48,'Over to underbark'!E$47:E$48)*Z472</f>
        <v>27.090908792640008</v>
      </c>
      <c r="AE472">
        <f>LOOKUP($A472,'Over to underbark'!$A$47:$A$48,'Over to underbark'!E$47:E$48)*AA472</f>
        <v>7.3540977839999995</v>
      </c>
      <c r="AF472">
        <f>LOOKUP($A472,'Over to underbark'!$A$47:$A$48,'Over to underbark'!E$47:E$48)*AB472</f>
        <v>16.34379633216</v>
      </c>
      <c r="AG472">
        <f>LOOKUP($A472,'Over to underbark'!$A$47:$A$48,'Over to underbark'!E$47:E$48)*AC472</f>
        <v>4.2452970912000003</v>
      </c>
      <c r="AH472" t="b">
        <f t="shared" si="67"/>
        <v>1</v>
      </c>
      <c r="AI472" t="b">
        <f t="shared" si="121"/>
        <v>1</v>
      </c>
      <c r="AJ472">
        <f>LOOKUP(A472,'Over to underbark'!$A$47:$A$48,'Over to underbark'!E$47:E$48)*M472</f>
        <v>61.149000000000008</v>
      </c>
      <c r="AK472" s="22">
        <f>LOOKUP(A472,'Over to underbark'!$A$47:$A$48,'Over to underbark'!$B$47:$B$48)*AJ472</f>
        <v>19.567680000000003</v>
      </c>
      <c r="AL472" s="22">
        <f>LOOKUP(A472,'Over to underbark'!$A$47:$A$48,'Over to underbark'!C$47:C$48)*AJ472</f>
        <v>29.963010000000004</v>
      </c>
      <c r="AM472" s="22">
        <f>AJ472+AK472</f>
        <v>80.716680000000011</v>
      </c>
      <c r="AN472" s="36">
        <v>244.6</v>
      </c>
      <c r="AO472" s="23">
        <f t="shared" si="70"/>
        <v>161.43336000000002</v>
      </c>
      <c r="AQ472">
        <f t="shared" si="115"/>
        <v>0.68181818181818188</v>
      </c>
    </row>
    <row r="473" spans="1:43" x14ac:dyDescent="0.35">
      <c r="A473" t="s">
        <v>43</v>
      </c>
      <c r="B473">
        <v>6</v>
      </c>
      <c r="C473">
        <v>2</v>
      </c>
      <c r="D473" t="s">
        <v>42</v>
      </c>
      <c r="E473">
        <v>2</v>
      </c>
      <c r="F473">
        <v>1</v>
      </c>
      <c r="G473" s="12">
        <v>44</v>
      </c>
      <c r="H473" s="12">
        <v>12.004</v>
      </c>
      <c r="I473" s="12">
        <v>2151</v>
      </c>
      <c r="J473" s="12">
        <v>15.606</v>
      </c>
      <c r="K473" s="12">
        <v>41.146999999999998</v>
      </c>
      <c r="L473" s="12">
        <v>9.0999999999999998E-2</v>
      </c>
      <c r="M473" s="19">
        <v>195.3</v>
      </c>
      <c r="N473" s="12">
        <v>0.28599999999999998</v>
      </c>
      <c r="O473" s="13">
        <v>4.4390000000000001</v>
      </c>
      <c r="P473" s="14">
        <v>44</v>
      </c>
      <c r="Q473" s="14">
        <v>15.606</v>
      </c>
      <c r="R473" s="14">
        <v>161.79599999999999</v>
      </c>
      <c r="S473" s="14">
        <v>33.503999999999998</v>
      </c>
      <c r="T473" s="10" t="b">
        <f t="shared" si="116"/>
        <v>1</v>
      </c>
      <c r="U473" s="10" t="b">
        <f t="shared" si="117"/>
        <v>1</v>
      </c>
      <c r="V473" s="11">
        <f>VLOOKUP(IF(J473&lt;10, 10, IF(J473&gt;50,50,J473)),'Over to underbark'!$A$3:$C$43,IF(A473="Scots pine",3,IF(A473="Sitka spruce",2, "error")),TRUE)/100</f>
        <v>0.9</v>
      </c>
      <c r="W473">
        <f t="shared" si="118"/>
        <v>131.05476000000002</v>
      </c>
      <c r="X473">
        <f t="shared" si="119"/>
        <v>27.13824</v>
      </c>
      <c r="Y473">
        <f t="shared" si="120"/>
        <v>17.576999999999995</v>
      </c>
      <c r="Z473">
        <f t="shared" si="63"/>
        <v>86.01060540600001</v>
      </c>
      <c r="AA473">
        <f t="shared" si="64"/>
        <v>23.204523600000002</v>
      </c>
      <c r="AB473">
        <f t="shared" si="65"/>
        <v>51.574562514</v>
      </c>
      <c r="AC473">
        <f t="shared" si="66"/>
        <v>14.980308480000001</v>
      </c>
      <c r="AD473">
        <f>LOOKUP($A473,'Over to underbark'!$A$47:$A$48,'Over to underbark'!E$47:E$48)*Z473</f>
        <v>28.383499783980003</v>
      </c>
      <c r="AE473">
        <f>LOOKUP($A473,'Over to underbark'!$A$47:$A$48,'Over to underbark'!E$47:E$48)*AA473</f>
        <v>7.6574927880000008</v>
      </c>
      <c r="AF473">
        <f>LOOKUP($A473,'Over to underbark'!$A$47:$A$48,'Over to underbark'!E$47:E$48)*AB473</f>
        <v>17.019605629619999</v>
      </c>
      <c r="AG473">
        <f>LOOKUP($A473,'Over to underbark'!$A$47:$A$48,'Over to underbark'!E$47:E$48)*AC473</f>
        <v>4.9435017984000007</v>
      </c>
      <c r="AH473" t="b">
        <f t="shared" si="67"/>
        <v>1</v>
      </c>
      <c r="AI473" t="b">
        <f t="shared" si="121"/>
        <v>1</v>
      </c>
      <c r="AJ473">
        <f>LOOKUP(A473,'Over to underbark'!$A$47:$A$48,'Over to underbark'!E$47:E$48)*M473</f>
        <v>64.449000000000012</v>
      </c>
      <c r="AK473" s="22">
        <f>LOOKUP(A473,'Over to underbark'!$A$47:$A$48,'Over to underbark'!$B$47:$B$48)*AJ473</f>
        <v>20.623680000000004</v>
      </c>
      <c r="AL473" s="22">
        <f>LOOKUP(A473,'Over to underbark'!$A$47:$A$48,'Over to underbark'!C$47:C$48)*AJ473</f>
        <v>31.580010000000005</v>
      </c>
      <c r="AM473" s="22">
        <f t="shared" si="69"/>
        <v>85.07268000000002</v>
      </c>
      <c r="AN473" s="36">
        <v>257.8</v>
      </c>
      <c r="AO473" s="23">
        <f t="shared" si="70"/>
        <v>170.14536000000004</v>
      </c>
      <c r="AQ473">
        <f t="shared" si="115"/>
        <v>0.68181818181818166</v>
      </c>
    </row>
    <row r="474" spans="1:43" x14ac:dyDescent="0.35">
      <c r="A474" t="s">
        <v>43</v>
      </c>
      <c r="B474">
        <v>6</v>
      </c>
      <c r="C474">
        <v>2</v>
      </c>
      <c r="D474" t="s">
        <v>42</v>
      </c>
      <c r="E474">
        <v>2</v>
      </c>
      <c r="F474">
        <v>1</v>
      </c>
      <c r="G474" s="12">
        <v>45</v>
      </c>
      <c r="H474" s="12">
        <v>12.3</v>
      </c>
      <c r="I474" s="12">
        <v>2132</v>
      </c>
      <c r="J474" s="12">
        <v>15.87</v>
      </c>
      <c r="K474" s="12">
        <v>42.173000000000002</v>
      </c>
      <c r="L474" s="12">
        <v>9.6000000000000002E-2</v>
      </c>
      <c r="M474" s="19">
        <v>205.3</v>
      </c>
      <c r="N474" s="12">
        <v>0.34</v>
      </c>
      <c r="O474" s="13">
        <v>4.5620000000000003</v>
      </c>
      <c r="P474" s="14">
        <v>45</v>
      </c>
      <c r="Q474" s="14">
        <v>15.87</v>
      </c>
      <c r="R474" s="14">
        <v>166.75700000000001</v>
      </c>
      <c r="S474" s="14">
        <v>38.542999999999999</v>
      </c>
      <c r="T474" s="10" t="b">
        <f t="shared" si="116"/>
        <v>1</v>
      </c>
      <c r="U474" s="10" t="b">
        <f t="shared" si="117"/>
        <v>1</v>
      </c>
      <c r="V474" s="11">
        <f>VLOOKUP(IF(J474&lt;10, 10, IF(J474&gt;50,50,J474)),'Over to underbark'!$A$3:$C$43,IF(A474="Scots pine",3,IF(A474="Sitka spruce",2, "error")),TRUE)/100</f>
        <v>0.9</v>
      </c>
      <c r="W474">
        <f t="shared" si="118"/>
        <v>135.07317</v>
      </c>
      <c r="X474">
        <f t="shared" si="119"/>
        <v>31.219829999999998</v>
      </c>
      <c r="Y474">
        <f t="shared" si="120"/>
        <v>18.476999999999997</v>
      </c>
      <c r="Z474">
        <f t="shared" si="63"/>
        <v>89.877975439500005</v>
      </c>
      <c r="AA474">
        <f t="shared" si="64"/>
        <v>24.0965487</v>
      </c>
      <c r="AB474">
        <f t="shared" si="65"/>
        <v>53.562129700500002</v>
      </c>
      <c r="AC474">
        <f t="shared" si="66"/>
        <v>17.23334616</v>
      </c>
      <c r="AD474">
        <f>LOOKUP($A474,'Over to underbark'!$A$47:$A$48,'Over to underbark'!E$47:E$48)*Z474</f>
        <v>29.659731895035002</v>
      </c>
      <c r="AE474">
        <f>LOOKUP($A474,'Over to underbark'!$A$47:$A$48,'Over to underbark'!E$47:E$48)*AA474</f>
        <v>7.9518610710000006</v>
      </c>
      <c r="AF474">
        <f>LOOKUP($A474,'Over to underbark'!$A$47:$A$48,'Over to underbark'!E$47:E$48)*AB474</f>
        <v>17.675502801165003</v>
      </c>
      <c r="AG474">
        <f>LOOKUP($A474,'Over to underbark'!$A$47:$A$48,'Over to underbark'!E$47:E$48)*AC474</f>
        <v>5.6870042328000006</v>
      </c>
      <c r="AH474" t="b">
        <f t="shared" si="67"/>
        <v>1</v>
      </c>
      <c r="AI474" t="b">
        <f t="shared" si="121"/>
        <v>1</v>
      </c>
      <c r="AJ474">
        <f>LOOKUP(A474,'Over to underbark'!$A$47:$A$48,'Over to underbark'!E$47:E$48)*M474</f>
        <v>67.749000000000009</v>
      </c>
      <c r="AK474" s="22">
        <f>LOOKUP(A474,'Over to underbark'!$A$47:$A$48,'Over to underbark'!$B$47:$B$48)*AJ474</f>
        <v>21.679680000000005</v>
      </c>
      <c r="AL474" s="22">
        <f>LOOKUP(A474,'Over to underbark'!$A$47:$A$48,'Over to underbark'!C$47:C$48)*AJ474</f>
        <v>33.197010000000006</v>
      </c>
      <c r="AM474" s="22">
        <f t="shared" si="69"/>
        <v>89.428680000000014</v>
      </c>
      <c r="AN474" s="36">
        <v>271</v>
      </c>
      <c r="AO474" s="23">
        <f t="shared" si="70"/>
        <v>178.85736000000003</v>
      </c>
      <c r="AQ474">
        <f t="shared" si="115"/>
        <v>0.68181818181818177</v>
      </c>
    </row>
    <row r="475" spans="1:43" x14ac:dyDescent="0.35">
      <c r="A475" t="s">
        <v>43</v>
      </c>
      <c r="B475">
        <v>6</v>
      </c>
      <c r="C475">
        <v>2</v>
      </c>
      <c r="D475" t="s">
        <v>42</v>
      </c>
      <c r="E475">
        <v>2</v>
      </c>
      <c r="F475">
        <v>1</v>
      </c>
      <c r="G475" s="12">
        <v>46</v>
      </c>
      <c r="H475" s="12">
        <v>12.57</v>
      </c>
      <c r="I475" s="12">
        <v>2111</v>
      </c>
      <c r="J475" s="12">
        <v>16.099</v>
      </c>
      <c r="K475" s="12">
        <v>42.970999999999997</v>
      </c>
      <c r="L475" s="12">
        <v>0.10199999999999999</v>
      </c>
      <c r="M475" s="19">
        <v>214.96</v>
      </c>
      <c r="N475" s="12">
        <v>0.44500000000000001</v>
      </c>
      <c r="O475" s="13">
        <v>4.673</v>
      </c>
      <c r="P475" s="14">
        <v>46</v>
      </c>
      <c r="Q475" s="14">
        <v>16.099</v>
      </c>
      <c r="R475" s="14">
        <v>171.58099999999999</v>
      </c>
      <c r="S475" s="14">
        <v>43.378999999999998</v>
      </c>
      <c r="T475" s="10" t="b">
        <f t="shared" si="116"/>
        <v>1</v>
      </c>
      <c r="U475" s="10" t="b">
        <f t="shared" si="117"/>
        <v>1</v>
      </c>
      <c r="V475" s="11">
        <f>VLOOKUP(IF(J475&lt;10, 10, IF(J475&gt;50,50,J475)),'Over to underbark'!$A$3:$C$43,IF(A475="Scots pine",3,IF(A475="Sitka spruce",2, "error")),TRUE)/100</f>
        <v>0.89</v>
      </c>
      <c r="W475">
        <f t="shared" si="118"/>
        <v>137.43638100000001</v>
      </c>
      <c r="X475">
        <f t="shared" si="119"/>
        <v>34.746579000000004</v>
      </c>
      <c r="Y475">
        <f t="shared" si="120"/>
        <v>21.281039999999997</v>
      </c>
      <c r="Z475">
        <f t="shared" si="63"/>
        <v>93.653558632350013</v>
      </c>
      <c r="AA475">
        <f t="shared" si="64"/>
        <v>25.758521909999999</v>
      </c>
      <c r="AB475">
        <f t="shared" si="65"/>
        <v>54.871807849649997</v>
      </c>
      <c r="AC475">
        <f t="shared" si="66"/>
        <v>19.180111608000004</v>
      </c>
      <c r="AD475">
        <f>LOOKUP($A475,'Over to underbark'!$A$47:$A$48,'Over to underbark'!E$47:E$48)*Z475</f>
        <v>30.905674348675504</v>
      </c>
      <c r="AE475">
        <f>LOOKUP($A475,'Over to underbark'!$A$47:$A$48,'Over to underbark'!E$47:E$48)*AA475</f>
        <v>8.5003122303000005</v>
      </c>
      <c r="AF475">
        <f>LOOKUP($A475,'Over to underbark'!$A$47:$A$48,'Over to underbark'!E$47:E$48)*AB475</f>
        <v>18.107696590384499</v>
      </c>
      <c r="AG475">
        <f>LOOKUP($A475,'Over to underbark'!$A$47:$A$48,'Over to underbark'!E$47:E$48)*AC475</f>
        <v>6.3294368306400015</v>
      </c>
      <c r="AH475" t="b">
        <f t="shared" si="67"/>
        <v>1</v>
      </c>
      <c r="AI475" t="b">
        <f t="shared" si="121"/>
        <v>1</v>
      </c>
      <c r="AJ475">
        <f>LOOKUP(A475,'Over to underbark'!$A$47:$A$48,'Over to underbark'!E$47:E$48)*M475</f>
        <v>70.936800000000005</v>
      </c>
      <c r="AK475" s="22">
        <f>LOOKUP(A475,'Over to underbark'!$A$47:$A$48,'Over to underbark'!$B$47:$B$48)*AJ475</f>
        <v>22.699776000000004</v>
      </c>
      <c r="AL475" s="22">
        <f>LOOKUP(A475,'Over to underbark'!$A$47:$A$48,'Over to underbark'!C$47:C$48)*AJ475</f>
        <v>34.759032000000005</v>
      </c>
      <c r="AM475" s="22">
        <f t="shared" si="69"/>
        <v>93.636576000000005</v>
      </c>
      <c r="AN475" s="36">
        <v>283.75</v>
      </c>
      <c r="AO475" s="23">
        <f t="shared" si="70"/>
        <v>187.27315200000001</v>
      </c>
      <c r="AQ475">
        <f t="shared" si="115"/>
        <v>0.68181818181818177</v>
      </c>
    </row>
    <row r="476" spans="1:43" x14ac:dyDescent="0.35">
      <c r="A476" t="s">
        <v>43</v>
      </c>
      <c r="B476">
        <v>6</v>
      </c>
      <c r="C476">
        <v>2</v>
      </c>
      <c r="D476" t="s">
        <v>42</v>
      </c>
      <c r="E476">
        <v>2</v>
      </c>
      <c r="F476">
        <v>1</v>
      </c>
      <c r="G476" s="12">
        <v>47</v>
      </c>
      <c r="H476" s="12">
        <v>12.84</v>
      </c>
      <c r="I476" s="12">
        <v>2090</v>
      </c>
      <c r="J476" s="12">
        <v>16.329000000000001</v>
      </c>
      <c r="K476" s="12">
        <v>43.768999999999998</v>
      </c>
      <c r="L476" s="12">
        <v>0.107</v>
      </c>
      <c r="M476" s="19">
        <v>224.62</v>
      </c>
      <c r="N476" s="12">
        <v>0.54</v>
      </c>
      <c r="O476" s="13">
        <v>4.7789999999999999</v>
      </c>
      <c r="P476" s="14">
        <v>47</v>
      </c>
      <c r="Q476" s="14">
        <v>16.329000000000001</v>
      </c>
      <c r="R476" s="14">
        <v>176.12</v>
      </c>
      <c r="S476" s="14">
        <v>48.5</v>
      </c>
      <c r="T476" s="10" t="b">
        <f t="shared" si="116"/>
        <v>1</v>
      </c>
      <c r="U476" s="10" t="b">
        <f t="shared" si="117"/>
        <v>1</v>
      </c>
      <c r="V476" s="11">
        <f>VLOOKUP(IF(J476&lt;10, 10, IF(J476&gt;50,50,J476)),'Over to underbark'!$A$3:$C$43,IF(A476="Scots pine",3,IF(A476="Sitka spruce",2, "error")),TRUE)/100</f>
        <v>0.89</v>
      </c>
      <c r="W476">
        <f t="shared" si="118"/>
        <v>141.07212000000001</v>
      </c>
      <c r="X476">
        <f t="shared" si="119"/>
        <v>38.848500000000001</v>
      </c>
      <c r="Y476">
        <f t="shared" si="120"/>
        <v>22.237379999999998</v>
      </c>
      <c r="Z476">
        <f t="shared" si="63"/>
        <v>97.355777381999999</v>
      </c>
      <c r="AA476">
        <f t="shared" si="64"/>
        <v>26.636623200000002</v>
      </c>
      <c r="AB476">
        <f t="shared" si="65"/>
        <v>56.721227417999998</v>
      </c>
      <c r="AC476">
        <f t="shared" si="66"/>
        <v>21.444372000000001</v>
      </c>
      <c r="AD476">
        <f>LOOKUP($A476,'Over to underbark'!$A$47:$A$48,'Over to underbark'!E$47:E$48)*Z476</f>
        <v>32.127406536060001</v>
      </c>
      <c r="AE476">
        <f>LOOKUP($A476,'Over to underbark'!$A$47:$A$48,'Over to underbark'!E$47:E$48)*AA476</f>
        <v>8.7900856560000005</v>
      </c>
      <c r="AF476">
        <f>LOOKUP($A476,'Over to underbark'!$A$47:$A$48,'Over to underbark'!E$47:E$48)*AB476</f>
        <v>18.71800504794</v>
      </c>
      <c r="AG476">
        <f>LOOKUP($A476,'Over to underbark'!$A$47:$A$48,'Over to underbark'!E$47:E$48)*AC476</f>
        <v>7.0766427600000004</v>
      </c>
      <c r="AH476" t="b">
        <f t="shared" si="67"/>
        <v>1</v>
      </c>
      <c r="AI476" t="b">
        <f t="shared" si="121"/>
        <v>1</v>
      </c>
      <c r="AJ476">
        <f>LOOKUP(A476,'Over to underbark'!$A$47:$A$48,'Over to underbark'!E$47:E$48)*M476</f>
        <v>74.124600000000001</v>
      </c>
      <c r="AK476" s="22">
        <f>LOOKUP(A476,'Over to underbark'!$A$47:$A$48,'Over to underbark'!$B$47:$B$48)*AJ476</f>
        <v>23.719872000000002</v>
      </c>
      <c r="AL476" s="22">
        <f>LOOKUP(A476,'Over to underbark'!$A$47:$A$48,'Over to underbark'!C$47:C$48)*AJ476</f>
        <v>36.321053999999997</v>
      </c>
      <c r="AM476" s="22">
        <f t="shared" si="69"/>
        <v>97.844471999999996</v>
      </c>
      <c r="AN476" s="36">
        <v>296.5</v>
      </c>
      <c r="AO476" s="23">
        <f t="shared" si="70"/>
        <v>195.68894399999999</v>
      </c>
      <c r="AQ476">
        <f t="shared" si="115"/>
        <v>0.68181818181818188</v>
      </c>
    </row>
    <row r="477" spans="1:43" x14ac:dyDescent="0.35">
      <c r="A477" t="s">
        <v>43</v>
      </c>
      <c r="B477">
        <v>6</v>
      </c>
      <c r="C477">
        <v>2</v>
      </c>
      <c r="D477" t="s">
        <v>42</v>
      </c>
      <c r="E477">
        <v>2</v>
      </c>
      <c r="F477">
        <v>1</v>
      </c>
      <c r="G477" s="12">
        <v>48</v>
      </c>
      <c r="H477" s="12">
        <v>13.11</v>
      </c>
      <c r="I477" s="12">
        <v>2070</v>
      </c>
      <c r="J477" s="12">
        <v>16.556999999999999</v>
      </c>
      <c r="K477" s="12">
        <v>44.567</v>
      </c>
      <c r="L477" s="12">
        <v>0.113</v>
      </c>
      <c r="M477" s="19">
        <v>234.28</v>
      </c>
      <c r="N477" s="12">
        <v>0.628</v>
      </c>
      <c r="O477" s="13">
        <v>4.8810000000000002</v>
      </c>
      <c r="P477" s="14">
        <v>48</v>
      </c>
      <c r="Q477" s="14">
        <v>16.556999999999999</v>
      </c>
      <c r="R477" s="14">
        <v>180.41800000000001</v>
      </c>
      <c r="S477" s="14">
        <v>53.862000000000002</v>
      </c>
      <c r="T477" s="10" t="b">
        <f t="shared" si="116"/>
        <v>1</v>
      </c>
      <c r="U477" s="10" t="b">
        <f t="shared" si="117"/>
        <v>1</v>
      </c>
      <c r="V477" s="11">
        <f>VLOOKUP(IF(J477&lt;10, 10, IF(J477&gt;50,50,J477)),'Over to underbark'!$A$3:$C$43,IF(A477="Scots pine",3,IF(A477="Sitka spruce",2, "error")),TRUE)/100</f>
        <v>0.89</v>
      </c>
      <c r="W477">
        <f t="shared" si="118"/>
        <v>144.51481800000002</v>
      </c>
      <c r="X477">
        <f t="shared" si="119"/>
        <v>43.143462</v>
      </c>
      <c r="Y477">
        <f t="shared" si="120"/>
        <v>23.193719999999999</v>
      </c>
      <c r="Z477">
        <f t="shared" si="63"/>
        <v>101.0195134083</v>
      </c>
      <c r="AA477">
        <f t="shared" si="64"/>
        <v>27.49348998</v>
      </c>
      <c r="AB477">
        <f t="shared" si="65"/>
        <v>58.523805587700004</v>
      </c>
      <c r="AC477">
        <f t="shared" si="66"/>
        <v>23.815191024000001</v>
      </c>
      <c r="AD477">
        <f>LOOKUP($A477,'Over to underbark'!$A$47:$A$48,'Over to underbark'!E$47:E$48)*Z477</f>
        <v>33.336439424738998</v>
      </c>
      <c r="AE477">
        <f>LOOKUP($A477,'Over to underbark'!$A$47:$A$48,'Over to underbark'!E$47:E$48)*AA477</f>
        <v>9.0728516934000005</v>
      </c>
      <c r="AF477">
        <f>LOOKUP($A477,'Over to underbark'!$A$47:$A$48,'Over to underbark'!E$47:E$48)*AB477</f>
        <v>19.312855843941001</v>
      </c>
      <c r="AG477">
        <f>LOOKUP($A477,'Over to underbark'!$A$47:$A$48,'Over to underbark'!E$47:E$48)*AC477</f>
        <v>7.8590130379200005</v>
      </c>
      <c r="AH477" t="b">
        <f t="shared" si="67"/>
        <v>1</v>
      </c>
      <c r="AI477" t="b">
        <f t="shared" si="121"/>
        <v>1</v>
      </c>
      <c r="AJ477">
        <f>LOOKUP(A477,'Over to underbark'!$A$47:$A$48,'Over to underbark'!E$47:E$48)*M477</f>
        <v>77.312400000000011</v>
      </c>
      <c r="AK477" s="22">
        <f>LOOKUP(A477,'Over to underbark'!$A$47:$A$48,'Over to underbark'!$B$47:$B$48)*AJ477</f>
        <v>24.739968000000005</v>
      </c>
      <c r="AL477" s="22">
        <f>LOOKUP(A477,'Over to underbark'!$A$47:$A$48,'Over to underbark'!C$47:C$48)*AJ477</f>
        <v>37.883076000000003</v>
      </c>
      <c r="AM477" s="22">
        <f t="shared" si="69"/>
        <v>102.05236800000002</v>
      </c>
      <c r="AN477" s="36">
        <v>309.25</v>
      </c>
      <c r="AO477" s="23">
        <f t="shared" si="70"/>
        <v>204.10473600000003</v>
      </c>
      <c r="AQ477">
        <f t="shared" si="115"/>
        <v>0.68181818181818166</v>
      </c>
    </row>
    <row r="478" spans="1:43" x14ac:dyDescent="0.35">
      <c r="A478" t="s">
        <v>43</v>
      </c>
      <c r="B478">
        <v>6</v>
      </c>
      <c r="C478">
        <v>2</v>
      </c>
      <c r="D478" t="s">
        <v>42</v>
      </c>
      <c r="E478">
        <v>2</v>
      </c>
      <c r="F478">
        <v>1</v>
      </c>
      <c r="G478" s="12">
        <v>49</v>
      </c>
      <c r="H478" s="12">
        <v>13.38</v>
      </c>
      <c r="I478" s="12">
        <v>2049</v>
      </c>
      <c r="J478" s="12">
        <v>16.79</v>
      </c>
      <c r="K478" s="12">
        <v>45.365000000000002</v>
      </c>
      <c r="L478" s="12">
        <v>0.11899999999999999</v>
      </c>
      <c r="M478" s="19">
        <v>243.94</v>
      </c>
      <c r="N478" s="12">
        <v>0.70799999999999996</v>
      </c>
      <c r="O478" s="13">
        <v>4.9779999999999998</v>
      </c>
      <c r="P478" s="14">
        <v>49</v>
      </c>
      <c r="Q478" s="14">
        <v>16.79</v>
      </c>
      <c r="R478" s="14">
        <v>184.37700000000001</v>
      </c>
      <c r="S478" s="14">
        <v>59.563000000000002</v>
      </c>
      <c r="T478" s="10" t="b">
        <f t="shared" si="116"/>
        <v>1</v>
      </c>
      <c r="U478" s="10" t="b">
        <f t="shared" si="117"/>
        <v>1</v>
      </c>
      <c r="V478" s="11">
        <f>VLOOKUP(IF(J478&lt;10, 10, IF(J478&gt;50,50,J478)),'Over to underbark'!$A$3:$C$43,IF(A478="Scots pine",3,IF(A478="Sitka spruce",2, "error")),TRUE)/100</f>
        <v>0.89</v>
      </c>
      <c r="W478">
        <f t="shared" si="118"/>
        <v>147.68597700000001</v>
      </c>
      <c r="X478">
        <f t="shared" si="119"/>
        <v>47.709963000000002</v>
      </c>
      <c r="Y478">
        <f t="shared" si="120"/>
        <v>24.150059999999996</v>
      </c>
      <c r="Z478">
        <f t="shared" si="63"/>
        <v>104.62911813494999</v>
      </c>
      <c r="AA478">
        <f t="shared" si="64"/>
        <v>28.32048747</v>
      </c>
      <c r="AB478">
        <f t="shared" si="65"/>
        <v>60.260494819050002</v>
      </c>
      <c r="AC478">
        <f t="shared" si="66"/>
        <v>26.335899576000003</v>
      </c>
      <c r="AD478">
        <f>LOOKUP($A478,'Over to underbark'!$A$47:$A$48,'Over to underbark'!E$47:E$48)*Z478</f>
        <v>34.527608984533501</v>
      </c>
      <c r="AE478">
        <f>LOOKUP($A478,'Over to underbark'!$A$47:$A$48,'Over to underbark'!E$47:E$48)*AA478</f>
        <v>9.3457608651000008</v>
      </c>
      <c r="AF478">
        <f>LOOKUP($A478,'Over to underbark'!$A$47:$A$48,'Over to underbark'!E$47:E$48)*AB478</f>
        <v>19.885963290286501</v>
      </c>
      <c r="AG478">
        <f>LOOKUP($A478,'Over to underbark'!$A$47:$A$48,'Over to underbark'!E$47:E$48)*AC478</f>
        <v>8.6908468600800006</v>
      </c>
      <c r="AH478" t="b">
        <f t="shared" si="67"/>
        <v>1</v>
      </c>
      <c r="AI478" t="b">
        <f t="shared" si="121"/>
        <v>1</v>
      </c>
      <c r="AJ478">
        <f>LOOKUP(A478,'Over to underbark'!$A$47:$A$48,'Over to underbark'!E$47:E$48)*M478</f>
        <v>80.500200000000007</v>
      </c>
      <c r="AK478" s="22">
        <f>LOOKUP(A478,'Over to underbark'!$A$47:$A$48,'Over to underbark'!$B$47:$B$48)*AJ478</f>
        <v>25.760064000000003</v>
      </c>
      <c r="AL478" s="22">
        <f>LOOKUP(A478,'Over to underbark'!$A$47:$A$48,'Over to underbark'!C$47:C$48)*AJ478</f>
        <v>39.445098000000002</v>
      </c>
      <c r="AM478" s="22">
        <f t="shared" si="69"/>
        <v>106.26026400000001</v>
      </c>
      <c r="AN478" s="36">
        <v>322</v>
      </c>
      <c r="AO478" s="23">
        <f t="shared" si="70"/>
        <v>212.52052800000001</v>
      </c>
      <c r="AQ478">
        <f t="shared" si="115"/>
        <v>0.68181818181818177</v>
      </c>
    </row>
    <row r="479" spans="1:43" x14ac:dyDescent="0.35">
      <c r="A479" t="s">
        <v>43</v>
      </c>
      <c r="B479">
        <v>6</v>
      </c>
      <c r="C479">
        <v>2</v>
      </c>
      <c r="D479" t="s">
        <v>42</v>
      </c>
      <c r="E479">
        <v>2</v>
      </c>
      <c r="F479">
        <v>1</v>
      </c>
      <c r="G479" s="12">
        <v>50</v>
      </c>
      <c r="H479" s="12">
        <v>13.65</v>
      </c>
      <c r="I479" s="12">
        <v>2029</v>
      </c>
      <c r="J479" s="12">
        <v>17.02</v>
      </c>
      <c r="K479" s="12">
        <v>46.162999999999997</v>
      </c>
      <c r="L479" s="12">
        <v>0.125</v>
      </c>
      <c r="M479" s="19">
        <v>253.6</v>
      </c>
      <c r="N479" s="12">
        <v>0.78200000000000003</v>
      </c>
      <c r="O479" s="13">
        <v>5.0720000000000001</v>
      </c>
      <c r="P479" s="14">
        <v>50</v>
      </c>
      <c r="Q479" s="14">
        <v>17.02</v>
      </c>
      <c r="R479" s="14">
        <v>188.11699999999999</v>
      </c>
      <c r="S479" s="14">
        <v>65.483000000000004</v>
      </c>
      <c r="T479" s="10" t="b">
        <f t="shared" si="116"/>
        <v>1</v>
      </c>
      <c r="U479" s="10" t="b">
        <f t="shared" si="117"/>
        <v>1</v>
      </c>
      <c r="V479" s="11">
        <f>VLOOKUP(IF(J479&lt;10, 10, IF(J479&gt;50,50,J479)),'Over to underbark'!$A$3:$C$43,IF(A479="Scots pine",3,IF(A479="Sitka spruce",2, "error")),TRUE)/100</f>
        <v>0.9</v>
      </c>
      <c r="W479">
        <f t="shared" si="118"/>
        <v>152.37476999999998</v>
      </c>
      <c r="X479">
        <f t="shared" si="119"/>
        <v>53.041230000000006</v>
      </c>
      <c r="Y479">
        <f t="shared" si="120"/>
        <v>22.823999999999995</v>
      </c>
      <c r="Z479">
        <f t="shared" si="63"/>
        <v>108.13727839950002</v>
      </c>
      <c r="AA479">
        <f t="shared" si="64"/>
        <v>28.173224699999999</v>
      </c>
      <c r="AB479">
        <f t="shared" si="65"/>
        <v>62.650737940499994</v>
      </c>
      <c r="AC479">
        <f t="shared" si="66"/>
        <v>29.278758960000005</v>
      </c>
      <c r="AD479">
        <f>LOOKUP($A479,'Over to underbark'!$A$47:$A$48,'Over to underbark'!E$47:E$48)*Z479</f>
        <v>35.685301871835009</v>
      </c>
      <c r="AE479">
        <f>LOOKUP($A479,'Over to underbark'!$A$47:$A$48,'Over to underbark'!E$47:E$48)*AA479</f>
        <v>9.2971641510000005</v>
      </c>
      <c r="AF479">
        <f>LOOKUP($A479,'Over to underbark'!$A$47:$A$48,'Over to underbark'!E$47:E$48)*AB479</f>
        <v>20.674743520364999</v>
      </c>
      <c r="AG479">
        <f>LOOKUP($A479,'Over to underbark'!$A$47:$A$48,'Over to underbark'!E$47:E$48)*AC479</f>
        <v>9.6619904568000017</v>
      </c>
      <c r="AH479" t="b">
        <f t="shared" si="67"/>
        <v>1</v>
      </c>
      <c r="AI479" t="b">
        <f t="shared" si="121"/>
        <v>1</v>
      </c>
      <c r="AJ479">
        <f>LOOKUP(A479,'Over to underbark'!$A$47:$A$48,'Over to underbark'!E$47:E$48)*M479</f>
        <v>83.688000000000002</v>
      </c>
      <c r="AK479" s="22">
        <f>LOOKUP(A479,'Over to underbark'!$A$47:$A$48,'Over to underbark'!$B$47:$B$48)*AJ479</f>
        <v>26.780160000000002</v>
      </c>
      <c r="AL479" s="22">
        <f>LOOKUP(A479,'Over to underbark'!$A$47:$A$48,'Over to underbark'!C$47:C$48)*AJ479</f>
        <v>41.00712</v>
      </c>
      <c r="AM479" s="22">
        <f t="shared" si="69"/>
        <v>110.46816000000001</v>
      </c>
      <c r="AN479" s="36">
        <v>334.75</v>
      </c>
      <c r="AO479" s="23">
        <f t="shared" si="70"/>
        <v>220.93632000000002</v>
      </c>
      <c r="AQ479">
        <f t="shared" si="115"/>
        <v>0.68181818181818188</v>
      </c>
    </row>
    <row r="480" spans="1:43" x14ac:dyDescent="0.35">
      <c r="A480" t="s">
        <v>43</v>
      </c>
      <c r="B480">
        <v>6</v>
      </c>
      <c r="C480">
        <v>2</v>
      </c>
      <c r="D480" t="s">
        <v>42</v>
      </c>
      <c r="E480">
        <v>2</v>
      </c>
      <c r="F480">
        <v>1</v>
      </c>
      <c r="G480" s="12">
        <v>51</v>
      </c>
      <c r="H480" s="12">
        <v>13.888</v>
      </c>
      <c r="I480" s="12">
        <v>2007</v>
      </c>
      <c r="J480" s="12">
        <v>17.216000000000001</v>
      </c>
      <c r="K480" s="12">
        <v>46.718000000000004</v>
      </c>
      <c r="L480" s="12">
        <v>0.13100000000000001</v>
      </c>
      <c r="M480" s="19">
        <v>262.32</v>
      </c>
      <c r="N480" s="12">
        <v>0.89900000000000002</v>
      </c>
      <c r="O480" s="13">
        <v>5.1440000000000001</v>
      </c>
      <c r="P480" s="14">
        <v>51</v>
      </c>
      <c r="Q480" s="14">
        <v>17.216000000000001</v>
      </c>
      <c r="R480" s="14">
        <v>191.45599999999999</v>
      </c>
      <c r="S480" s="14">
        <v>70.864000000000004</v>
      </c>
      <c r="T480" s="10" t="b">
        <f t="shared" si="116"/>
        <v>1</v>
      </c>
      <c r="U480" s="10" t="b">
        <f t="shared" si="117"/>
        <v>1</v>
      </c>
      <c r="V480" s="11">
        <f>VLOOKUP(IF(J480&lt;10, 10, IF(J480&gt;50,50,J480)),'Over to underbark'!$A$3:$C$43,IF(A480="Scots pine",3,IF(A480="Sitka spruce",2, "error")),TRUE)/100</f>
        <v>0.9</v>
      </c>
      <c r="W480">
        <f t="shared" si="118"/>
        <v>155.07935999999998</v>
      </c>
      <c r="X480">
        <f t="shared" si="119"/>
        <v>57.399840000000005</v>
      </c>
      <c r="Y480">
        <f t="shared" si="120"/>
        <v>23.608799999999995</v>
      </c>
      <c r="Z480">
        <f t="shared" si="63"/>
        <v>111.35025201600001</v>
      </c>
      <c r="AA480">
        <f t="shared" si="64"/>
        <v>28.863129599999997</v>
      </c>
      <c r="AB480">
        <f t="shared" si="65"/>
        <v>64.189906703999995</v>
      </c>
      <c r="AC480">
        <f t="shared" si="66"/>
        <v>31.684711679999999</v>
      </c>
      <c r="AD480">
        <f>LOOKUP($A480,'Over to underbark'!$A$47:$A$48,'Over to underbark'!E$47:E$48)*Z480</f>
        <v>36.745583165280003</v>
      </c>
      <c r="AE480">
        <f>LOOKUP($A480,'Over to underbark'!$A$47:$A$48,'Over to underbark'!E$47:E$48)*AA480</f>
        <v>9.5248327679999996</v>
      </c>
      <c r="AF480">
        <f>LOOKUP($A480,'Over to underbark'!$A$47:$A$48,'Over to underbark'!E$47:E$48)*AB480</f>
        <v>21.18266921232</v>
      </c>
      <c r="AG480">
        <f>LOOKUP($A480,'Over to underbark'!$A$47:$A$48,'Over to underbark'!E$47:E$48)*AC480</f>
        <v>10.4559548544</v>
      </c>
      <c r="AH480" t="b">
        <f t="shared" si="67"/>
        <v>1</v>
      </c>
      <c r="AI480" t="b">
        <f t="shared" si="121"/>
        <v>1</v>
      </c>
      <c r="AJ480">
        <f>LOOKUP(A480,'Over to underbark'!$A$47:$A$48,'Over to underbark'!E$47:E$48)*M480</f>
        <v>86.565600000000003</v>
      </c>
      <c r="AK480" s="22">
        <f>LOOKUP(A480,'Over to underbark'!$A$47:$A$48,'Over to underbark'!$B$47:$B$48)*AJ480</f>
        <v>27.700992000000003</v>
      </c>
      <c r="AL480" s="22">
        <f>LOOKUP(A480,'Over to underbark'!$A$47:$A$48,'Over to underbark'!C$47:C$48)*AJ480</f>
        <v>42.417144</v>
      </c>
      <c r="AM480" s="22">
        <f t="shared" si="69"/>
        <v>114.266592</v>
      </c>
      <c r="AN480" s="36">
        <v>346.26</v>
      </c>
      <c r="AO480" s="23">
        <f t="shared" si="70"/>
        <v>228.53318400000001</v>
      </c>
      <c r="AQ480">
        <f t="shared" si="115"/>
        <v>0.68181818181818188</v>
      </c>
    </row>
    <row r="481" spans="1:43" x14ac:dyDescent="0.35">
      <c r="A481" t="s">
        <v>43</v>
      </c>
      <c r="B481">
        <v>6</v>
      </c>
      <c r="C481">
        <v>2</v>
      </c>
      <c r="D481" t="s">
        <v>42</v>
      </c>
      <c r="E481">
        <v>2</v>
      </c>
      <c r="F481">
        <v>1</v>
      </c>
      <c r="G481" s="12">
        <v>52</v>
      </c>
      <c r="H481" s="12">
        <v>14.125999999999999</v>
      </c>
      <c r="I481" s="12">
        <v>1985</v>
      </c>
      <c r="J481" s="12">
        <v>17.414000000000001</v>
      </c>
      <c r="K481" s="12">
        <v>47.274000000000001</v>
      </c>
      <c r="L481" s="12">
        <v>0.13700000000000001</v>
      </c>
      <c r="M481" s="19">
        <v>271.04000000000002</v>
      </c>
      <c r="N481" s="12">
        <v>1.008</v>
      </c>
      <c r="O481" s="13">
        <v>5.2119999999999997</v>
      </c>
      <c r="P481" s="14">
        <v>52</v>
      </c>
      <c r="Q481" s="14">
        <v>17.414000000000001</v>
      </c>
      <c r="R481" s="14">
        <v>194.566</v>
      </c>
      <c r="S481" s="14">
        <v>76.474000000000004</v>
      </c>
      <c r="T481" s="10" t="b">
        <f t="shared" si="116"/>
        <v>1</v>
      </c>
      <c r="U481" s="10" t="b">
        <f t="shared" si="117"/>
        <v>1</v>
      </c>
      <c r="V481" s="11">
        <f>VLOOKUP(IF(J481&lt;10, 10, IF(J481&gt;50,50,J481)),'Over to underbark'!$A$3:$C$43,IF(A481="Scots pine",3,IF(A481="Sitka spruce",2, "error")),TRUE)/100</f>
        <v>0.9</v>
      </c>
      <c r="W481">
        <f t="shared" si="118"/>
        <v>157.59845999999999</v>
      </c>
      <c r="X481">
        <f t="shared" si="119"/>
        <v>61.943939999999998</v>
      </c>
      <c r="Y481">
        <f t="shared" si="120"/>
        <v>24.393599999999999</v>
      </c>
      <c r="Z481">
        <f t="shared" si="63"/>
        <v>114.52624820099999</v>
      </c>
      <c r="AA481">
        <f t="shared" si="64"/>
        <v>29.532630599999997</v>
      </c>
      <c r="AB481">
        <f t="shared" si="65"/>
        <v>65.684066318999982</v>
      </c>
      <c r="AC481">
        <f t="shared" si="66"/>
        <v>34.193054879999998</v>
      </c>
      <c r="AD481">
        <f>LOOKUP($A481,'Over to underbark'!$A$47:$A$48,'Over to underbark'!E$47:E$48)*Z481</f>
        <v>37.793661906329994</v>
      </c>
      <c r="AE481">
        <f>LOOKUP($A481,'Over to underbark'!$A$47:$A$48,'Over to underbark'!E$47:E$48)*AA481</f>
        <v>9.7457680979999992</v>
      </c>
      <c r="AF481">
        <f>LOOKUP($A481,'Over to underbark'!$A$47:$A$48,'Over to underbark'!E$47:E$48)*AB481</f>
        <v>21.675741885269996</v>
      </c>
      <c r="AG481">
        <f>LOOKUP($A481,'Over to underbark'!$A$47:$A$48,'Over to underbark'!E$47:E$48)*AC481</f>
        <v>11.283708110399999</v>
      </c>
      <c r="AH481" t="b">
        <f t="shared" si="67"/>
        <v>1</v>
      </c>
      <c r="AI481" t="b">
        <f t="shared" si="121"/>
        <v>1</v>
      </c>
      <c r="AJ481">
        <f>LOOKUP(A481,'Over to underbark'!$A$47:$A$48,'Over to underbark'!E$47:E$48)*M481</f>
        <v>89.443200000000004</v>
      </c>
      <c r="AK481" s="22">
        <f>LOOKUP(A481,'Over to underbark'!$A$47:$A$48,'Over to underbark'!$B$47:$B$48)*AJ481</f>
        <v>28.621824000000004</v>
      </c>
      <c r="AL481" s="22">
        <f>LOOKUP(A481,'Over to underbark'!$A$47:$A$48,'Over to underbark'!C$47:C$48)*AJ481</f>
        <v>43.827168</v>
      </c>
      <c r="AM481" s="22">
        <f t="shared" si="69"/>
        <v>118.06502400000001</v>
      </c>
      <c r="AN481" s="36">
        <v>357.77</v>
      </c>
      <c r="AO481" s="23">
        <f t="shared" si="70"/>
        <v>236.13004800000002</v>
      </c>
      <c r="AQ481">
        <f t="shared" si="115"/>
        <v>0.68181818181818166</v>
      </c>
    </row>
    <row r="482" spans="1:43" x14ac:dyDescent="0.35">
      <c r="A482" t="s">
        <v>43</v>
      </c>
      <c r="B482">
        <v>6</v>
      </c>
      <c r="C482">
        <v>2</v>
      </c>
      <c r="D482" t="s">
        <v>42</v>
      </c>
      <c r="E482">
        <v>2</v>
      </c>
      <c r="F482">
        <v>1</v>
      </c>
      <c r="G482" s="12">
        <v>53</v>
      </c>
      <c r="H482" s="12">
        <v>14.364000000000001</v>
      </c>
      <c r="I482" s="12">
        <v>1963</v>
      </c>
      <c r="J482" s="12">
        <v>17.613</v>
      </c>
      <c r="K482" s="12">
        <v>47.83</v>
      </c>
      <c r="L482" s="12">
        <v>0.14299999999999999</v>
      </c>
      <c r="M482" s="19">
        <v>279.76</v>
      </c>
      <c r="N482" s="12">
        <v>1.1100000000000001</v>
      </c>
      <c r="O482" s="13">
        <v>5.2779999999999996</v>
      </c>
      <c r="P482" s="14">
        <v>53</v>
      </c>
      <c r="Q482" s="14">
        <v>17.613</v>
      </c>
      <c r="R482" s="14">
        <v>197.464</v>
      </c>
      <c r="S482" s="14">
        <v>82.296000000000006</v>
      </c>
      <c r="T482" s="10" t="b">
        <f t="shared" si="116"/>
        <v>1</v>
      </c>
      <c r="U482" s="10" t="b">
        <f t="shared" si="117"/>
        <v>1</v>
      </c>
      <c r="V482" s="11">
        <f>VLOOKUP(IF(J482&lt;10, 10, IF(J482&gt;50,50,J482)),'Over to underbark'!$A$3:$C$43,IF(A482="Scots pine",3,IF(A482="Sitka spruce",2, "error")),TRUE)/100</f>
        <v>0.9</v>
      </c>
      <c r="W482">
        <f t="shared" si="118"/>
        <v>159.94584</v>
      </c>
      <c r="X482">
        <f t="shared" si="119"/>
        <v>66.659760000000006</v>
      </c>
      <c r="Y482">
        <f t="shared" si="120"/>
        <v>25.178399999999993</v>
      </c>
      <c r="Z482">
        <f t="shared" si="63"/>
        <v>117.668012004</v>
      </c>
      <c r="AA482">
        <f t="shared" si="64"/>
        <v>30.183242399999997</v>
      </c>
      <c r="AB482">
        <f t="shared" si="65"/>
        <v>67.136558076</v>
      </c>
      <c r="AC482">
        <f t="shared" si="66"/>
        <v>36.796187520000004</v>
      </c>
      <c r="AD482">
        <f>LOOKUP($A482,'Over to underbark'!$A$47:$A$48,'Over to underbark'!E$47:E$48)*Z482</f>
        <v>38.83044396132</v>
      </c>
      <c r="AE482">
        <f>LOOKUP($A482,'Over to underbark'!$A$47:$A$48,'Over to underbark'!E$47:E$48)*AA482</f>
        <v>9.9604699920000002</v>
      </c>
      <c r="AF482">
        <f>LOOKUP($A482,'Over to underbark'!$A$47:$A$48,'Over to underbark'!E$47:E$48)*AB482</f>
        <v>22.155064165080002</v>
      </c>
      <c r="AG482">
        <f>LOOKUP($A482,'Over to underbark'!$A$47:$A$48,'Over to underbark'!E$47:E$48)*AC482</f>
        <v>12.142741881600001</v>
      </c>
      <c r="AH482" t="b">
        <f t="shared" si="67"/>
        <v>1</v>
      </c>
      <c r="AI482" t="b">
        <f t="shared" si="121"/>
        <v>1</v>
      </c>
      <c r="AJ482">
        <f>LOOKUP(A482,'Over to underbark'!$A$47:$A$48,'Over to underbark'!E$47:E$48)*M482</f>
        <v>92.320800000000006</v>
      </c>
      <c r="AK482" s="22">
        <f>LOOKUP(A482,'Over to underbark'!$A$47:$A$48,'Over to underbark'!$B$47:$B$48)*AJ482</f>
        <v>29.542656000000001</v>
      </c>
      <c r="AL482" s="22">
        <f>LOOKUP(A482,'Over to underbark'!$A$47:$A$48,'Over to underbark'!C$47:C$48)*AJ482</f>
        <v>45.237192</v>
      </c>
      <c r="AM482" s="22">
        <f t="shared" si="69"/>
        <v>121.86345600000001</v>
      </c>
      <c r="AN482" s="36">
        <v>369.28</v>
      </c>
      <c r="AO482" s="23">
        <f t="shared" si="70"/>
        <v>243.72691200000003</v>
      </c>
      <c r="AQ482">
        <f t="shared" si="115"/>
        <v>0.68181818181818177</v>
      </c>
    </row>
    <row r="483" spans="1:43" x14ac:dyDescent="0.35">
      <c r="A483" t="s">
        <v>43</v>
      </c>
      <c r="B483">
        <v>6</v>
      </c>
      <c r="C483">
        <v>2</v>
      </c>
      <c r="D483" t="s">
        <v>42</v>
      </c>
      <c r="E483">
        <v>2</v>
      </c>
      <c r="F483">
        <v>1</v>
      </c>
      <c r="G483" s="12">
        <v>54</v>
      </c>
      <c r="H483" s="12">
        <v>14.602</v>
      </c>
      <c r="I483" s="12">
        <v>1941</v>
      </c>
      <c r="J483" s="12">
        <v>17.815999999999999</v>
      </c>
      <c r="K483" s="12">
        <v>48.384999999999998</v>
      </c>
      <c r="L483" s="12">
        <v>0.14899999999999999</v>
      </c>
      <c r="M483" s="19">
        <v>288.48</v>
      </c>
      <c r="N483" s="12">
        <v>1.2050000000000001</v>
      </c>
      <c r="O483" s="13">
        <v>5.3419999999999996</v>
      </c>
      <c r="P483" s="14">
        <v>54</v>
      </c>
      <c r="Q483" s="14">
        <v>17.815999999999999</v>
      </c>
      <c r="R483" s="14">
        <v>200.1</v>
      </c>
      <c r="S483" s="14">
        <v>88.38</v>
      </c>
      <c r="T483" s="10" t="b">
        <f t="shared" si="116"/>
        <v>1</v>
      </c>
      <c r="U483" s="10" t="b">
        <f t="shared" si="117"/>
        <v>1</v>
      </c>
      <c r="V483" s="11">
        <f>VLOOKUP(IF(J483&lt;10, 10, IF(J483&gt;50,50,J483)),'Over to underbark'!$A$3:$C$43,IF(A483="Scots pine",3,IF(A483="Sitka spruce",2, "error")),TRUE)/100</f>
        <v>0.9</v>
      </c>
      <c r="W483">
        <f t="shared" si="118"/>
        <v>162.08100000000002</v>
      </c>
      <c r="X483">
        <f t="shared" si="119"/>
        <v>71.587800000000001</v>
      </c>
      <c r="Y483">
        <f t="shared" si="120"/>
        <v>25.963199999999993</v>
      </c>
      <c r="Z483">
        <f t="shared" si="63"/>
        <v>120.76746975</v>
      </c>
      <c r="AA483">
        <f t="shared" si="64"/>
        <v>30.810509999999997</v>
      </c>
      <c r="AB483">
        <f t="shared" si="65"/>
        <v>68.537554650000004</v>
      </c>
      <c r="AC483">
        <f t="shared" si="66"/>
        <v>39.516465600000004</v>
      </c>
      <c r="AD483">
        <f>LOOKUP($A483,'Over to underbark'!$A$47:$A$48,'Over to underbark'!E$47:E$48)*Z483</f>
        <v>39.8532650175</v>
      </c>
      <c r="AE483">
        <f>LOOKUP($A483,'Over to underbark'!$A$47:$A$48,'Over to underbark'!E$47:E$48)*AA483</f>
        <v>10.167468299999999</v>
      </c>
      <c r="AF483">
        <f>LOOKUP($A483,'Over to underbark'!$A$47:$A$48,'Over to underbark'!E$47:E$48)*AB483</f>
        <v>22.617393034500001</v>
      </c>
      <c r="AG483">
        <f>LOOKUP($A483,'Over to underbark'!$A$47:$A$48,'Over to underbark'!E$47:E$48)*AC483</f>
        <v>13.040433648000002</v>
      </c>
      <c r="AH483" t="b">
        <f t="shared" si="67"/>
        <v>1</v>
      </c>
      <c r="AI483" t="b">
        <f t="shared" si="121"/>
        <v>1</v>
      </c>
      <c r="AJ483">
        <f>LOOKUP(A483,'Over to underbark'!$A$47:$A$48,'Over to underbark'!E$47:E$48)*M483</f>
        <v>95.198400000000007</v>
      </c>
      <c r="AK483" s="22">
        <f>LOOKUP(A483,'Over to underbark'!$A$47:$A$48,'Over to underbark'!$B$47:$B$48)*AJ483</f>
        <v>30.463488000000002</v>
      </c>
      <c r="AL483" s="22">
        <f>LOOKUP(A483,'Over to underbark'!$A$47:$A$48,'Over to underbark'!C$47:C$48)*AJ483</f>
        <v>46.647216</v>
      </c>
      <c r="AM483" s="22">
        <f t="shared" si="69"/>
        <v>125.661888</v>
      </c>
      <c r="AN483" s="36">
        <v>380.79</v>
      </c>
      <c r="AO483" s="23">
        <f t="shared" si="70"/>
        <v>251.32377600000001</v>
      </c>
      <c r="AQ483">
        <f t="shared" si="115"/>
        <v>0.68181818181818188</v>
      </c>
    </row>
    <row r="484" spans="1:43" x14ac:dyDescent="0.35">
      <c r="A484" t="s">
        <v>43</v>
      </c>
      <c r="B484">
        <v>6</v>
      </c>
      <c r="C484">
        <v>2</v>
      </c>
      <c r="D484" t="s">
        <v>42</v>
      </c>
      <c r="E484">
        <v>2</v>
      </c>
      <c r="F484">
        <v>1</v>
      </c>
      <c r="G484" s="12">
        <v>55</v>
      </c>
      <c r="H484" s="12">
        <v>14.84</v>
      </c>
      <c r="I484" s="12">
        <v>1919</v>
      </c>
      <c r="J484" s="12">
        <v>18.02</v>
      </c>
      <c r="K484" s="12">
        <v>48.941000000000003</v>
      </c>
      <c r="L484" s="12">
        <v>0.155</v>
      </c>
      <c r="M484" s="19">
        <v>297.2</v>
      </c>
      <c r="N484" s="12">
        <v>1.2949999999999999</v>
      </c>
      <c r="O484" s="13">
        <v>5.4039999999999999</v>
      </c>
      <c r="P484" s="14">
        <v>55</v>
      </c>
      <c r="Q484" s="14">
        <v>18.02</v>
      </c>
      <c r="R484" s="14">
        <v>202.52500000000001</v>
      </c>
      <c r="S484" s="14">
        <v>94.674999999999997</v>
      </c>
      <c r="T484" s="10" t="b">
        <f t="shared" si="116"/>
        <v>1</v>
      </c>
      <c r="U484" s="10" t="b">
        <f t="shared" si="117"/>
        <v>1</v>
      </c>
      <c r="V484" s="11">
        <f>VLOOKUP(IF(J484&lt;10, 10, IF(J484&gt;50,50,J484)),'Over to underbark'!$A$3:$C$43,IF(A484="Scots pine",3,IF(A484="Sitka spruce",2, "error")),TRUE)/100</f>
        <v>0.9</v>
      </c>
      <c r="W484">
        <f t="shared" si="118"/>
        <v>164.04525000000001</v>
      </c>
      <c r="X484">
        <f t="shared" si="119"/>
        <v>76.686750000000004</v>
      </c>
      <c r="Y484">
        <f t="shared" si="120"/>
        <v>26.747999999999998</v>
      </c>
      <c r="Z484">
        <f t="shared" si="63"/>
        <v>123.8328565875</v>
      </c>
      <c r="AA484">
        <f t="shared" si="64"/>
        <v>31.4189775</v>
      </c>
      <c r="AB484">
        <f t="shared" si="65"/>
        <v>69.89707991249999</v>
      </c>
      <c r="AC484">
        <f t="shared" si="66"/>
        <v>42.331086000000006</v>
      </c>
      <c r="AD484">
        <f>LOOKUP($A484,'Over to underbark'!$A$47:$A$48,'Over to underbark'!E$47:E$48)*Z484</f>
        <v>40.864842673875003</v>
      </c>
      <c r="AE484">
        <f>LOOKUP($A484,'Over to underbark'!$A$47:$A$48,'Over to underbark'!E$47:E$48)*AA484</f>
        <v>10.368262575000001</v>
      </c>
      <c r="AF484">
        <f>LOOKUP($A484,'Over to underbark'!$A$47:$A$48,'Over to underbark'!E$47:E$48)*AB484</f>
        <v>23.066036371124998</v>
      </c>
      <c r="AG484">
        <f>LOOKUP($A484,'Over to underbark'!$A$47:$A$48,'Over to underbark'!E$47:E$48)*AC484</f>
        <v>13.969258380000003</v>
      </c>
      <c r="AH484" t="b">
        <f t="shared" si="67"/>
        <v>1</v>
      </c>
      <c r="AI484" t="b">
        <f t="shared" si="121"/>
        <v>1</v>
      </c>
      <c r="AJ484">
        <f>LOOKUP(A484,'Over to underbark'!$A$47:$A$48,'Over to underbark'!E$47:E$48)*M484</f>
        <v>98.076000000000008</v>
      </c>
      <c r="AK484" s="22">
        <f>LOOKUP(A484,'Over to underbark'!$A$47:$A$48,'Over to underbark'!$B$47:$B$48)*AJ484</f>
        <v>31.384320000000002</v>
      </c>
      <c r="AL484" s="22">
        <f>LOOKUP(A484,'Over to underbark'!$A$47:$A$48,'Over to underbark'!C$47:C$48)*AJ484</f>
        <v>48.05724</v>
      </c>
      <c r="AM484" s="22">
        <f t="shared" si="69"/>
        <v>129.46032000000002</v>
      </c>
      <c r="AN484" s="36">
        <v>392.3</v>
      </c>
      <c r="AO484" s="23">
        <f t="shared" si="70"/>
        <v>258.92064000000005</v>
      </c>
      <c r="AQ484">
        <f t="shared" si="115"/>
        <v>0.68181818181818166</v>
      </c>
    </row>
    <row r="485" spans="1:43" x14ac:dyDescent="0.35">
      <c r="A485" t="s">
        <v>43</v>
      </c>
      <c r="B485">
        <v>6</v>
      </c>
      <c r="C485">
        <v>2</v>
      </c>
      <c r="D485" t="s">
        <v>42</v>
      </c>
      <c r="E485">
        <v>2</v>
      </c>
      <c r="F485">
        <v>1</v>
      </c>
      <c r="G485" s="12">
        <v>56</v>
      </c>
      <c r="H485" s="12">
        <v>15.042</v>
      </c>
      <c r="I485" s="12">
        <v>1899</v>
      </c>
      <c r="J485" s="12">
        <v>18.193000000000001</v>
      </c>
      <c r="K485" s="12">
        <v>49.365000000000002</v>
      </c>
      <c r="L485" s="12">
        <v>0.16</v>
      </c>
      <c r="M485" s="19">
        <v>304.66000000000003</v>
      </c>
      <c r="N485" s="12">
        <v>1.4239999999999999</v>
      </c>
      <c r="O485" s="13">
        <v>5.44</v>
      </c>
      <c r="P485" s="14">
        <v>56</v>
      </c>
      <c r="Q485" s="14">
        <v>18.193000000000001</v>
      </c>
      <c r="R485" s="14">
        <v>204.476</v>
      </c>
      <c r="S485" s="14">
        <v>100.184</v>
      </c>
      <c r="T485" s="10" t="b">
        <f t="shared" si="116"/>
        <v>1</v>
      </c>
      <c r="U485" s="10" t="b">
        <f t="shared" si="117"/>
        <v>1</v>
      </c>
      <c r="V485" s="11">
        <f>VLOOKUP(IF(J485&lt;10, 10, IF(J485&gt;50,50,J485)),'Over to underbark'!$A$3:$C$43,IF(A485="Scots pine",3,IF(A485="Sitka spruce",2, "error")),TRUE)/100</f>
        <v>0.9</v>
      </c>
      <c r="W485">
        <f t="shared" si="118"/>
        <v>165.62556000000001</v>
      </c>
      <c r="X485">
        <f t="shared" si="119"/>
        <v>81.149039999999999</v>
      </c>
      <c r="Y485">
        <f t="shared" si="120"/>
        <v>27.419399999999989</v>
      </c>
      <c r="Z485">
        <f t="shared" si="63"/>
        <v>126.43535118600001</v>
      </c>
      <c r="AA485">
        <f t="shared" si="64"/>
        <v>31.928511599999997</v>
      </c>
      <c r="AB485">
        <f t="shared" si="65"/>
        <v>71.035867134</v>
      </c>
      <c r="AC485">
        <f t="shared" si="66"/>
        <v>44.794270079999997</v>
      </c>
      <c r="AD485">
        <f>LOOKUP($A485,'Over to underbark'!$A$47:$A$48,'Over to underbark'!E$47:E$48)*Z485</f>
        <v>41.723665891380001</v>
      </c>
      <c r="AE485">
        <f>LOOKUP($A485,'Over to underbark'!$A$47:$A$48,'Over to underbark'!E$47:E$48)*AA485</f>
        <v>10.536408827999999</v>
      </c>
      <c r="AF485">
        <f>LOOKUP($A485,'Over to underbark'!$A$47:$A$48,'Over to underbark'!E$47:E$48)*AB485</f>
        <v>23.441836154220002</v>
      </c>
      <c r="AG485">
        <f>LOOKUP($A485,'Over to underbark'!$A$47:$A$48,'Over to underbark'!E$47:E$48)*AC485</f>
        <v>14.7821091264</v>
      </c>
      <c r="AH485" t="b">
        <f t="shared" si="67"/>
        <v>1</v>
      </c>
      <c r="AI485" t="b">
        <f t="shared" si="121"/>
        <v>1</v>
      </c>
      <c r="AJ485">
        <f>LOOKUP(A485,'Over to underbark'!$A$47:$A$48,'Over to underbark'!E$47:E$48)*M485</f>
        <v>100.53780000000002</v>
      </c>
      <c r="AK485" s="22">
        <f>LOOKUP(A485,'Over to underbark'!$A$47:$A$48,'Over to underbark'!$B$47:$B$48)*AJ485</f>
        <v>32.172096000000003</v>
      </c>
      <c r="AL485" s="22">
        <f>LOOKUP(A485,'Over to underbark'!$A$47:$A$48,'Over to underbark'!C$47:C$48)*AJ485</f>
        <v>49.263522000000009</v>
      </c>
      <c r="AM485" s="22">
        <f t="shared" si="69"/>
        <v>132.70989600000001</v>
      </c>
      <c r="AN485" s="36">
        <v>402.15</v>
      </c>
      <c r="AO485" s="23">
        <f t="shared" si="70"/>
        <v>265.41979200000003</v>
      </c>
      <c r="AQ485">
        <f t="shared" si="115"/>
        <v>0.68181818181818177</v>
      </c>
    </row>
    <row r="486" spans="1:43" x14ac:dyDescent="0.35">
      <c r="A486" t="s">
        <v>43</v>
      </c>
      <c r="B486">
        <v>6</v>
      </c>
      <c r="C486">
        <v>2</v>
      </c>
      <c r="D486" t="s">
        <v>42</v>
      </c>
      <c r="E486">
        <v>2</v>
      </c>
      <c r="F486">
        <v>1</v>
      </c>
      <c r="G486" s="12">
        <v>57</v>
      </c>
      <c r="H486" s="12">
        <v>15.244</v>
      </c>
      <c r="I486" s="12">
        <v>1880</v>
      </c>
      <c r="J486" s="12">
        <v>18.363</v>
      </c>
      <c r="K486" s="12">
        <v>49.79</v>
      </c>
      <c r="L486" s="12">
        <v>0.16600000000000001</v>
      </c>
      <c r="M486" s="19">
        <v>312.12</v>
      </c>
      <c r="N486" s="12">
        <v>1.546</v>
      </c>
      <c r="O486" s="13">
        <v>5.476</v>
      </c>
      <c r="P486" s="14">
        <v>57</v>
      </c>
      <c r="Q486" s="14">
        <v>18.363</v>
      </c>
      <c r="R486" s="14">
        <v>206.346</v>
      </c>
      <c r="S486" s="14">
        <v>105.774</v>
      </c>
      <c r="T486" s="10" t="b">
        <f t="shared" si="116"/>
        <v>1</v>
      </c>
      <c r="U486" s="10" t="b">
        <f t="shared" si="117"/>
        <v>1</v>
      </c>
      <c r="V486" s="11">
        <f>VLOOKUP(IF(J486&lt;10, 10, IF(J486&gt;50,50,J486)),'Over to underbark'!$A$3:$C$43,IF(A486="Scots pine",3,IF(A486="Sitka spruce",2, "error")),TRUE)/100</f>
        <v>0.9</v>
      </c>
      <c r="W486">
        <f t="shared" si="118"/>
        <v>167.14026000000001</v>
      </c>
      <c r="X486">
        <f t="shared" si="119"/>
        <v>85.676940000000002</v>
      </c>
      <c r="Y486">
        <f t="shared" si="120"/>
        <v>28.090799999999994</v>
      </c>
      <c r="Z486">
        <f t="shared" ref="Z486:Z549" si="122">(50%*Y486)+(46%*W486)+(15%*X486)+(43%*W486*10%)+(43%*W486*90%*5%)+(25%*X486*50%)+(60%*X486*8%)</f>
        <v>129.02476643100002</v>
      </c>
      <c r="AA486">
        <f t="shared" ref="AA486:AA549" si="123">(50%*Y486)+(11%*W486)</f>
        <v>32.430828599999998</v>
      </c>
      <c r="AB486">
        <f t="shared" ref="AB486:AB549" si="124">(43%*W486*90%*95%)+(25%*X486*50%)</f>
        <v>72.158734089000006</v>
      </c>
      <c r="AC486">
        <f t="shared" ref="AC486:AC549" si="125">60%*X486*92%</f>
        <v>47.293670880000001</v>
      </c>
      <c r="AD486">
        <f>LOOKUP($A486,'Over to underbark'!$A$47:$A$48,'Over to underbark'!E$47:E$48)*Z486</f>
        <v>42.57817292223001</v>
      </c>
      <c r="AE486">
        <f>LOOKUP($A486,'Over to underbark'!$A$47:$A$48,'Over to underbark'!E$47:E$48)*AA486</f>
        <v>10.702173437999999</v>
      </c>
      <c r="AF486">
        <f>LOOKUP($A486,'Over to underbark'!$A$47:$A$48,'Over to underbark'!E$47:E$48)*AB486</f>
        <v>23.812382249370003</v>
      </c>
      <c r="AG486">
        <f>LOOKUP($A486,'Over to underbark'!$A$47:$A$48,'Over to underbark'!E$47:E$48)*AC486</f>
        <v>15.606911390400001</v>
      </c>
      <c r="AH486" t="b">
        <f t="shared" ref="AH486:AH549" si="126">SUM(W486:Y486)=SUM(Z486:AC486)</f>
        <v>1</v>
      </c>
      <c r="AI486" t="b">
        <f t="shared" si="121"/>
        <v>1</v>
      </c>
      <c r="AJ486">
        <f>LOOKUP(A486,'Over to underbark'!$A$47:$A$48,'Over to underbark'!E$47:E$48)*M486</f>
        <v>102.9996</v>
      </c>
      <c r="AK486" s="22">
        <f>LOOKUP(A486,'Over to underbark'!$A$47:$A$48,'Over to underbark'!$B$47:$B$48)*AJ486</f>
        <v>32.959872000000004</v>
      </c>
      <c r="AL486" s="22">
        <f>LOOKUP(A486,'Over to underbark'!$A$47:$A$48,'Over to underbark'!C$47:C$48)*AJ486</f>
        <v>50.469803999999996</v>
      </c>
      <c r="AM486" s="22">
        <f t="shared" ref="AM486:AM549" si="127">AJ486+AK486</f>
        <v>135.95947200000001</v>
      </c>
      <c r="AN486" s="36">
        <v>412</v>
      </c>
      <c r="AO486" s="23">
        <f t="shared" ref="AO486:AO549" si="128">AM486*2</f>
        <v>271.91894400000001</v>
      </c>
      <c r="AQ486">
        <f t="shared" si="115"/>
        <v>0.68181818181818188</v>
      </c>
    </row>
    <row r="487" spans="1:43" x14ac:dyDescent="0.35">
      <c r="A487" t="s">
        <v>43</v>
      </c>
      <c r="B487">
        <v>6</v>
      </c>
      <c r="C487">
        <v>2</v>
      </c>
      <c r="D487" t="s">
        <v>42</v>
      </c>
      <c r="E487">
        <v>2</v>
      </c>
      <c r="F487">
        <v>1</v>
      </c>
      <c r="G487" s="12">
        <v>58</v>
      </c>
      <c r="H487" s="12">
        <v>15.446</v>
      </c>
      <c r="I487" s="12">
        <v>1860</v>
      </c>
      <c r="J487" s="12">
        <v>18.54</v>
      </c>
      <c r="K487" s="12">
        <v>50.213999999999999</v>
      </c>
      <c r="L487" s="12">
        <v>0.17199999999999999</v>
      </c>
      <c r="M487" s="19">
        <v>319.58</v>
      </c>
      <c r="N487" s="12">
        <v>1.6619999999999999</v>
      </c>
      <c r="O487" s="13">
        <v>5.51</v>
      </c>
      <c r="P487" s="14">
        <v>58</v>
      </c>
      <c r="Q487" s="14">
        <v>18.54</v>
      </c>
      <c r="R487" s="14">
        <v>207.95400000000001</v>
      </c>
      <c r="S487" s="14">
        <v>111.626</v>
      </c>
      <c r="T487" s="10" t="b">
        <f t="shared" si="116"/>
        <v>1</v>
      </c>
      <c r="U487" s="10" t="b">
        <f t="shared" si="117"/>
        <v>1</v>
      </c>
      <c r="V487" s="11">
        <f>VLOOKUP(IF(J487&lt;10, 10, IF(J487&gt;50,50,J487)),'Over to underbark'!$A$3:$C$43,IF(A487="Scots pine",3,IF(A487="Sitka spruce",2, "error")),TRUE)/100</f>
        <v>0.9</v>
      </c>
      <c r="W487">
        <f t="shared" si="118"/>
        <v>168.44274000000001</v>
      </c>
      <c r="X487">
        <f t="shared" si="119"/>
        <v>90.417060000000006</v>
      </c>
      <c r="Y487">
        <f t="shared" si="120"/>
        <v>28.7622</v>
      </c>
      <c r="Z487">
        <f t="shared" si="122"/>
        <v>131.571875619</v>
      </c>
      <c r="AA487">
        <f t="shared" si="123"/>
        <v>32.909801400000006</v>
      </c>
      <c r="AB487">
        <f t="shared" si="124"/>
        <v>73.230105861000013</v>
      </c>
      <c r="AC487">
        <f t="shared" si="125"/>
        <v>49.910217120000006</v>
      </c>
      <c r="AD487">
        <f>LOOKUP($A487,'Over to underbark'!$A$47:$A$48,'Over to underbark'!E$47:E$48)*Z487</f>
        <v>43.418718954269998</v>
      </c>
      <c r="AE487">
        <f>LOOKUP($A487,'Over to underbark'!$A$47:$A$48,'Over to underbark'!E$47:E$48)*AA487</f>
        <v>10.860234462000003</v>
      </c>
      <c r="AF487">
        <f>LOOKUP($A487,'Over to underbark'!$A$47:$A$48,'Over to underbark'!E$47:E$48)*AB487</f>
        <v>24.165934934130004</v>
      </c>
      <c r="AG487">
        <f>LOOKUP($A487,'Over to underbark'!$A$47:$A$48,'Over to underbark'!E$47:E$48)*AC487</f>
        <v>16.470371649600004</v>
      </c>
      <c r="AH487" t="b">
        <f t="shared" si="126"/>
        <v>1</v>
      </c>
      <c r="AI487" t="b">
        <f t="shared" si="121"/>
        <v>1</v>
      </c>
      <c r="AJ487">
        <f>LOOKUP(A487,'Over to underbark'!$A$47:$A$48,'Over to underbark'!E$47:E$48)*M487</f>
        <v>105.4614</v>
      </c>
      <c r="AK487" s="22">
        <f>LOOKUP(A487,'Over to underbark'!$A$47:$A$48,'Over to underbark'!$B$47:$B$48)*AJ487</f>
        <v>33.747647999999998</v>
      </c>
      <c r="AL487" s="22">
        <f>LOOKUP(A487,'Over to underbark'!$A$47:$A$48,'Over to underbark'!C$47:C$48)*AJ487</f>
        <v>51.676085999999998</v>
      </c>
      <c r="AM487" s="22">
        <f t="shared" si="127"/>
        <v>139.209048</v>
      </c>
      <c r="AN487" s="36">
        <v>421.85</v>
      </c>
      <c r="AO487" s="23">
        <f t="shared" si="128"/>
        <v>278.41809599999999</v>
      </c>
      <c r="AQ487">
        <f t="shared" si="115"/>
        <v>0.68181818181818199</v>
      </c>
    </row>
    <row r="488" spans="1:43" x14ac:dyDescent="0.35">
      <c r="A488" t="s">
        <v>43</v>
      </c>
      <c r="B488">
        <v>6</v>
      </c>
      <c r="C488">
        <v>2</v>
      </c>
      <c r="D488" t="s">
        <v>42</v>
      </c>
      <c r="E488">
        <v>2</v>
      </c>
      <c r="F488">
        <v>1</v>
      </c>
      <c r="G488" s="12">
        <v>59</v>
      </c>
      <c r="H488" s="12">
        <v>15.648</v>
      </c>
      <c r="I488" s="12">
        <v>1841</v>
      </c>
      <c r="J488" s="12">
        <v>18.713999999999999</v>
      </c>
      <c r="K488" s="12">
        <v>50.637999999999998</v>
      </c>
      <c r="L488" s="12">
        <v>0.17799999999999999</v>
      </c>
      <c r="M488" s="19">
        <v>327.04000000000002</v>
      </c>
      <c r="N488" s="12">
        <v>1.772</v>
      </c>
      <c r="O488" s="13">
        <v>5.5430000000000001</v>
      </c>
      <c r="P488" s="14">
        <v>59</v>
      </c>
      <c r="Q488" s="14">
        <v>18.713999999999999</v>
      </c>
      <c r="R488" s="14">
        <v>209.48599999999999</v>
      </c>
      <c r="S488" s="14">
        <v>117.554</v>
      </c>
      <c r="T488" s="10" t="b">
        <f t="shared" si="116"/>
        <v>1</v>
      </c>
      <c r="U488" s="10" t="b">
        <f t="shared" si="117"/>
        <v>1</v>
      </c>
      <c r="V488" s="11">
        <f>VLOOKUP(IF(J488&lt;10, 10, IF(J488&gt;50,50,J488)),'Over to underbark'!$A$3:$C$43,IF(A488="Scots pine",3,IF(A488="Sitka spruce",2, "error")),TRUE)/100</f>
        <v>0.9</v>
      </c>
      <c r="W488">
        <f t="shared" si="118"/>
        <v>169.68366</v>
      </c>
      <c r="X488">
        <f t="shared" si="119"/>
        <v>95.218740000000011</v>
      </c>
      <c r="Y488">
        <f t="shared" si="120"/>
        <v>29.433599999999988</v>
      </c>
      <c r="Z488">
        <f t="shared" si="122"/>
        <v>134.106712821</v>
      </c>
      <c r="AA488">
        <f t="shared" si="123"/>
        <v>33.382002599999993</v>
      </c>
      <c r="AB488">
        <f t="shared" si="124"/>
        <v>74.286540098999993</v>
      </c>
      <c r="AC488">
        <f t="shared" si="125"/>
        <v>52.560744480000004</v>
      </c>
      <c r="AD488">
        <f>LOOKUP($A488,'Over to underbark'!$A$47:$A$48,'Over to underbark'!E$47:E$48)*Z488</f>
        <v>44.255215230930006</v>
      </c>
      <c r="AE488">
        <f>LOOKUP($A488,'Over to underbark'!$A$47:$A$48,'Over to underbark'!E$47:E$48)*AA488</f>
        <v>11.016060857999998</v>
      </c>
      <c r="AF488">
        <f>LOOKUP($A488,'Over to underbark'!$A$47:$A$48,'Over to underbark'!E$47:E$48)*AB488</f>
        <v>24.514558232669998</v>
      </c>
      <c r="AG488">
        <f>LOOKUP($A488,'Over to underbark'!$A$47:$A$48,'Over to underbark'!E$47:E$48)*AC488</f>
        <v>17.345045678400002</v>
      </c>
      <c r="AH488" t="b">
        <f t="shared" si="126"/>
        <v>1</v>
      </c>
      <c r="AI488" t="b">
        <f t="shared" si="121"/>
        <v>1</v>
      </c>
      <c r="AJ488">
        <f>LOOKUP(A488,'Over to underbark'!$A$47:$A$48,'Over to underbark'!E$47:E$48)*M488</f>
        <v>107.92320000000001</v>
      </c>
      <c r="AK488" s="22">
        <f>LOOKUP(A488,'Over to underbark'!$A$47:$A$48,'Over to underbark'!$B$47:$B$48)*AJ488</f>
        <v>34.535424000000006</v>
      </c>
      <c r="AL488" s="22">
        <f>LOOKUP(A488,'Over to underbark'!$A$47:$A$48,'Over to underbark'!C$47:C$48)*AJ488</f>
        <v>52.882368000000007</v>
      </c>
      <c r="AM488" s="22">
        <f t="shared" si="127"/>
        <v>142.45862400000001</v>
      </c>
      <c r="AN488" s="36">
        <v>431.69</v>
      </c>
      <c r="AO488" s="23">
        <f t="shared" si="128"/>
        <v>284.91724800000003</v>
      </c>
      <c r="AQ488">
        <f t="shared" si="115"/>
        <v>0.68181818181818166</v>
      </c>
    </row>
    <row r="489" spans="1:43" x14ac:dyDescent="0.35">
      <c r="A489" t="s">
        <v>43</v>
      </c>
      <c r="B489">
        <v>6</v>
      </c>
      <c r="C489">
        <v>2</v>
      </c>
      <c r="D489" t="s">
        <v>42</v>
      </c>
      <c r="E489">
        <v>2</v>
      </c>
      <c r="F489">
        <v>1</v>
      </c>
      <c r="G489" s="12">
        <v>60</v>
      </c>
      <c r="H489" s="12">
        <v>15.85</v>
      </c>
      <c r="I489" s="12">
        <v>1822</v>
      </c>
      <c r="J489" s="12">
        <v>18.89</v>
      </c>
      <c r="K489" s="12">
        <v>51.063000000000002</v>
      </c>
      <c r="L489" s="12">
        <v>0.184</v>
      </c>
      <c r="M489" s="19">
        <v>334.5</v>
      </c>
      <c r="N489" s="12">
        <v>1.877</v>
      </c>
      <c r="O489" s="13">
        <v>5.5750000000000002</v>
      </c>
      <c r="P489" s="14">
        <v>60</v>
      </c>
      <c r="Q489" s="14">
        <v>18.89</v>
      </c>
      <c r="R489" s="14">
        <v>210.851</v>
      </c>
      <c r="S489" s="14">
        <v>123.649</v>
      </c>
      <c r="T489" s="10" t="b">
        <f t="shared" si="116"/>
        <v>1</v>
      </c>
      <c r="U489" s="10" t="b">
        <f t="shared" si="117"/>
        <v>1</v>
      </c>
      <c r="V489" s="11">
        <f>VLOOKUP(IF(J489&lt;10, 10, IF(J489&gt;50,50,J489)),'Over to underbark'!$A$3:$C$43,IF(A489="Scots pine",3,IF(A489="Sitka spruce",2, "error")),TRUE)/100</f>
        <v>0.9</v>
      </c>
      <c r="W489">
        <f t="shared" si="118"/>
        <v>170.78931000000003</v>
      </c>
      <c r="X489">
        <f t="shared" si="119"/>
        <v>100.15569000000001</v>
      </c>
      <c r="Y489">
        <f t="shared" si="120"/>
        <v>30.104999999999993</v>
      </c>
      <c r="Z489">
        <f t="shared" si="122"/>
        <v>136.61458394850001</v>
      </c>
      <c r="AA489">
        <f t="shared" si="123"/>
        <v>33.839324099999999</v>
      </c>
      <c r="AB489">
        <f t="shared" si="124"/>
        <v>75.310151071500016</v>
      </c>
      <c r="AC489">
        <f t="shared" si="125"/>
        <v>55.285940880000005</v>
      </c>
      <c r="AD489">
        <f>LOOKUP($A489,'Over to underbark'!$A$47:$A$48,'Over to underbark'!E$47:E$48)*Z489</f>
        <v>45.082812703005004</v>
      </c>
      <c r="AE489">
        <f>LOOKUP($A489,'Over to underbark'!$A$47:$A$48,'Over to underbark'!E$47:E$48)*AA489</f>
        <v>11.166976953000001</v>
      </c>
      <c r="AF489">
        <f>LOOKUP($A489,'Over to underbark'!$A$47:$A$48,'Over to underbark'!E$47:E$48)*AB489</f>
        <v>24.852349853595005</v>
      </c>
      <c r="AG489">
        <f>LOOKUP($A489,'Over to underbark'!$A$47:$A$48,'Over to underbark'!E$47:E$48)*AC489</f>
        <v>18.244360490400002</v>
      </c>
      <c r="AH489" t="b">
        <f t="shared" si="126"/>
        <v>1</v>
      </c>
      <c r="AI489" t="b">
        <f t="shared" si="121"/>
        <v>1</v>
      </c>
      <c r="AJ489">
        <f>LOOKUP(A489,'Over to underbark'!$A$47:$A$48,'Over to underbark'!E$47:E$48)*M489</f>
        <v>110.38500000000001</v>
      </c>
      <c r="AK489" s="22">
        <f>LOOKUP(A489,'Over to underbark'!$A$47:$A$48,'Over to underbark'!$B$47:$B$48)*AJ489</f>
        <v>35.3232</v>
      </c>
      <c r="AL489" s="22">
        <f>LOOKUP(A489,'Over to underbark'!$A$47:$A$48,'Over to underbark'!C$47:C$48)*AJ489</f>
        <v>54.088650000000001</v>
      </c>
      <c r="AM489" s="22">
        <f t="shared" si="127"/>
        <v>145.70820000000001</v>
      </c>
      <c r="AN489" s="36">
        <v>441.54</v>
      </c>
      <c r="AO489" s="23">
        <f t="shared" si="128"/>
        <v>291.41640000000001</v>
      </c>
      <c r="AQ489">
        <f t="shared" si="115"/>
        <v>0.68181818181818188</v>
      </c>
    </row>
    <row r="490" spans="1:43" x14ac:dyDescent="0.35">
      <c r="A490" t="s">
        <v>43</v>
      </c>
      <c r="B490">
        <v>6</v>
      </c>
      <c r="C490">
        <v>2</v>
      </c>
      <c r="D490" t="s">
        <v>42</v>
      </c>
      <c r="E490">
        <v>2</v>
      </c>
      <c r="F490">
        <v>1</v>
      </c>
      <c r="G490" s="12">
        <v>61</v>
      </c>
      <c r="H490" s="12">
        <v>16.012</v>
      </c>
      <c r="I490" s="12">
        <v>1806</v>
      </c>
      <c r="J490" s="12">
        <v>19.036999999999999</v>
      </c>
      <c r="K490" s="12">
        <v>51.408000000000001</v>
      </c>
      <c r="L490" s="12">
        <v>0.189</v>
      </c>
      <c r="M490" s="19">
        <v>340.72</v>
      </c>
      <c r="N490" s="12">
        <v>2.0299999999999998</v>
      </c>
      <c r="O490" s="13">
        <v>5.5860000000000003</v>
      </c>
      <c r="P490" s="14">
        <v>61</v>
      </c>
      <c r="Q490" s="14">
        <v>19.036999999999999</v>
      </c>
      <c r="R490" s="14">
        <v>211.887</v>
      </c>
      <c r="S490" s="14">
        <v>128.833</v>
      </c>
      <c r="T490" s="10" t="b">
        <f t="shared" si="116"/>
        <v>1</v>
      </c>
      <c r="U490" s="10" t="b">
        <f t="shared" si="117"/>
        <v>1</v>
      </c>
      <c r="V490" s="11">
        <f>VLOOKUP(IF(J490&lt;10, 10, IF(J490&gt;50,50,J490)),'Over to underbark'!$A$3:$C$43,IF(A490="Scots pine",3,IF(A490="Sitka spruce",2, "error")),TRUE)/100</f>
        <v>0.9</v>
      </c>
      <c r="W490">
        <f t="shared" si="118"/>
        <v>171.62847000000002</v>
      </c>
      <c r="X490">
        <f t="shared" si="119"/>
        <v>104.35473</v>
      </c>
      <c r="Y490">
        <f t="shared" si="120"/>
        <v>30.664799999999996</v>
      </c>
      <c r="Z490">
        <f t="shared" si="122"/>
        <v>138.68910909450003</v>
      </c>
      <c r="AA490">
        <f t="shared" si="123"/>
        <v>34.211531700000002</v>
      </c>
      <c r="AB490">
        <f t="shared" si="124"/>
        <v>76.1435482455</v>
      </c>
      <c r="AC490">
        <f t="shared" si="125"/>
        <v>57.603810959999997</v>
      </c>
      <c r="AD490">
        <f>LOOKUP($A490,'Over to underbark'!$A$47:$A$48,'Over to underbark'!E$47:E$48)*Z490</f>
        <v>45.767406001185009</v>
      </c>
      <c r="AE490">
        <f>LOOKUP($A490,'Over to underbark'!$A$47:$A$48,'Over to underbark'!E$47:E$48)*AA490</f>
        <v>11.289805461</v>
      </c>
      <c r="AF490">
        <f>LOOKUP($A490,'Over to underbark'!$A$47:$A$48,'Over to underbark'!E$47:E$48)*AB490</f>
        <v>25.127370921015</v>
      </c>
      <c r="AG490">
        <f>LOOKUP($A490,'Over to underbark'!$A$47:$A$48,'Over to underbark'!E$47:E$48)*AC490</f>
        <v>19.009257616799999</v>
      </c>
      <c r="AH490" t="b">
        <f t="shared" si="126"/>
        <v>1</v>
      </c>
      <c r="AI490" t="b">
        <f t="shared" si="121"/>
        <v>1</v>
      </c>
      <c r="AJ490">
        <f>LOOKUP(A490,'Over to underbark'!$A$47:$A$48,'Over to underbark'!E$47:E$48)*M490</f>
        <v>112.43760000000002</v>
      </c>
      <c r="AK490" s="22">
        <f>LOOKUP(A490,'Over to underbark'!$A$47:$A$48,'Over to underbark'!$B$47:$B$48)*AJ490</f>
        <v>35.980032000000008</v>
      </c>
      <c r="AL490" s="22">
        <f>LOOKUP(A490,'Over to underbark'!$A$47:$A$48,'Over to underbark'!C$47:C$48)*AJ490</f>
        <v>55.094424000000011</v>
      </c>
      <c r="AM490" s="22">
        <f t="shared" si="127"/>
        <v>148.41763200000003</v>
      </c>
      <c r="AN490" s="36">
        <v>449.75</v>
      </c>
      <c r="AO490" s="23">
        <f t="shared" si="128"/>
        <v>296.83526400000005</v>
      </c>
      <c r="AQ490">
        <f t="shared" si="115"/>
        <v>0.68181818181818177</v>
      </c>
    </row>
    <row r="491" spans="1:43" x14ac:dyDescent="0.35">
      <c r="A491" t="s">
        <v>43</v>
      </c>
      <c r="B491">
        <v>6</v>
      </c>
      <c r="C491">
        <v>2</v>
      </c>
      <c r="D491" t="s">
        <v>42</v>
      </c>
      <c r="E491">
        <v>2</v>
      </c>
      <c r="F491">
        <v>1</v>
      </c>
      <c r="G491" s="12">
        <v>62</v>
      </c>
      <c r="H491" s="12">
        <v>16.173999999999999</v>
      </c>
      <c r="I491" s="12">
        <v>1791</v>
      </c>
      <c r="J491" s="12">
        <v>19.181000000000001</v>
      </c>
      <c r="K491" s="12">
        <v>51.753</v>
      </c>
      <c r="L491" s="12">
        <v>0.19400000000000001</v>
      </c>
      <c r="M491" s="19">
        <v>346.94</v>
      </c>
      <c r="N491" s="12">
        <v>2.177</v>
      </c>
      <c r="O491" s="13">
        <v>5.5960000000000001</v>
      </c>
      <c r="P491" s="14">
        <v>62</v>
      </c>
      <c r="Q491" s="14">
        <v>19.181000000000001</v>
      </c>
      <c r="R491" s="14">
        <v>212.89400000000001</v>
      </c>
      <c r="S491" s="14">
        <v>134.04599999999999</v>
      </c>
      <c r="T491" s="10" t="b">
        <f t="shared" si="116"/>
        <v>1</v>
      </c>
      <c r="U491" s="10" t="b">
        <f t="shared" si="117"/>
        <v>1</v>
      </c>
      <c r="V491" s="11">
        <f>VLOOKUP(IF(J491&lt;10, 10, IF(J491&gt;50,50,J491)),'Over to underbark'!$A$3:$C$43,IF(A491="Scots pine",3,IF(A491="Sitka spruce",2, "error")),TRUE)/100</f>
        <v>0.9</v>
      </c>
      <c r="W491">
        <f t="shared" si="118"/>
        <v>172.44414</v>
      </c>
      <c r="X491">
        <f t="shared" si="119"/>
        <v>108.57726</v>
      </c>
      <c r="Y491">
        <f t="shared" si="120"/>
        <v>31.224599999999992</v>
      </c>
      <c r="Z491">
        <f t="shared" si="122"/>
        <v>140.75895150899998</v>
      </c>
      <c r="AA491">
        <f t="shared" si="123"/>
        <v>34.581155399999993</v>
      </c>
      <c r="AB491">
        <f t="shared" si="124"/>
        <v>76.971245570999997</v>
      </c>
      <c r="AC491">
        <f t="shared" si="125"/>
        <v>59.934647519999999</v>
      </c>
      <c r="AD491">
        <f>LOOKUP($A491,'Over to underbark'!$A$47:$A$48,'Over to underbark'!E$47:E$48)*Z491</f>
        <v>46.450453997969994</v>
      </c>
      <c r="AE491">
        <f>LOOKUP($A491,'Over to underbark'!$A$47:$A$48,'Over to underbark'!E$47:E$48)*AA491</f>
        <v>11.411781281999998</v>
      </c>
      <c r="AF491">
        <f>LOOKUP($A491,'Over to underbark'!$A$47:$A$48,'Over to underbark'!E$47:E$48)*AB491</f>
        <v>25.40051103843</v>
      </c>
      <c r="AG491">
        <f>LOOKUP($A491,'Over to underbark'!$A$47:$A$48,'Over to underbark'!E$47:E$48)*AC491</f>
        <v>19.778433681599999</v>
      </c>
      <c r="AH491" t="b">
        <f t="shared" si="126"/>
        <v>1</v>
      </c>
      <c r="AI491" t="b">
        <f t="shared" si="121"/>
        <v>1</v>
      </c>
      <c r="AJ491">
        <f>LOOKUP(A491,'Over to underbark'!$A$47:$A$48,'Over to underbark'!E$47:E$48)*M491</f>
        <v>114.4902</v>
      </c>
      <c r="AK491" s="22">
        <f>LOOKUP(A491,'Over to underbark'!$A$47:$A$48,'Over to underbark'!$B$47:$B$48)*AJ491</f>
        <v>36.636864000000003</v>
      </c>
      <c r="AL491" s="22">
        <f>LOOKUP(A491,'Over to underbark'!$A$47:$A$48,'Over to underbark'!C$47:C$48)*AJ491</f>
        <v>56.100197999999999</v>
      </c>
      <c r="AM491" s="22">
        <f t="shared" si="127"/>
        <v>151.12706400000002</v>
      </c>
      <c r="AN491" s="36">
        <v>457.96</v>
      </c>
      <c r="AO491" s="23">
        <f t="shared" si="128"/>
        <v>302.25412800000004</v>
      </c>
      <c r="AQ491">
        <f t="shared" si="115"/>
        <v>0.68181818181818177</v>
      </c>
    </row>
    <row r="492" spans="1:43" x14ac:dyDescent="0.35">
      <c r="A492" t="s">
        <v>43</v>
      </c>
      <c r="B492">
        <v>6</v>
      </c>
      <c r="C492">
        <v>2</v>
      </c>
      <c r="D492" t="s">
        <v>42</v>
      </c>
      <c r="E492">
        <v>2</v>
      </c>
      <c r="F492">
        <v>1</v>
      </c>
      <c r="G492" s="12">
        <v>63</v>
      </c>
      <c r="H492" s="12">
        <v>16.335999999999999</v>
      </c>
      <c r="I492" s="12">
        <v>1776</v>
      </c>
      <c r="J492" s="12">
        <v>19.326000000000001</v>
      </c>
      <c r="K492" s="12">
        <v>52.097999999999999</v>
      </c>
      <c r="L492" s="12">
        <v>0.19900000000000001</v>
      </c>
      <c r="M492" s="19">
        <v>353.16</v>
      </c>
      <c r="N492" s="12">
        <v>2.3180000000000001</v>
      </c>
      <c r="O492" s="13">
        <v>5.6059999999999999</v>
      </c>
      <c r="P492" s="14">
        <v>63</v>
      </c>
      <c r="Q492" s="14">
        <v>19.326000000000001</v>
      </c>
      <c r="R492" s="14">
        <v>213.798</v>
      </c>
      <c r="S492" s="14">
        <v>139.36199999999999</v>
      </c>
      <c r="T492" s="10" t="b">
        <f t="shared" si="116"/>
        <v>1</v>
      </c>
      <c r="U492" s="10" t="b">
        <f t="shared" si="117"/>
        <v>1</v>
      </c>
      <c r="V492" s="11">
        <f>VLOOKUP(IF(J492&lt;10, 10, IF(J492&gt;50,50,J492)),'Over to underbark'!$A$3:$C$43,IF(A492="Scots pine",3,IF(A492="Sitka spruce",2, "error")),TRUE)/100</f>
        <v>0.9</v>
      </c>
      <c r="W492">
        <f t="shared" si="118"/>
        <v>173.17638000000002</v>
      </c>
      <c r="X492">
        <f t="shared" si="119"/>
        <v>112.88321999999999</v>
      </c>
      <c r="Y492">
        <f t="shared" si="120"/>
        <v>31.784399999999991</v>
      </c>
      <c r="Z492">
        <f t="shared" si="122"/>
        <v>142.812162153</v>
      </c>
      <c r="AA492">
        <f t="shared" si="123"/>
        <v>34.941601800000001</v>
      </c>
      <c r="AB492">
        <f t="shared" si="124"/>
        <v>77.778698606999995</v>
      </c>
      <c r="AC492">
        <f t="shared" si="125"/>
        <v>62.311537439999995</v>
      </c>
      <c r="AD492">
        <f>LOOKUP($A492,'Over to underbark'!$A$47:$A$48,'Over to underbark'!E$47:E$48)*Z492</f>
        <v>47.12801351049</v>
      </c>
      <c r="AE492">
        <f>LOOKUP($A492,'Over to underbark'!$A$47:$A$48,'Over to underbark'!E$47:E$48)*AA492</f>
        <v>11.530728594000001</v>
      </c>
      <c r="AF492">
        <f>LOOKUP($A492,'Over to underbark'!$A$47:$A$48,'Over to underbark'!E$47:E$48)*AB492</f>
        <v>25.66697054031</v>
      </c>
      <c r="AG492">
        <f>LOOKUP($A492,'Over to underbark'!$A$47:$A$48,'Over to underbark'!E$47:E$48)*AC492</f>
        <v>20.5628073552</v>
      </c>
      <c r="AH492" t="b">
        <f t="shared" si="126"/>
        <v>1</v>
      </c>
      <c r="AI492" t="b">
        <f t="shared" si="121"/>
        <v>1</v>
      </c>
      <c r="AJ492">
        <f>LOOKUP(A492,'Over to underbark'!$A$47:$A$48,'Over to underbark'!E$47:E$48)*M492</f>
        <v>116.54280000000001</v>
      </c>
      <c r="AK492" s="22">
        <f>LOOKUP(A492,'Over to underbark'!$A$47:$A$48,'Over to underbark'!$B$47:$B$48)*AJ492</f>
        <v>37.293696000000004</v>
      </c>
      <c r="AL492" s="22">
        <f>LOOKUP(A492,'Over to underbark'!$A$47:$A$48,'Over to underbark'!C$47:C$48)*AJ492</f>
        <v>57.105972000000008</v>
      </c>
      <c r="AM492" s="22">
        <f t="shared" si="127"/>
        <v>153.83649600000001</v>
      </c>
      <c r="AN492" s="36">
        <v>466.17</v>
      </c>
      <c r="AO492" s="23">
        <f t="shared" si="128"/>
        <v>307.67299200000002</v>
      </c>
      <c r="AQ492">
        <f t="shared" si="115"/>
        <v>0.68181818181818177</v>
      </c>
    </row>
    <row r="493" spans="1:43" x14ac:dyDescent="0.35">
      <c r="A493" t="s">
        <v>43</v>
      </c>
      <c r="B493">
        <v>6</v>
      </c>
      <c r="C493">
        <v>2</v>
      </c>
      <c r="D493" t="s">
        <v>42</v>
      </c>
      <c r="E493">
        <v>2</v>
      </c>
      <c r="F493">
        <v>1</v>
      </c>
      <c r="G493" s="12">
        <v>64</v>
      </c>
      <c r="H493" s="12">
        <v>16.498000000000001</v>
      </c>
      <c r="I493" s="12">
        <v>1761</v>
      </c>
      <c r="J493" s="12">
        <v>19.472000000000001</v>
      </c>
      <c r="K493" s="12">
        <v>52.442999999999998</v>
      </c>
      <c r="L493" s="12">
        <v>0.20399999999999999</v>
      </c>
      <c r="M493" s="19">
        <v>359.38</v>
      </c>
      <c r="N493" s="12">
        <v>2.4540000000000002</v>
      </c>
      <c r="O493" s="13">
        <v>5.6150000000000002</v>
      </c>
      <c r="P493" s="14">
        <v>64</v>
      </c>
      <c r="Q493" s="14">
        <v>19.472000000000001</v>
      </c>
      <c r="R493" s="14">
        <v>214.59899999999999</v>
      </c>
      <c r="S493" s="14">
        <v>144.78100000000001</v>
      </c>
      <c r="T493" s="10" t="b">
        <f t="shared" si="116"/>
        <v>1</v>
      </c>
      <c r="U493" s="10" t="b">
        <f t="shared" si="117"/>
        <v>1</v>
      </c>
      <c r="V493" s="11">
        <f>VLOOKUP(IF(J493&lt;10, 10, IF(J493&gt;50,50,J493)),'Over to underbark'!$A$3:$C$43,IF(A493="Scots pine",3,IF(A493="Sitka spruce",2, "error")),TRUE)/100</f>
        <v>0.9</v>
      </c>
      <c r="W493">
        <f t="shared" si="118"/>
        <v>173.82518999999999</v>
      </c>
      <c r="X493">
        <f t="shared" si="119"/>
        <v>117.27261000000003</v>
      </c>
      <c r="Y493">
        <f t="shared" si="120"/>
        <v>32.344199999999994</v>
      </c>
      <c r="Z493">
        <f t="shared" si="122"/>
        <v>144.84874102649999</v>
      </c>
      <c r="AA493">
        <f t="shared" si="123"/>
        <v>35.292870899999997</v>
      </c>
      <c r="AB493">
        <f t="shared" si="124"/>
        <v>78.565907353499995</v>
      </c>
      <c r="AC493">
        <f t="shared" si="125"/>
        <v>64.734480720000022</v>
      </c>
      <c r="AD493">
        <f>LOOKUP($A493,'Over to underbark'!$A$47:$A$48,'Over to underbark'!E$47:E$48)*Z493</f>
        <v>47.800084538744997</v>
      </c>
      <c r="AE493">
        <f>LOOKUP($A493,'Over to underbark'!$A$47:$A$48,'Over to underbark'!E$47:E$48)*AA493</f>
        <v>11.646647396999999</v>
      </c>
      <c r="AF493">
        <f>LOOKUP($A493,'Over to underbark'!$A$47:$A$48,'Over to underbark'!E$47:E$48)*AB493</f>
        <v>25.926749426655</v>
      </c>
      <c r="AG493">
        <f>LOOKUP($A493,'Over to underbark'!$A$47:$A$48,'Over to underbark'!E$47:E$48)*AC493</f>
        <v>21.36237863760001</v>
      </c>
      <c r="AH493" t="b">
        <f t="shared" si="126"/>
        <v>1</v>
      </c>
      <c r="AI493" t="b">
        <f t="shared" si="121"/>
        <v>1</v>
      </c>
      <c r="AJ493">
        <f>LOOKUP(A493,'Over to underbark'!$A$47:$A$48,'Over to underbark'!E$47:E$48)*M493</f>
        <v>118.5954</v>
      </c>
      <c r="AK493" s="22">
        <f>LOOKUP(A493,'Over to underbark'!$A$47:$A$48,'Over to underbark'!$B$47:$B$48)*AJ493</f>
        <v>37.950527999999998</v>
      </c>
      <c r="AL493" s="22">
        <f>LOOKUP(A493,'Over to underbark'!$A$47:$A$48,'Over to underbark'!C$47:C$48)*AJ493</f>
        <v>58.111745999999997</v>
      </c>
      <c r="AM493" s="22">
        <f t="shared" si="127"/>
        <v>156.545928</v>
      </c>
      <c r="AN493" s="36">
        <v>474.38</v>
      </c>
      <c r="AO493" s="23">
        <f t="shared" si="128"/>
        <v>313.09185600000001</v>
      </c>
      <c r="AQ493">
        <f t="shared" si="115"/>
        <v>0.68181818181818177</v>
      </c>
    </row>
    <row r="494" spans="1:43" x14ac:dyDescent="0.35">
      <c r="A494" t="s">
        <v>43</v>
      </c>
      <c r="B494">
        <v>6</v>
      </c>
      <c r="C494">
        <v>2</v>
      </c>
      <c r="D494" t="s">
        <v>42</v>
      </c>
      <c r="E494">
        <v>2</v>
      </c>
      <c r="F494">
        <v>1</v>
      </c>
      <c r="G494" s="12">
        <v>65</v>
      </c>
      <c r="H494" s="12">
        <v>16.66</v>
      </c>
      <c r="I494" s="12">
        <v>1746</v>
      </c>
      <c r="J494" s="12">
        <v>19.62</v>
      </c>
      <c r="K494" s="12">
        <v>52.787999999999997</v>
      </c>
      <c r="L494" s="12">
        <v>0.20899999999999999</v>
      </c>
      <c r="M494" s="19">
        <v>365.6</v>
      </c>
      <c r="N494" s="12">
        <v>2.585</v>
      </c>
      <c r="O494" s="13">
        <v>5.625</v>
      </c>
      <c r="P494" s="14">
        <v>65</v>
      </c>
      <c r="Q494" s="14">
        <v>19.62</v>
      </c>
      <c r="R494" s="14">
        <v>215.27699999999999</v>
      </c>
      <c r="S494" s="14">
        <v>150.32300000000001</v>
      </c>
      <c r="T494" s="10" t="b">
        <f t="shared" si="116"/>
        <v>1</v>
      </c>
      <c r="U494" s="10" t="b">
        <f t="shared" si="117"/>
        <v>1</v>
      </c>
      <c r="V494" s="11">
        <f>VLOOKUP(IF(J494&lt;10, 10, IF(J494&gt;50,50,J494)),'Over to underbark'!$A$3:$C$43,IF(A494="Scots pine",3,IF(A494="Sitka spruce",2, "error")),TRUE)/100</f>
        <v>0.9</v>
      </c>
      <c r="W494">
        <f t="shared" si="118"/>
        <v>174.37437</v>
      </c>
      <c r="X494">
        <f t="shared" si="119"/>
        <v>121.76163000000001</v>
      </c>
      <c r="Y494">
        <f t="shared" si="120"/>
        <v>32.903999999999996</v>
      </c>
      <c r="Z494">
        <f t="shared" si="122"/>
        <v>146.86545865950001</v>
      </c>
      <c r="AA494">
        <f t="shared" si="123"/>
        <v>35.633180699999997</v>
      </c>
      <c r="AB494">
        <f t="shared" si="124"/>
        <v>79.328940880499999</v>
      </c>
      <c r="AC494">
        <f t="shared" si="125"/>
        <v>67.212419760000003</v>
      </c>
      <c r="AD494">
        <f>LOOKUP($A494,'Over to underbark'!$A$47:$A$48,'Over to underbark'!E$47:E$48)*Z494</f>
        <v>48.465601357635002</v>
      </c>
      <c r="AE494">
        <f>LOOKUP($A494,'Over to underbark'!$A$47:$A$48,'Over to underbark'!E$47:E$48)*AA494</f>
        <v>11.758949631</v>
      </c>
      <c r="AF494">
        <f>LOOKUP($A494,'Over to underbark'!$A$47:$A$48,'Over to underbark'!E$47:E$48)*AB494</f>
        <v>26.178550490565001</v>
      </c>
      <c r="AG494">
        <f>LOOKUP($A494,'Over to underbark'!$A$47:$A$48,'Over to underbark'!E$47:E$48)*AC494</f>
        <v>22.180098520800001</v>
      </c>
      <c r="AH494" t="b">
        <f t="shared" si="126"/>
        <v>1</v>
      </c>
      <c r="AI494" t="b">
        <f t="shared" si="121"/>
        <v>1</v>
      </c>
      <c r="AJ494">
        <f>LOOKUP(A494,'Over to underbark'!$A$47:$A$48,'Over to underbark'!E$47:E$48)*M494</f>
        <v>120.64800000000001</v>
      </c>
      <c r="AK494" s="22">
        <f>LOOKUP(A494,'Over to underbark'!$A$47:$A$48,'Over to underbark'!$B$47:$B$48)*AJ494</f>
        <v>38.607360000000007</v>
      </c>
      <c r="AL494" s="22">
        <f>LOOKUP(A494,'Over to underbark'!$A$47:$A$48,'Over to underbark'!C$47:C$48)*AJ494</f>
        <v>59.117520000000006</v>
      </c>
      <c r="AM494" s="22">
        <f t="shared" si="127"/>
        <v>159.25536000000002</v>
      </c>
      <c r="AN494" s="36">
        <v>482.59</v>
      </c>
      <c r="AO494" s="23">
        <f t="shared" si="128"/>
        <v>318.51072000000005</v>
      </c>
      <c r="AQ494">
        <f t="shared" si="115"/>
        <v>0.68181818181818177</v>
      </c>
    </row>
    <row r="495" spans="1:43" x14ac:dyDescent="0.35">
      <c r="A495" t="s">
        <v>43</v>
      </c>
      <c r="B495">
        <v>6</v>
      </c>
      <c r="C495">
        <v>2</v>
      </c>
      <c r="D495" t="s">
        <v>42</v>
      </c>
      <c r="E495">
        <v>2</v>
      </c>
      <c r="F495">
        <v>1</v>
      </c>
      <c r="G495" s="12">
        <v>66</v>
      </c>
      <c r="H495" s="12">
        <v>16.797999999999998</v>
      </c>
      <c r="I495" s="12">
        <v>1733</v>
      </c>
      <c r="J495" s="12">
        <v>19.751000000000001</v>
      </c>
      <c r="K495" s="12">
        <v>53.094000000000001</v>
      </c>
      <c r="L495" s="12">
        <v>0.214</v>
      </c>
      <c r="M495" s="19">
        <v>370.84</v>
      </c>
      <c r="N495" s="12">
        <v>2.738</v>
      </c>
      <c r="O495" s="13">
        <v>5.6189999999999998</v>
      </c>
      <c r="P495" s="14">
        <v>66</v>
      </c>
      <c r="Q495" s="14">
        <v>19.751000000000001</v>
      </c>
      <c r="R495" s="14">
        <v>215.655</v>
      </c>
      <c r="S495" s="14">
        <v>155.185</v>
      </c>
      <c r="T495" s="10" t="b">
        <f t="shared" si="116"/>
        <v>1</v>
      </c>
      <c r="U495" s="10" t="b">
        <f t="shared" si="117"/>
        <v>1</v>
      </c>
      <c r="V495" s="11">
        <f>VLOOKUP(IF(J495&lt;10, 10, IF(J495&gt;50,50,J495)),'Over to underbark'!$A$3:$C$43,IF(A495="Scots pine",3,IF(A495="Sitka spruce",2, "error")),TRUE)/100</f>
        <v>0.9</v>
      </c>
      <c r="W495">
        <f t="shared" si="118"/>
        <v>174.68055000000001</v>
      </c>
      <c r="X495">
        <f t="shared" si="119"/>
        <v>125.69985000000001</v>
      </c>
      <c r="Y495">
        <f t="shared" si="120"/>
        <v>33.375599999999999</v>
      </c>
      <c r="Z495">
        <f t="shared" si="122"/>
        <v>148.53323684250003</v>
      </c>
      <c r="AA495">
        <f t="shared" si="123"/>
        <v>35.902660499999996</v>
      </c>
      <c r="AB495">
        <f t="shared" si="124"/>
        <v>79.933785457499994</v>
      </c>
      <c r="AC495">
        <f t="shared" si="125"/>
        <v>69.386317200000008</v>
      </c>
      <c r="AD495">
        <f>LOOKUP($A495,'Over to underbark'!$A$47:$A$48,'Over to underbark'!E$47:E$48)*Z495</f>
        <v>49.015968158025011</v>
      </c>
      <c r="AE495">
        <f>LOOKUP($A495,'Over to underbark'!$A$47:$A$48,'Over to underbark'!E$47:E$48)*AA495</f>
        <v>11.847877964999999</v>
      </c>
      <c r="AF495">
        <f>LOOKUP($A495,'Over to underbark'!$A$47:$A$48,'Over to underbark'!E$47:E$48)*AB495</f>
        <v>26.378149200974999</v>
      </c>
      <c r="AG495">
        <f>LOOKUP($A495,'Over to underbark'!$A$47:$A$48,'Over to underbark'!E$47:E$48)*AC495</f>
        <v>22.897484676000005</v>
      </c>
      <c r="AH495" t="b">
        <f t="shared" si="126"/>
        <v>1</v>
      </c>
      <c r="AI495" t="b">
        <f t="shared" si="121"/>
        <v>1</v>
      </c>
      <c r="AJ495">
        <f>LOOKUP(A495,'Over to underbark'!$A$47:$A$48,'Over to underbark'!E$47:E$48)*M495</f>
        <v>122.3772</v>
      </c>
      <c r="AK495" s="22">
        <f>LOOKUP(A495,'Over to underbark'!$A$47:$A$48,'Over to underbark'!$B$47:$B$48)*AJ495</f>
        <v>39.160704000000003</v>
      </c>
      <c r="AL495" s="22">
        <f>LOOKUP(A495,'Over to underbark'!$A$47:$A$48,'Over to underbark'!C$47:C$48)*AJ495</f>
        <v>59.964827999999997</v>
      </c>
      <c r="AM495" s="22">
        <f t="shared" si="127"/>
        <v>161.537904</v>
      </c>
      <c r="AN495" s="36">
        <v>489.51</v>
      </c>
      <c r="AO495" s="23">
        <f t="shared" si="128"/>
        <v>323.07580799999999</v>
      </c>
      <c r="AQ495">
        <f t="shared" si="115"/>
        <v>0.68181818181818199</v>
      </c>
    </row>
    <row r="496" spans="1:43" x14ac:dyDescent="0.35">
      <c r="A496" t="s">
        <v>43</v>
      </c>
      <c r="B496">
        <v>6</v>
      </c>
      <c r="C496">
        <v>2</v>
      </c>
      <c r="D496" t="s">
        <v>42</v>
      </c>
      <c r="E496">
        <v>2</v>
      </c>
      <c r="F496">
        <v>1</v>
      </c>
      <c r="G496" s="12">
        <v>67</v>
      </c>
      <c r="H496" s="12">
        <v>16.936</v>
      </c>
      <c r="I496" s="12">
        <v>1721</v>
      </c>
      <c r="J496" s="12">
        <v>19.876000000000001</v>
      </c>
      <c r="K496" s="12">
        <v>53.401000000000003</v>
      </c>
      <c r="L496" s="12">
        <v>0.219</v>
      </c>
      <c r="M496" s="19">
        <v>376.08</v>
      </c>
      <c r="N496" s="12">
        <v>2.887</v>
      </c>
      <c r="O496" s="13">
        <v>5.6130000000000004</v>
      </c>
      <c r="P496" s="14">
        <v>67</v>
      </c>
      <c r="Q496" s="14">
        <v>19.876000000000001</v>
      </c>
      <c r="R496" s="14">
        <v>216.09899999999999</v>
      </c>
      <c r="S496" s="14">
        <v>159.98099999999999</v>
      </c>
      <c r="T496" s="10" t="b">
        <f t="shared" si="116"/>
        <v>1</v>
      </c>
      <c r="U496" s="10" t="b">
        <f t="shared" si="117"/>
        <v>1</v>
      </c>
      <c r="V496" s="11">
        <f>VLOOKUP(IF(J496&lt;10, 10, IF(J496&gt;50,50,J496)),'Over to underbark'!$A$3:$C$43,IF(A496="Scots pine",3,IF(A496="Sitka spruce",2, "error")),TRUE)/100</f>
        <v>0.9</v>
      </c>
      <c r="W496">
        <f t="shared" si="118"/>
        <v>175.04019000000002</v>
      </c>
      <c r="X496">
        <f t="shared" si="119"/>
        <v>129.58461</v>
      </c>
      <c r="Y496">
        <f t="shared" si="120"/>
        <v>33.847199999999994</v>
      </c>
      <c r="Z496">
        <f t="shared" si="122"/>
        <v>150.21167227650002</v>
      </c>
      <c r="AA496">
        <f t="shared" si="123"/>
        <v>36.1780209</v>
      </c>
      <c r="AB496">
        <f t="shared" si="124"/>
        <v>80.551602103500016</v>
      </c>
      <c r="AC496">
        <f t="shared" si="125"/>
        <v>71.530704720000003</v>
      </c>
      <c r="AD496">
        <f>LOOKUP($A496,'Over to underbark'!$A$47:$A$48,'Over to underbark'!E$47:E$48)*Z496</f>
        <v>49.569851851245012</v>
      </c>
      <c r="AE496">
        <f>LOOKUP($A496,'Over to underbark'!$A$47:$A$48,'Over to underbark'!E$47:E$48)*AA496</f>
        <v>11.938746897</v>
      </c>
      <c r="AF496">
        <f>LOOKUP($A496,'Over to underbark'!$A$47:$A$48,'Over to underbark'!E$47:E$48)*AB496</f>
        <v>26.582028694155007</v>
      </c>
      <c r="AG496">
        <f>LOOKUP($A496,'Over to underbark'!$A$47:$A$48,'Over to underbark'!E$47:E$48)*AC496</f>
        <v>23.605132557600001</v>
      </c>
      <c r="AH496" t="b">
        <f t="shared" si="126"/>
        <v>1</v>
      </c>
      <c r="AI496" t="b">
        <f t="shared" si="121"/>
        <v>1</v>
      </c>
      <c r="AJ496">
        <f>LOOKUP(A496,'Over to underbark'!$A$47:$A$48,'Over to underbark'!E$47:E$48)*M496</f>
        <v>124.10639999999999</v>
      </c>
      <c r="AK496" s="22">
        <f>LOOKUP(A496,'Over to underbark'!$A$47:$A$48,'Over to underbark'!$B$47:$B$48)*AJ496</f>
        <v>39.714047999999998</v>
      </c>
      <c r="AL496" s="22">
        <f>LOOKUP(A496,'Over to underbark'!$A$47:$A$48,'Over to underbark'!C$47:C$48)*AJ496</f>
        <v>60.812135999999995</v>
      </c>
      <c r="AM496" s="22">
        <f t="shared" si="127"/>
        <v>163.820448</v>
      </c>
      <c r="AN496" s="36">
        <v>496.43</v>
      </c>
      <c r="AO496" s="23">
        <f t="shared" si="128"/>
        <v>327.640896</v>
      </c>
      <c r="AQ496">
        <f t="shared" si="115"/>
        <v>0.68181818181818199</v>
      </c>
    </row>
    <row r="497" spans="1:43" x14ac:dyDescent="0.35">
      <c r="A497" t="s">
        <v>43</v>
      </c>
      <c r="B497">
        <v>6</v>
      </c>
      <c r="C497">
        <v>2</v>
      </c>
      <c r="D497" t="s">
        <v>42</v>
      </c>
      <c r="E497">
        <v>2</v>
      </c>
      <c r="F497">
        <v>1</v>
      </c>
      <c r="G497" s="12">
        <v>68</v>
      </c>
      <c r="H497" s="12">
        <v>17.074000000000002</v>
      </c>
      <c r="I497" s="12">
        <v>1709</v>
      </c>
      <c r="J497" s="12">
        <v>20.003</v>
      </c>
      <c r="K497" s="12">
        <v>53.707999999999998</v>
      </c>
      <c r="L497" s="12">
        <v>0.223</v>
      </c>
      <c r="M497" s="19">
        <v>381.32</v>
      </c>
      <c r="N497" s="12">
        <v>3.0310000000000001</v>
      </c>
      <c r="O497" s="13">
        <v>5.6079999999999997</v>
      </c>
      <c r="P497" s="14">
        <v>68</v>
      </c>
      <c r="Q497" s="14">
        <v>20.003</v>
      </c>
      <c r="R497" s="14">
        <v>216.446</v>
      </c>
      <c r="S497" s="14">
        <v>164.874</v>
      </c>
      <c r="T497" s="10" t="b">
        <f t="shared" si="116"/>
        <v>1</v>
      </c>
      <c r="U497" s="10" t="b">
        <f t="shared" si="117"/>
        <v>1</v>
      </c>
      <c r="V497" s="11">
        <f>VLOOKUP(IF(J497&lt;10, 10, IF(J497&gt;50,50,J497)),'Over to underbark'!$A$3:$C$43,IF(A497="Scots pine",3,IF(A497="Sitka spruce",2, "error")),TRUE)/100</f>
        <v>0.9</v>
      </c>
      <c r="W497">
        <f t="shared" si="118"/>
        <v>175.32126</v>
      </c>
      <c r="X497">
        <f t="shared" si="119"/>
        <v>133.54793999999998</v>
      </c>
      <c r="Y497">
        <f t="shared" si="120"/>
        <v>34.318799999999989</v>
      </c>
      <c r="Z497">
        <f t="shared" si="122"/>
        <v>151.87444478099997</v>
      </c>
      <c r="AA497">
        <f t="shared" si="123"/>
        <v>36.444738599999994</v>
      </c>
      <c r="AB497">
        <f t="shared" si="124"/>
        <v>81.150353738999996</v>
      </c>
      <c r="AC497">
        <f t="shared" si="125"/>
        <v>73.71846287999999</v>
      </c>
      <c r="AD497">
        <f>LOOKUP($A497,'Over to underbark'!$A$47:$A$48,'Over to underbark'!E$47:E$48)*Z497</f>
        <v>50.118566777729988</v>
      </c>
      <c r="AE497">
        <f>LOOKUP($A497,'Over to underbark'!$A$47:$A$48,'Over to underbark'!E$47:E$48)*AA497</f>
        <v>12.026763737999998</v>
      </c>
      <c r="AF497">
        <f>LOOKUP($A497,'Over to underbark'!$A$47:$A$48,'Over to underbark'!E$47:E$48)*AB497</f>
        <v>26.77961673387</v>
      </c>
      <c r="AG497">
        <f>LOOKUP($A497,'Over to underbark'!$A$47:$A$48,'Over to underbark'!E$47:E$48)*AC497</f>
        <v>24.327092750399999</v>
      </c>
      <c r="AH497" t="b">
        <f t="shared" si="126"/>
        <v>1</v>
      </c>
      <c r="AI497" t="b">
        <f t="shared" si="121"/>
        <v>1</v>
      </c>
      <c r="AJ497">
        <f>LOOKUP(A497,'Over to underbark'!$A$47:$A$48,'Over to underbark'!E$47:E$48)*M497</f>
        <v>125.8356</v>
      </c>
      <c r="AK497" s="22">
        <f>LOOKUP(A497,'Over to underbark'!$A$47:$A$48,'Over to underbark'!$B$47:$B$48)*AJ497</f>
        <v>40.267392000000001</v>
      </c>
      <c r="AL497" s="22">
        <f>LOOKUP(A497,'Over to underbark'!$A$47:$A$48,'Over to underbark'!C$47:C$48)*AJ497</f>
        <v>61.659444000000001</v>
      </c>
      <c r="AM497" s="22">
        <f t="shared" si="127"/>
        <v>166.102992</v>
      </c>
      <c r="AN497" s="36">
        <v>503.34</v>
      </c>
      <c r="AO497" s="23">
        <f t="shared" si="128"/>
        <v>332.205984</v>
      </c>
      <c r="AQ497">
        <f t="shared" si="115"/>
        <v>0.68181818181818177</v>
      </c>
    </row>
    <row r="498" spans="1:43" x14ac:dyDescent="0.35">
      <c r="A498" t="s">
        <v>43</v>
      </c>
      <c r="B498">
        <v>6</v>
      </c>
      <c r="C498">
        <v>2</v>
      </c>
      <c r="D498" t="s">
        <v>42</v>
      </c>
      <c r="E498">
        <v>2</v>
      </c>
      <c r="F498">
        <v>1</v>
      </c>
      <c r="G498" s="12">
        <v>69</v>
      </c>
      <c r="H498" s="12">
        <v>17.212</v>
      </c>
      <c r="I498" s="12">
        <v>1697</v>
      </c>
      <c r="J498" s="12">
        <v>20.131</v>
      </c>
      <c r="K498" s="12">
        <v>54.014000000000003</v>
      </c>
      <c r="L498" s="12">
        <v>0.22800000000000001</v>
      </c>
      <c r="M498" s="19">
        <v>386.56</v>
      </c>
      <c r="N498" s="12">
        <v>3.1709999999999998</v>
      </c>
      <c r="O498" s="13">
        <v>5.6020000000000003</v>
      </c>
      <c r="P498" s="14">
        <v>69</v>
      </c>
      <c r="Q498" s="14">
        <v>20.131</v>
      </c>
      <c r="R498" s="14">
        <v>216.71700000000001</v>
      </c>
      <c r="S498" s="14">
        <v>169.84299999999999</v>
      </c>
      <c r="T498" s="10" t="b">
        <f t="shared" si="116"/>
        <v>1</v>
      </c>
      <c r="U498" s="10" t="b">
        <f t="shared" si="117"/>
        <v>1</v>
      </c>
      <c r="V498" s="11">
        <f>VLOOKUP(IF(J498&lt;10, 10, IF(J498&gt;50,50,J498)),'Over to underbark'!$A$3:$C$43,IF(A498="Scots pine",3,IF(A498="Sitka spruce",2, "error")),TRUE)/100</f>
        <v>0.9</v>
      </c>
      <c r="W498">
        <f t="shared" si="118"/>
        <v>175.54077000000004</v>
      </c>
      <c r="X498">
        <f t="shared" si="119"/>
        <v>137.57283000000001</v>
      </c>
      <c r="Y498">
        <f t="shared" si="120"/>
        <v>34.790399999999991</v>
      </c>
      <c r="Z498">
        <f t="shared" si="122"/>
        <v>153.52494529950005</v>
      </c>
      <c r="AA498">
        <f t="shared" si="123"/>
        <v>36.704684700000001</v>
      </c>
      <c r="AB498">
        <f t="shared" si="124"/>
        <v>81.734167840500021</v>
      </c>
      <c r="AC498">
        <f t="shared" si="125"/>
        <v>75.940202160000013</v>
      </c>
      <c r="AD498">
        <f>LOOKUP($A498,'Over to underbark'!$A$47:$A$48,'Over to underbark'!E$47:E$48)*Z498</f>
        <v>50.663231948835019</v>
      </c>
      <c r="AE498">
        <f>LOOKUP($A498,'Over to underbark'!$A$47:$A$48,'Over to underbark'!E$47:E$48)*AA498</f>
        <v>12.112545951000001</v>
      </c>
      <c r="AF498">
        <f>LOOKUP($A498,'Over to underbark'!$A$47:$A$48,'Over to underbark'!E$47:E$48)*AB498</f>
        <v>26.972275387365009</v>
      </c>
      <c r="AG498">
        <f>LOOKUP($A498,'Over to underbark'!$A$47:$A$48,'Over to underbark'!E$47:E$48)*AC498</f>
        <v>25.060266712800004</v>
      </c>
      <c r="AH498" t="b">
        <f t="shared" si="126"/>
        <v>1</v>
      </c>
      <c r="AI498" t="b">
        <f t="shared" si="121"/>
        <v>1</v>
      </c>
      <c r="AJ498">
        <f>LOOKUP(A498,'Over to underbark'!$A$47:$A$48,'Over to underbark'!E$47:E$48)*M498</f>
        <v>127.56480000000001</v>
      </c>
      <c r="AK498" s="22">
        <f>LOOKUP(A498,'Over to underbark'!$A$47:$A$48,'Over to underbark'!$B$47:$B$48)*AJ498</f>
        <v>40.820736000000004</v>
      </c>
      <c r="AL498" s="22">
        <f>LOOKUP(A498,'Over to underbark'!$A$47:$A$48,'Over to underbark'!C$47:C$48)*AJ498</f>
        <v>62.506751999999999</v>
      </c>
      <c r="AM498" s="22">
        <f t="shared" si="127"/>
        <v>168.385536</v>
      </c>
      <c r="AN498" s="36">
        <v>510.26</v>
      </c>
      <c r="AO498" s="23">
        <f t="shared" si="128"/>
        <v>336.771072</v>
      </c>
      <c r="AQ498">
        <f t="shared" si="115"/>
        <v>0.68181818181818199</v>
      </c>
    </row>
    <row r="499" spans="1:43" x14ac:dyDescent="0.35">
      <c r="A499" t="s">
        <v>43</v>
      </c>
      <c r="B499">
        <v>6</v>
      </c>
      <c r="C499">
        <v>2</v>
      </c>
      <c r="D499" t="s">
        <v>42</v>
      </c>
      <c r="E499">
        <v>2</v>
      </c>
      <c r="F499">
        <v>1</v>
      </c>
      <c r="G499" s="12">
        <v>70</v>
      </c>
      <c r="H499" s="12">
        <v>17.350000000000001</v>
      </c>
      <c r="I499" s="12">
        <v>1685</v>
      </c>
      <c r="J499" s="12">
        <v>20.260000000000002</v>
      </c>
      <c r="K499" s="12">
        <v>54.320999999999998</v>
      </c>
      <c r="L499" s="12">
        <v>0.23300000000000001</v>
      </c>
      <c r="M499" s="19">
        <v>391.8</v>
      </c>
      <c r="N499" s="12">
        <v>3.3069999999999999</v>
      </c>
      <c r="O499" s="13">
        <v>5.5970000000000004</v>
      </c>
      <c r="P499" s="14">
        <v>70</v>
      </c>
      <c r="Q499" s="14">
        <v>20.260000000000002</v>
      </c>
      <c r="R499" s="14">
        <v>216.91300000000001</v>
      </c>
      <c r="S499" s="14">
        <v>174.887</v>
      </c>
      <c r="T499" s="10" t="b">
        <f t="shared" si="116"/>
        <v>1</v>
      </c>
      <c r="U499" s="10" t="b">
        <f t="shared" si="117"/>
        <v>1</v>
      </c>
      <c r="V499" s="11">
        <f>VLOOKUP(IF(J499&lt;10, 10, IF(J499&gt;50,50,J499)),'Over to underbark'!$A$3:$C$43,IF(A499="Scots pine",3,IF(A499="Sitka spruce",2, "error")),TRUE)/100</f>
        <v>0.9</v>
      </c>
      <c r="W499">
        <f t="shared" si="118"/>
        <v>175.69953000000004</v>
      </c>
      <c r="X499">
        <f t="shared" si="119"/>
        <v>141.65847000000002</v>
      </c>
      <c r="Y499">
        <f t="shared" si="120"/>
        <v>35.261999999999993</v>
      </c>
      <c r="Z499">
        <f t="shared" si="122"/>
        <v>155.16333530550006</v>
      </c>
      <c r="AA499">
        <f t="shared" si="123"/>
        <v>36.957948299999998</v>
      </c>
      <c r="AB499">
        <f t="shared" si="124"/>
        <v>82.303240954500012</v>
      </c>
      <c r="AC499">
        <f t="shared" si="125"/>
        <v>78.19547544000001</v>
      </c>
      <c r="AD499">
        <f>LOOKUP($A499,'Over to underbark'!$A$47:$A$48,'Over to underbark'!E$47:E$48)*Z499</f>
        <v>51.203900650815022</v>
      </c>
      <c r="AE499">
        <f>LOOKUP($A499,'Over to underbark'!$A$47:$A$48,'Over to underbark'!E$47:E$48)*AA499</f>
        <v>12.196122939</v>
      </c>
      <c r="AF499">
        <f>LOOKUP($A499,'Over to underbark'!$A$47:$A$48,'Over to underbark'!E$47:E$48)*AB499</f>
        <v>27.160069514985004</v>
      </c>
      <c r="AG499">
        <f>LOOKUP($A499,'Over to underbark'!$A$47:$A$48,'Over to underbark'!E$47:E$48)*AC499</f>
        <v>25.804506895200003</v>
      </c>
      <c r="AH499" t="b">
        <f t="shared" si="126"/>
        <v>1</v>
      </c>
      <c r="AI499" t="b">
        <f t="shared" si="121"/>
        <v>1</v>
      </c>
      <c r="AJ499">
        <f>LOOKUP(A499,'Over to underbark'!$A$47:$A$48,'Over to underbark'!E$47:E$48)*M499</f>
        <v>129.29400000000001</v>
      </c>
      <c r="AK499" s="22">
        <f>LOOKUP(A499,'Over to underbark'!$A$47:$A$48,'Over to underbark'!$B$47:$B$48)*AJ499</f>
        <v>41.374080000000006</v>
      </c>
      <c r="AL499" s="22">
        <f>LOOKUP(A499,'Over to underbark'!$A$47:$A$48,'Over to underbark'!C$47:C$48)*AJ499</f>
        <v>63.354060000000004</v>
      </c>
      <c r="AM499" s="22">
        <f t="shared" si="127"/>
        <v>170.66808000000003</v>
      </c>
      <c r="AN499" s="36">
        <v>517.17999999999995</v>
      </c>
      <c r="AO499" s="23">
        <f t="shared" si="128"/>
        <v>341.33616000000006</v>
      </c>
      <c r="AQ499">
        <f t="shared" si="115"/>
        <v>0.68181818181818188</v>
      </c>
    </row>
    <row r="500" spans="1:43" x14ac:dyDescent="0.35">
      <c r="A500" t="s">
        <v>43</v>
      </c>
      <c r="B500">
        <v>6</v>
      </c>
      <c r="C500">
        <v>2</v>
      </c>
      <c r="D500" t="s">
        <v>42</v>
      </c>
      <c r="E500">
        <v>2</v>
      </c>
      <c r="F500">
        <v>1</v>
      </c>
      <c r="G500" s="12">
        <v>71</v>
      </c>
      <c r="H500" s="12">
        <v>17.474</v>
      </c>
      <c r="I500" s="12">
        <v>1673</v>
      </c>
      <c r="J500" s="12">
        <v>20.367999999999999</v>
      </c>
      <c r="K500" s="12">
        <v>54.511000000000003</v>
      </c>
      <c r="L500" s="12">
        <v>0.23699999999999999</v>
      </c>
      <c r="M500" s="19">
        <v>396.2</v>
      </c>
      <c r="N500" s="12">
        <v>3.4649999999999999</v>
      </c>
      <c r="O500" s="13">
        <v>5.58</v>
      </c>
      <c r="P500" s="14">
        <v>71</v>
      </c>
      <c r="Q500" s="14">
        <v>20.367999999999999</v>
      </c>
      <c r="R500" s="14">
        <v>217.042</v>
      </c>
      <c r="S500" s="14">
        <v>179.15799999999999</v>
      </c>
      <c r="T500" s="10" t="b">
        <f t="shared" si="116"/>
        <v>1</v>
      </c>
      <c r="U500" s="10" t="b">
        <f t="shared" si="117"/>
        <v>1</v>
      </c>
      <c r="V500" s="11">
        <f>VLOOKUP(IF(J500&lt;10, 10, IF(J500&gt;50,50,J500)),'Over to underbark'!$A$3:$C$43,IF(A500="Scots pine",3,IF(A500="Sitka spruce",2, "error")),TRUE)/100</f>
        <v>0.9</v>
      </c>
      <c r="W500">
        <f t="shared" si="118"/>
        <v>175.80402000000001</v>
      </c>
      <c r="X500">
        <f t="shared" si="119"/>
        <v>145.11797999999999</v>
      </c>
      <c r="Y500">
        <f t="shared" si="120"/>
        <v>35.657999999999987</v>
      </c>
      <c r="Z500">
        <f t="shared" si="122"/>
        <v>156.53333738699999</v>
      </c>
      <c r="AA500">
        <f t="shared" si="123"/>
        <v>37.167442199999996</v>
      </c>
      <c r="AB500">
        <f t="shared" si="124"/>
        <v>82.774095452999987</v>
      </c>
      <c r="AC500">
        <f t="shared" si="125"/>
        <v>80.105124959999998</v>
      </c>
      <c r="AD500">
        <f>LOOKUP($A500,'Over to underbark'!$A$47:$A$48,'Over to underbark'!E$47:E$48)*Z500</f>
        <v>51.656001337710002</v>
      </c>
      <c r="AE500">
        <f>LOOKUP($A500,'Over to underbark'!$A$47:$A$48,'Over to underbark'!E$47:E$48)*AA500</f>
        <v>12.265255926</v>
      </c>
      <c r="AF500">
        <f>LOOKUP($A500,'Over to underbark'!$A$47:$A$48,'Over to underbark'!E$47:E$48)*AB500</f>
        <v>27.315451499489996</v>
      </c>
      <c r="AG500">
        <f>LOOKUP($A500,'Over to underbark'!$A$47:$A$48,'Over to underbark'!E$47:E$48)*AC500</f>
        <v>26.434691236799999</v>
      </c>
      <c r="AH500" t="b">
        <f t="shared" si="126"/>
        <v>1</v>
      </c>
      <c r="AI500" t="b">
        <f t="shared" si="121"/>
        <v>1</v>
      </c>
      <c r="AJ500">
        <f>LOOKUP(A500,'Over to underbark'!$A$47:$A$48,'Over to underbark'!E$47:E$48)*M500</f>
        <v>130.74600000000001</v>
      </c>
      <c r="AK500" s="22">
        <f>LOOKUP(A500,'Over to underbark'!$A$47:$A$48,'Over to underbark'!$B$47:$B$48)*AJ500</f>
        <v>41.838720000000002</v>
      </c>
      <c r="AL500" s="22">
        <f>LOOKUP(A500,'Over to underbark'!$A$47:$A$48,'Over to underbark'!C$47:C$48)*AJ500</f>
        <v>64.065539999999999</v>
      </c>
      <c r="AM500" s="22">
        <f t="shared" si="127"/>
        <v>172.58472</v>
      </c>
      <c r="AN500" s="36">
        <v>522.98</v>
      </c>
      <c r="AO500" s="23">
        <f t="shared" si="128"/>
        <v>345.16944000000001</v>
      </c>
      <c r="AQ500">
        <f t="shared" si="115"/>
        <v>0.68181818181818188</v>
      </c>
    </row>
    <row r="501" spans="1:43" x14ac:dyDescent="0.35">
      <c r="A501" t="s">
        <v>43</v>
      </c>
      <c r="B501">
        <v>6</v>
      </c>
      <c r="C501">
        <v>2</v>
      </c>
      <c r="D501" t="s">
        <v>42</v>
      </c>
      <c r="E501">
        <v>2</v>
      </c>
      <c r="F501">
        <v>1</v>
      </c>
      <c r="G501" s="12">
        <v>72</v>
      </c>
      <c r="H501" s="12">
        <v>17.597999999999999</v>
      </c>
      <c r="I501" s="12">
        <v>1661</v>
      </c>
      <c r="J501" s="12">
        <v>20.477</v>
      </c>
      <c r="K501" s="12">
        <v>54.701000000000001</v>
      </c>
      <c r="L501" s="12">
        <v>0.24099999999999999</v>
      </c>
      <c r="M501" s="19">
        <v>400.6</v>
      </c>
      <c r="N501" s="12">
        <v>3.6190000000000002</v>
      </c>
      <c r="O501" s="13">
        <v>5.5640000000000001</v>
      </c>
      <c r="P501" s="14">
        <v>72</v>
      </c>
      <c r="Q501" s="14">
        <v>20.477</v>
      </c>
      <c r="R501" s="14">
        <v>217.114</v>
      </c>
      <c r="S501" s="14">
        <v>183.48599999999999</v>
      </c>
      <c r="T501" s="10" t="b">
        <f t="shared" si="116"/>
        <v>1</v>
      </c>
      <c r="U501" s="10" t="b">
        <f t="shared" si="117"/>
        <v>1</v>
      </c>
      <c r="V501" s="11">
        <f>VLOOKUP(IF(J501&lt;10, 10, IF(J501&gt;50,50,J501)),'Over to underbark'!$A$3:$C$43,IF(A501="Scots pine",3,IF(A501="Sitka spruce",2, "error")),TRUE)/100</f>
        <v>0.9</v>
      </c>
      <c r="W501">
        <f t="shared" si="118"/>
        <v>175.86234000000002</v>
      </c>
      <c r="X501">
        <f t="shared" si="119"/>
        <v>148.62366</v>
      </c>
      <c r="Y501">
        <f t="shared" si="120"/>
        <v>36.053999999999995</v>
      </c>
      <c r="Z501">
        <f t="shared" si="122"/>
        <v>157.894135479</v>
      </c>
      <c r="AA501">
        <f t="shared" si="123"/>
        <v>37.371857399999996</v>
      </c>
      <c r="AB501">
        <f t="shared" si="124"/>
        <v>83.233746800999995</v>
      </c>
      <c r="AC501">
        <f t="shared" si="125"/>
        <v>82.040260320000002</v>
      </c>
      <c r="AD501">
        <f>LOOKUP($A501,'Over to underbark'!$A$47:$A$48,'Over to underbark'!E$47:E$48)*Z501</f>
        <v>52.105064708070003</v>
      </c>
      <c r="AE501">
        <f>LOOKUP($A501,'Over to underbark'!$A$47:$A$48,'Over to underbark'!E$47:E$48)*AA501</f>
        <v>12.332712941999999</v>
      </c>
      <c r="AF501">
        <f>LOOKUP($A501,'Over to underbark'!$A$47:$A$48,'Over to underbark'!E$47:E$48)*AB501</f>
        <v>27.467136444329999</v>
      </c>
      <c r="AG501">
        <f>LOOKUP($A501,'Over to underbark'!$A$47:$A$48,'Over to underbark'!E$47:E$48)*AC501</f>
        <v>27.073285905600002</v>
      </c>
      <c r="AH501" t="b">
        <f t="shared" si="126"/>
        <v>1</v>
      </c>
      <c r="AI501" t="b">
        <f t="shared" si="121"/>
        <v>1</v>
      </c>
      <c r="AJ501">
        <f>LOOKUP(A501,'Over to underbark'!$A$47:$A$48,'Over to underbark'!E$47:E$48)*M501</f>
        <v>132.19800000000001</v>
      </c>
      <c r="AK501" s="22">
        <f>LOOKUP(A501,'Over to underbark'!$A$47:$A$48,'Over to underbark'!$B$47:$B$48)*AJ501</f>
        <v>42.303360000000005</v>
      </c>
      <c r="AL501" s="22">
        <f>LOOKUP(A501,'Over to underbark'!$A$47:$A$48,'Over to underbark'!C$47:C$48)*AJ501</f>
        <v>64.777020000000007</v>
      </c>
      <c r="AM501" s="22">
        <f t="shared" si="127"/>
        <v>174.50136000000001</v>
      </c>
      <c r="AN501" s="36">
        <v>528.79</v>
      </c>
      <c r="AO501" s="23">
        <f t="shared" si="128"/>
        <v>349.00272000000001</v>
      </c>
      <c r="AQ501">
        <f t="shared" si="115"/>
        <v>0.68181818181818177</v>
      </c>
    </row>
    <row r="502" spans="1:43" x14ac:dyDescent="0.35">
      <c r="A502" t="s">
        <v>43</v>
      </c>
      <c r="B502">
        <v>6</v>
      </c>
      <c r="C502">
        <v>2</v>
      </c>
      <c r="D502" t="s">
        <v>42</v>
      </c>
      <c r="E502">
        <v>2</v>
      </c>
      <c r="F502">
        <v>1</v>
      </c>
      <c r="G502" s="12">
        <v>73</v>
      </c>
      <c r="H502" s="12">
        <v>17.722000000000001</v>
      </c>
      <c r="I502" s="12">
        <v>1649</v>
      </c>
      <c r="J502" s="12">
        <v>20.587</v>
      </c>
      <c r="K502" s="12">
        <v>54.89</v>
      </c>
      <c r="L502" s="12">
        <v>0.246</v>
      </c>
      <c r="M502" s="19">
        <v>405</v>
      </c>
      <c r="N502" s="12">
        <v>3.7679999999999998</v>
      </c>
      <c r="O502" s="13">
        <v>5.548</v>
      </c>
      <c r="P502" s="14">
        <v>73</v>
      </c>
      <c r="Q502" s="14">
        <v>20.587</v>
      </c>
      <c r="R502" s="14">
        <v>217.12799999999999</v>
      </c>
      <c r="S502" s="14">
        <v>187.87200000000001</v>
      </c>
      <c r="T502" s="10" t="b">
        <f t="shared" si="116"/>
        <v>1</v>
      </c>
      <c r="U502" s="10" t="b">
        <f t="shared" si="117"/>
        <v>1</v>
      </c>
      <c r="V502" s="11">
        <f>VLOOKUP(IF(J502&lt;10, 10, IF(J502&gt;50,50,J502)),'Over to underbark'!$A$3:$C$43,IF(A502="Scots pine",3,IF(A502="Sitka spruce",2, "error")),TRUE)/100</f>
        <v>0.9</v>
      </c>
      <c r="W502">
        <f t="shared" si="118"/>
        <v>175.87368000000001</v>
      </c>
      <c r="X502">
        <f t="shared" si="119"/>
        <v>152.17632000000003</v>
      </c>
      <c r="Y502">
        <f t="shared" si="120"/>
        <v>36.449999999999989</v>
      </c>
      <c r="Z502">
        <f t="shared" si="122"/>
        <v>159.24556810799999</v>
      </c>
      <c r="AA502">
        <f t="shared" si="123"/>
        <v>37.571104800000001</v>
      </c>
      <c r="AB502">
        <f t="shared" si="124"/>
        <v>83.681998452000002</v>
      </c>
      <c r="AC502">
        <f t="shared" si="125"/>
        <v>84.001328640000011</v>
      </c>
      <c r="AD502">
        <f>LOOKUP($A502,'Over to underbark'!$A$47:$A$48,'Over to underbark'!E$47:E$48)*Z502</f>
        <v>52.551037475640001</v>
      </c>
      <c r="AE502">
        <f>LOOKUP($A502,'Over to underbark'!$A$47:$A$48,'Over to underbark'!E$47:E$48)*AA502</f>
        <v>12.398464584000001</v>
      </c>
      <c r="AF502">
        <f>LOOKUP($A502,'Over to underbark'!$A$47:$A$48,'Over to underbark'!E$47:E$48)*AB502</f>
        <v>27.615059489160004</v>
      </c>
      <c r="AG502">
        <f>LOOKUP($A502,'Over to underbark'!$A$47:$A$48,'Over to underbark'!E$47:E$48)*AC502</f>
        <v>27.720438451200003</v>
      </c>
      <c r="AH502" t="b">
        <f t="shared" si="126"/>
        <v>1</v>
      </c>
      <c r="AI502" t="b">
        <f t="shared" si="121"/>
        <v>1</v>
      </c>
      <c r="AJ502">
        <f>LOOKUP(A502,'Over to underbark'!$A$47:$A$48,'Over to underbark'!E$47:E$48)*M502</f>
        <v>133.65</v>
      </c>
      <c r="AK502" s="22">
        <f>LOOKUP(A502,'Over to underbark'!$A$47:$A$48,'Over to underbark'!$B$47:$B$48)*AJ502</f>
        <v>42.768000000000001</v>
      </c>
      <c r="AL502" s="22">
        <f>LOOKUP(A502,'Over to underbark'!$A$47:$A$48,'Over to underbark'!C$47:C$48)*AJ502</f>
        <v>65.488500000000002</v>
      </c>
      <c r="AM502" s="22">
        <f t="shared" si="127"/>
        <v>176.41800000000001</v>
      </c>
      <c r="AN502" s="36">
        <v>534.6</v>
      </c>
      <c r="AO502" s="23">
        <f t="shared" si="128"/>
        <v>352.83600000000001</v>
      </c>
      <c r="AQ502">
        <f t="shared" si="115"/>
        <v>0.68181818181818177</v>
      </c>
    </row>
    <row r="503" spans="1:43" x14ac:dyDescent="0.35">
      <c r="A503" t="s">
        <v>43</v>
      </c>
      <c r="B503">
        <v>6</v>
      </c>
      <c r="C503">
        <v>2</v>
      </c>
      <c r="D503" t="s">
        <v>42</v>
      </c>
      <c r="E503">
        <v>2</v>
      </c>
      <c r="F503">
        <v>1</v>
      </c>
      <c r="G503" s="12">
        <v>74</v>
      </c>
      <c r="H503" s="12">
        <v>17.846</v>
      </c>
      <c r="I503" s="12">
        <v>1637</v>
      </c>
      <c r="J503" s="12">
        <v>20.698</v>
      </c>
      <c r="K503" s="12">
        <v>55.08</v>
      </c>
      <c r="L503" s="12">
        <v>0.25</v>
      </c>
      <c r="M503" s="19">
        <v>409.4</v>
      </c>
      <c r="N503" s="12">
        <v>3.915</v>
      </c>
      <c r="O503" s="13">
        <v>5.532</v>
      </c>
      <c r="P503" s="14">
        <v>74</v>
      </c>
      <c r="Q503" s="14">
        <v>20.698</v>
      </c>
      <c r="R503" s="14">
        <v>217.084</v>
      </c>
      <c r="S503" s="14">
        <v>192.316</v>
      </c>
      <c r="T503" s="10" t="b">
        <f t="shared" si="116"/>
        <v>1</v>
      </c>
      <c r="U503" s="10" t="b">
        <f t="shared" si="117"/>
        <v>1</v>
      </c>
      <c r="V503" s="11">
        <f>VLOOKUP(IF(J503&lt;10, 10, IF(J503&gt;50,50,J503)),'Over to underbark'!$A$3:$C$43,IF(A503="Scots pine",3,IF(A503="Sitka spruce",2, "error")),TRUE)/100</f>
        <v>0.9</v>
      </c>
      <c r="W503">
        <f t="shared" si="118"/>
        <v>175.83804000000003</v>
      </c>
      <c r="X503">
        <f t="shared" si="119"/>
        <v>155.77596000000003</v>
      </c>
      <c r="Y503">
        <f t="shared" si="120"/>
        <v>36.845999999999989</v>
      </c>
      <c r="Z503">
        <f t="shared" si="122"/>
        <v>160.58763527400001</v>
      </c>
      <c r="AA503">
        <f t="shared" si="123"/>
        <v>37.765184399999995</v>
      </c>
      <c r="AB503">
        <f t="shared" si="124"/>
        <v>84.118850406000021</v>
      </c>
      <c r="AC503">
        <f t="shared" si="125"/>
        <v>85.988329920000012</v>
      </c>
      <c r="AD503">
        <f>LOOKUP($A503,'Over to underbark'!$A$47:$A$48,'Over to underbark'!E$47:E$48)*Z503</f>
        <v>52.993919640420003</v>
      </c>
      <c r="AE503">
        <f>LOOKUP($A503,'Over to underbark'!$A$47:$A$48,'Over to underbark'!E$47:E$48)*AA503</f>
        <v>12.462510851999999</v>
      </c>
      <c r="AF503">
        <f>LOOKUP($A503,'Over to underbark'!$A$47:$A$48,'Over to underbark'!E$47:E$48)*AB503</f>
        <v>27.759220633980007</v>
      </c>
      <c r="AG503">
        <f>LOOKUP($A503,'Over to underbark'!$A$47:$A$48,'Over to underbark'!E$47:E$48)*AC503</f>
        <v>28.376148873600005</v>
      </c>
      <c r="AH503" t="b">
        <f t="shared" si="126"/>
        <v>1</v>
      </c>
      <c r="AI503" t="b">
        <f t="shared" si="121"/>
        <v>1</v>
      </c>
      <c r="AJ503">
        <f>LOOKUP(A503,'Over to underbark'!$A$47:$A$48,'Over to underbark'!E$47:E$48)*M503</f>
        <v>135.102</v>
      </c>
      <c r="AK503" s="22">
        <f>LOOKUP(A503,'Over to underbark'!$A$47:$A$48,'Over to underbark'!$B$47:$B$48)*AJ503</f>
        <v>43.232640000000004</v>
      </c>
      <c r="AL503" s="22">
        <f>LOOKUP(A503,'Over to underbark'!$A$47:$A$48,'Over to underbark'!C$47:C$48)*AJ503</f>
        <v>66.199979999999996</v>
      </c>
      <c r="AM503" s="22">
        <f t="shared" si="127"/>
        <v>178.33464000000001</v>
      </c>
      <c r="AN503" s="36">
        <v>540.41</v>
      </c>
      <c r="AO503" s="23">
        <f t="shared" si="128"/>
        <v>356.66928000000001</v>
      </c>
      <c r="AQ503">
        <f t="shared" si="115"/>
        <v>0.68181818181818188</v>
      </c>
    </row>
    <row r="504" spans="1:43" x14ac:dyDescent="0.35">
      <c r="A504" t="s">
        <v>43</v>
      </c>
      <c r="B504">
        <v>6</v>
      </c>
      <c r="C504">
        <v>2</v>
      </c>
      <c r="D504" t="s">
        <v>42</v>
      </c>
      <c r="E504">
        <v>2</v>
      </c>
      <c r="F504">
        <v>1</v>
      </c>
      <c r="G504" s="12">
        <v>75</v>
      </c>
      <c r="H504" s="12">
        <v>17.97</v>
      </c>
      <c r="I504" s="12">
        <v>1625</v>
      </c>
      <c r="J504" s="12">
        <v>20.81</v>
      </c>
      <c r="K504" s="12">
        <v>55.27</v>
      </c>
      <c r="L504" s="12">
        <v>0.255</v>
      </c>
      <c r="M504" s="19">
        <v>413.8</v>
      </c>
      <c r="N504" s="12">
        <v>4.0579999999999998</v>
      </c>
      <c r="O504" s="13">
        <v>5.5170000000000003</v>
      </c>
      <c r="P504" s="14">
        <v>75</v>
      </c>
      <c r="Q504" s="14">
        <v>20.81</v>
      </c>
      <c r="R504" s="14">
        <v>216.982</v>
      </c>
      <c r="S504" s="14">
        <v>196.81800000000001</v>
      </c>
      <c r="T504" s="10" t="b">
        <f t="shared" si="116"/>
        <v>1</v>
      </c>
      <c r="U504" s="10" t="b">
        <f t="shared" si="117"/>
        <v>1</v>
      </c>
      <c r="V504" s="11">
        <f>VLOOKUP(IF(J504&lt;10, 10, IF(J504&gt;50,50,J504)),'Over to underbark'!$A$3:$C$43,IF(A504="Scots pine",3,IF(A504="Sitka spruce",2, "error")),TRUE)/100</f>
        <v>0.9</v>
      </c>
      <c r="W504">
        <f t="shared" si="118"/>
        <v>175.75542000000002</v>
      </c>
      <c r="X504">
        <f t="shared" si="119"/>
        <v>159.42258000000001</v>
      </c>
      <c r="Y504">
        <f t="shared" si="120"/>
        <v>37.24199999999999</v>
      </c>
      <c r="Z504">
        <f t="shared" si="122"/>
        <v>161.92033697700001</v>
      </c>
      <c r="AA504">
        <f t="shared" si="123"/>
        <v>37.954096199999995</v>
      </c>
      <c r="AB504">
        <f t="shared" si="124"/>
        <v>84.544302663000011</v>
      </c>
      <c r="AC504">
        <f t="shared" si="125"/>
        <v>88.001264160000005</v>
      </c>
      <c r="AD504">
        <f>LOOKUP($A504,'Over to underbark'!$A$47:$A$48,'Over to underbark'!E$47:E$48)*Z504</f>
        <v>53.433711202410002</v>
      </c>
      <c r="AE504">
        <f>LOOKUP($A504,'Over to underbark'!$A$47:$A$48,'Over to underbark'!E$47:E$48)*AA504</f>
        <v>12.524851746</v>
      </c>
      <c r="AF504">
        <f>LOOKUP($A504,'Over to underbark'!$A$47:$A$48,'Over to underbark'!E$47:E$48)*AB504</f>
        <v>27.899619878790006</v>
      </c>
      <c r="AG504">
        <f>LOOKUP($A504,'Over to underbark'!$A$47:$A$48,'Over to underbark'!E$47:E$48)*AC504</f>
        <v>29.040417172800002</v>
      </c>
      <c r="AH504" t="b">
        <f t="shared" si="126"/>
        <v>1</v>
      </c>
      <c r="AI504" t="b">
        <f t="shared" si="121"/>
        <v>1</v>
      </c>
      <c r="AJ504">
        <f>LOOKUP(A504,'Over to underbark'!$A$47:$A$48,'Over to underbark'!E$47:E$48)*M504</f>
        <v>136.554</v>
      </c>
      <c r="AK504" s="22">
        <f>LOOKUP(A504,'Over to underbark'!$A$47:$A$48,'Over to underbark'!$B$47:$B$48)*AJ504</f>
        <v>43.697279999999999</v>
      </c>
      <c r="AL504" s="22">
        <f>LOOKUP(A504,'Over to underbark'!$A$47:$A$48,'Over to underbark'!C$47:C$48)*AJ504</f>
        <v>66.911460000000005</v>
      </c>
      <c r="AM504" s="22">
        <f t="shared" si="127"/>
        <v>180.25128000000001</v>
      </c>
      <c r="AN504" s="36">
        <v>546.22</v>
      </c>
      <c r="AO504" s="23">
        <f t="shared" si="128"/>
        <v>360.50256000000002</v>
      </c>
      <c r="AQ504">
        <f t="shared" si="115"/>
        <v>0.68181818181818188</v>
      </c>
    </row>
    <row r="505" spans="1:43" x14ac:dyDescent="0.35">
      <c r="A505" t="s">
        <v>43</v>
      </c>
      <c r="B505">
        <v>6</v>
      </c>
      <c r="C505">
        <v>2</v>
      </c>
      <c r="D505" t="s">
        <v>42</v>
      </c>
      <c r="E505">
        <v>2</v>
      </c>
      <c r="F505">
        <v>1</v>
      </c>
      <c r="G505" s="12">
        <v>76</v>
      </c>
      <c r="H505" s="12">
        <v>18.076000000000001</v>
      </c>
      <c r="I505" s="12">
        <v>1614</v>
      </c>
      <c r="J505" s="12">
        <v>20.911999999999999</v>
      </c>
      <c r="K505" s="12">
        <v>55.436</v>
      </c>
      <c r="L505" s="12">
        <v>0.25900000000000001</v>
      </c>
      <c r="M505" s="19">
        <v>417.26</v>
      </c>
      <c r="N505" s="12">
        <v>4.2759999999999998</v>
      </c>
      <c r="O505" s="13">
        <v>5.49</v>
      </c>
      <c r="P505" s="14">
        <v>76</v>
      </c>
      <c r="Q505" s="14">
        <v>20.911999999999999</v>
      </c>
      <c r="R505" s="14">
        <v>216.57599999999999</v>
      </c>
      <c r="S505" s="14">
        <v>200.684</v>
      </c>
      <c r="T505" s="10" t="b">
        <f t="shared" si="116"/>
        <v>1</v>
      </c>
      <c r="U505" s="10" t="b">
        <f t="shared" si="117"/>
        <v>1</v>
      </c>
      <c r="V505" s="11">
        <f>VLOOKUP(IF(J505&lt;10, 10, IF(J505&gt;50,50,J505)),'Over to underbark'!$A$3:$C$43,IF(A505="Scots pine",3,IF(A505="Sitka spruce",2, "error")),TRUE)/100</f>
        <v>0.9</v>
      </c>
      <c r="W505">
        <f t="shared" si="118"/>
        <v>175.42655999999999</v>
      </c>
      <c r="X505">
        <f t="shared" si="119"/>
        <v>162.55404000000001</v>
      </c>
      <c r="Y505">
        <f t="shared" si="120"/>
        <v>37.553399999999989</v>
      </c>
      <c r="Z505">
        <f t="shared" si="122"/>
        <v>162.91571853599999</v>
      </c>
      <c r="AA505">
        <f t="shared" si="123"/>
        <v>38.073621599999996</v>
      </c>
      <c r="AB505">
        <f t="shared" si="124"/>
        <v>84.814829783999983</v>
      </c>
      <c r="AC505">
        <f t="shared" si="125"/>
        <v>89.729830080000013</v>
      </c>
      <c r="AD505">
        <f>LOOKUP($A505,'Over to underbark'!$A$47:$A$48,'Over to underbark'!E$47:E$48)*Z505</f>
        <v>53.76218711688</v>
      </c>
      <c r="AE505">
        <f>LOOKUP($A505,'Over to underbark'!$A$47:$A$48,'Over to underbark'!E$47:E$48)*AA505</f>
        <v>12.564295127999999</v>
      </c>
      <c r="AF505">
        <f>LOOKUP($A505,'Over to underbark'!$A$47:$A$48,'Over to underbark'!E$47:E$48)*AB505</f>
        <v>27.988893828719995</v>
      </c>
      <c r="AG505">
        <f>LOOKUP($A505,'Over to underbark'!$A$47:$A$48,'Over to underbark'!E$47:E$48)*AC505</f>
        <v>29.610843926400005</v>
      </c>
      <c r="AH505" t="b">
        <f t="shared" si="126"/>
        <v>1</v>
      </c>
      <c r="AI505" t="b">
        <f t="shared" si="121"/>
        <v>1</v>
      </c>
      <c r="AJ505">
        <f>LOOKUP(A505,'Over to underbark'!$A$47:$A$48,'Over to underbark'!E$47:E$48)*M505</f>
        <v>137.69579999999999</v>
      </c>
      <c r="AK505" s="22">
        <f>LOOKUP(A505,'Over to underbark'!$A$47:$A$48,'Over to underbark'!$B$47:$B$48)*AJ505</f>
        <v>44.062655999999997</v>
      </c>
      <c r="AL505" s="22">
        <f>LOOKUP(A505,'Over to underbark'!$A$47:$A$48,'Over to underbark'!C$47:C$48)*AJ505</f>
        <v>67.470941999999994</v>
      </c>
      <c r="AM505" s="22">
        <f t="shared" si="127"/>
        <v>181.758456</v>
      </c>
      <c r="AN505" s="36">
        <v>550.78</v>
      </c>
      <c r="AO505" s="23">
        <f t="shared" si="128"/>
        <v>363.51691199999999</v>
      </c>
      <c r="AQ505">
        <f t="shared" si="115"/>
        <v>0.68181818181818188</v>
      </c>
    </row>
    <row r="506" spans="1:43" x14ac:dyDescent="0.35">
      <c r="A506" t="s">
        <v>43</v>
      </c>
      <c r="B506">
        <v>6</v>
      </c>
      <c r="C506">
        <v>2</v>
      </c>
      <c r="D506" t="s">
        <v>42</v>
      </c>
      <c r="E506">
        <v>2</v>
      </c>
      <c r="F506">
        <v>1</v>
      </c>
      <c r="G506" s="12">
        <v>77</v>
      </c>
      <c r="H506" s="12">
        <v>18.181999999999999</v>
      </c>
      <c r="I506" s="12">
        <v>1603</v>
      </c>
      <c r="J506" s="12">
        <v>21.015000000000001</v>
      </c>
      <c r="K506" s="12">
        <v>55.601999999999997</v>
      </c>
      <c r="L506" s="12">
        <v>0.26200000000000001</v>
      </c>
      <c r="M506" s="19">
        <v>420.72</v>
      </c>
      <c r="N506" s="12">
        <v>4.49</v>
      </c>
      <c r="O506" s="13">
        <v>5.4640000000000004</v>
      </c>
      <c r="P506" s="14">
        <v>77</v>
      </c>
      <c r="Q506" s="14">
        <v>21.015000000000001</v>
      </c>
      <c r="R506" s="14">
        <v>216.125</v>
      </c>
      <c r="S506" s="14">
        <v>204.595</v>
      </c>
      <c r="T506" s="10" t="b">
        <f t="shared" si="116"/>
        <v>1</v>
      </c>
      <c r="U506" s="10" t="b">
        <f t="shared" si="117"/>
        <v>1</v>
      </c>
      <c r="V506" s="11">
        <f>VLOOKUP(IF(J506&lt;10, 10, IF(J506&gt;50,50,J506)),'Over to underbark'!$A$3:$C$43,IF(A506="Scots pine",3,IF(A506="Sitka spruce",2, "error")),TRUE)/100</f>
        <v>0.9</v>
      </c>
      <c r="W506">
        <f t="shared" si="118"/>
        <v>175.06125000000003</v>
      </c>
      <c r="X506">
        <f t="shared" si="119"/>
        <v>165.72195000000002</v>
      </c>
      <c r="Y506">
        <f t="shared" si="120"/>
        <v>37.864799999999995</v>
      </c>
      <c r="Z506">
        <f t="shared" si="122"/>
        <v>163.90383378750002</v>
      </c>
      <c r="AA506">
        <f t="shared" si="123"/>
        <v>38.189137500000001</v>
      </c>
      <c r="AB506">
        <f t="shared" si="124"/>
        <v>85.076512312500014</v>
      </c>
      <c r="AC506">
        <f t="shared" si="125"/>
        <v>91.478516400000004</v>
      </c>
      <c r="AD506">
        <f>LOOKUP($A506,'Over to underbark'!$A$47:$A$48,'Over to underbark'!E$47:E$48)*Z506</f>
        <v>54.088265149875006</v>
      </c>
      <c r="AE506">
        <f>LOOKUP($A506,'Over to underbark'!$A$47:$A$48,'Over to underbark'!E$47:E$48)*AA506</f>
        <v>12.602415375000001</v>
      </c>
      <c r="AF506">
        <f>LOOKUP($A506,'Over to underbark'!$A$47:$A$48,'Over to underbark'!E$47:E$48)*AB506</f>
        <v>28.075249063125007</v>
      </c>
      <c r="AG506">
        <f>LOOKUP($A506,'Over to underbark'!$A$47:$A$48,'Over to underbark'!E$47:E$48)*AC506</f>
        <v>30.187910412000004</v>
      </c>
      <c r="AH506" t="b">
        <f t="shared" si="126"/>
        <v>1</v>
      </c>
      <c r="AI506" t="b">
        <f t="shared" si="121"/>
        <v>1</v>
      </c>
      <c r="AJ506">
        <f>LOOKUP(A506,'Over to underbark'!$A$47:$A$48,'Over to underbark'!E$47:E$48)*M506</f>
        <v>138.83760000000001</v>
      </c>
      <c r="AK506" s="22">
        <f>LOOKUP(A506,'Over to underbark'!$A$47:$A$48,'Over to underbark'!$B$47:$B$48)*AJ506</f>
        <v>44.428032000000002</v>
      </c>
      <c r="AL506" s="22">
        <f>LOOKUP(A506,'Over to underbark'!$A$47:$A$48,'Over to underbark'!C$47:C$48)*AJ506</f>
        <v>68.030423999999996</v>
      </c>
      <c r="AM506" s="22">
        <f t="shared" si="127"/>
        <v>183.26563200000001</v>
      </c>
      <c r="AN506" s="36">
        <v>555.35</v>
      </c>
      <c r="AO506" s="23">
        <f t="shared" si="128"/>
        <v>366.53126400000002</v>
      </c>
      <c r="AQ506">
        <f t="shared" si="115"/>
        <v>0.68181818181818188</v>
      </c>
    </row>
    <row r="507" spans="1:43" x14ac:dyDescent="0.35">
      <c r="A507" t="s">
        <v>43</v>
      </c>
      <c r="B507">
        <v>6</v>
      </c>
      <c r="C507">
        <v>2</v>
      </c>
      <c r="D507" t="s">
        <v>42</v>
      </c>
      <c r="E507">
        <v>2</v>
      </c>
      <c r="F507">
        <v>1</v>
      </c>
      <c r="G507" s="12">
        <v>78</v>
      </c>
      <c r="H507" s="12">
        <v>18.288</v>
      </c>
      <c r="I507" s="12">
        <v>1592</v>
      </c>
      <c r="J507" s="12">
        <v>21.119</v>
      </c>
      <c r="K507" s="12">
        <v>55.768999999999998</v>
      </c>
      <c r="L507" s="12">
        <v>0.26600000000000001</v>
      </c>
      <c r="M507" s="19">
        <v>424.18</v>
      </c>
      <c r="N507" s="12">
        <v>4.7</v>
      </c>
      <c r="O507" s="13">
        <v>5.4379999999999997</v>
      </c>
      <c r="P507" s="14">
        <v>78</v>
      </c>
      <c r="Q507" s="14">
        <v>21.119</v>
      </c>
      <c r="R507" s="14">
        <v>215.63</v>
      </c>
      <c r="S507" s="14">
        <v>208.55</v>
      </c>
      <c r="T507" s="10" t="b">
        <f t="shared" si="116"/>
        <v>1</v>
      </c>
      <c r="U507" s="10" t="b">
        <f t="shared" si="117"/>
        <v>1</v>
      </c>
      <c r="V507" s="11">
        <f>VLOOKUP(IF(J507&lt;10, 10, IF(J507&gt;50,50,J507)),'Over to underbark'!$A$3:$C$43,IF(A507="Scots pine",3,IF(A507="Sitka spruce",2, "error")),TRUE)/100</f>
        <v>0.9</v>
      </c>
      <c r="W507">
        <f t="shared" si="118"/>
        <v>174.66030000000001</v>
      </c>
      <c r="X507">
        <f t="shared" si="119"/>
        <v>168.92550000000003</v>
      </c>
      <c r="Y507">
        <f t="shared" si="120"/>
        <v>38.176199999999994</v>
      </c>
      <c r="Z507">
        <f t="shared" si="122"/>
        <v>164.88484420500004</v>
      </c>
      <c r="AA507">
        <f t="shared" si="123"/>
        <v>38.300732999999994</v>
      </c>
      <c r="AB507">
        <f t="shared" si="124"/>
        <v>85.329546795000013</v>
      </c>
      <c r="AC507">
        <f t="shared" si="125"/>
        <v>93.246876000000015</v>
      </c>
      <c r="AD507">
        <f>LOOKUP($A507,'Over to underbark'!$A$47:$A$48,'Over to underbark'!E$47:E$48)*Z507</f>
        <v>54.411998587650011</v>
      </c>
      <c r="AE507">
        <f>LOOKUP($A507,'Over to underbark'!$A$47:$A$48,'Over to underbark'!E$47:E$48)*AA507</f>
        <v>12.639241889999999</v>
      </c>
      <c r="AF507">
        <f>LOOKUP($A507,'Over to underbark'!$A$47:$A$48,'Over to underbark'!E$47:E$48)*AB507</f>
        <v>28.158750442350005</v>
      </c>
      <c r="AG507">
        <f>LOOKUP($A507,'Over to underbark'!$A$47:$A$48,'Over to underbark'!E$47:E$48)*AC507</f>
        <v>30.771469080000006</v>
      </c>
      <c r="AH507" t="b">
        <f t="shared" si="126"/>
        <v>1</v>
      </c>
      <c r="AI507" t="b">
        <f t="shared" si="121"/>
        <v>1</v>
      </c>
      <c r="AJ507">
        <f>LOOKUP(A507,'Over to underbark'!$A$47:$A$48,'Over to underbark'!E$47:E$48)*M507</f>
        <v>139.9794</v>
      </c>
      <c r="AK507" s="22">
        <f>LOOKUP(A507,'Over to underbark'!$A$47:$A$48,'Over to underbark'!$B$47:$B$48)*AJ507</f>
        <v>44.793407999999999</v>
      </c>
      <c r="AL507" s="22">
        <f>LOOKUP(A507,'Over to underbark'!$A$47:$A$48,'Over to underbark'!C$47:C$48)*AJ507</f>
        <v>68.589905999999999</v>
      </c>
      <c r="AM507" s="22">
        <f t="shared" si="127"/>
        <v>184.772808</v>
      </c>
      <c r="AN507" s="36">
        <v>559.91999999999996</v>
      </c>
      <c r="AO507" s="23">
        <f t="shared" si="128"/>
        <v>369.545616</v>
      </c>
      <c r="AQ507">
        <f t="shared" si="115"/>
        <v>0.68181818181818199</v>
      </c>
    </row>
    <row r="508" spans="1:43" x14ac:dyDescent="0.35">
      <c r="A508" t="s">
        <v>43</v>
      </c>
      <c r="B508">
        <v>6</v>
      </c>
      <c r="C508">
        <v>2</v>
      </c>
      <c r="D508" t="s">
        <v>42</v>
      </c>
      <c r="E508">
        <v>2</v>
      </c>
      <c r="F508">
        <v>1</v>
      </c>
      <c r="G508" s="12">
        <v>79</v>
      </c>
      <c r="H508" s="12">
        <v>18.393999999999998</v>
      </c>
      <c r="I508" s="12">
        <v>1581</v>
      </c>
      <c r="J508" s="12">
        <v>21.224</v>
      </c>
      <c r="K508" s="12">
        <v>55.935000000000002</v>
      </c>
      <c r="L508" s="12">
        <v>0.27</v>
      </c>
      <c r="M508" s="19">
        <v>427.64</v>
      </c>
      <c r="N508" s="12">
        <v>4.9050000000000002</v>
      </c>
      <c r="O508" s="13">
        <v>5.4130000000000003</v>
      </c>
      <c r="P508" s="14">
        <v>79</v>
      </c>
      <c r="Q508" s="14">
        <v>21.224</v>
      </c>
      <c r="R508" s="14">
        <v>215.09200000000001</v>
      </c>
      <c r="S508" s="14">
        <v>212.548</v>
      </c>
      <c r="T508" s="10" t="b">
        <f t="shared" si="116"/>
        <v>1</v>
      </c>
      <c r="U508" s="10" t="b">
        <f t="shared" si="117"/>
        <v>1</v>
      </c>
      <c r="V508" s="11">
        <f>VLOOKUP(IF(J508&lt;10, 10, IF(J508&gt;50,50,J508)),'Over to underbark'!$A$3:$C$43,IF(A508="Scots pine",3,IF(A508="Sitka spruce",2, "error")),TRUE)/100</f>
        <v>0.9</v>
      </c>
      <c r="W508">
        <f t="shared" si="118"/>
        <v>174.22452000000001</v>
      </c>
      <c r="X508">
        <f t="shared" si="119"/>
        <v>172.16388000000001</v>
      </c>
      <c r="Y508">
        <f t="shared" si="120"/>
        <v>38.487599999999986</v>
      </c>
      <c r="Z508">
        <f t="shared" si="122"/>
        <v>165.85891126200002</v>
      </c>
      <c r="AA508">
        <f t="shared" si="123"/>
        <v>38.408497199999999</v>
      </c>
      <c r="AB508">
        <f t="shared" si="124"/>
        <v>85.574129777999985</v>
      </c>
      <c r="AC508">
        <f t="shared" si="125"/>
        <v>95.034461759999999</v>
      </c>
      <c r="AD508">
        <f>LOOKUP($A508,'Over to underbark'!$A$47:$A$48,'Over to underbark'!E$47:E$48)*Z508</f>
        <v>54.733440716460009</v>
      </c>
      <c r="AE508">
        <f>LOOKUP($A508,'Over to underbark'!$A$47:$A$48,'Over to underbark'!E$47:E$48)*AA508</f>
        <v>12.674804076000001</v>
      </c>
      <c r="AF508">
        <f>LOOKUP($A508,'Over to underbark'!$A$47:$A$48,'Over to underbark'!E$47:E$48)*AB508</f>
        <v>28.239462826739995</v>
      </c>
      <c r="AG508">
        <f>LOOKUP($A508,'Over to underbark'!$A$47:$A$48,'Over to underbark'!E$47:E$48)*AC508</f>
        <v>31.361372380800002</v>
      </c>
      <c r="AH508" t="b">
        <f t="shared" si="126"/>
        <v>1</v>
      </c>
      <c r="AI508" t="b">
        <f t="shared" si="121"/>
        <v>1</v>
      </c>
      <c r="AJ508">
        <f>LOOKUP(A508,'Over to underbark'!$A$47:$A$48,'Over to underbark'!E$47:E$48)*M508</f>
        <v>141.12120000000002</v>
      </c>
      <c r="AK508" s="22">
        <f>LOOKUP(A508,'Over to underbark'!$A$47:$A$48,'Over to underbark'!$B$47:$B$48)*AJ508</f>
        <v>45.158784000000004</v>
      </c>
      <c r="AL508" s="22">
        <f>LOOKUP(A508,'Over to underbark'!$A$47:$A$48,'Over to underbark'!C$47:C$48)*AJ508</f>
        <v>69.149388000000002</v>
      </c>
      <c r="AM508" s="22">
        <f t="shared" si="127"/>
        <v>186.27998400000001</v>
      </c>
      <c r="AN508" s="36">
        <v>564.48</v>
      </c>
      <c r="AO508" s="23">
        <f t="shared" si="128"/>
        <v>372.55996800000003</v>
      </c>
      <c r="AQ508">
        <f t="shared" si="115"/>
        <v>0.68181818181818188</v>
      </c>
    </row>
    <row r="509" spans="1:43" x14ac:dyDescent="0.35">
      <c r="A509" t="s">
        <v>43</v>
      </c>
      <c r="B509">
        <v>6</v>
      </c>
      <c r="C509">
        <v>2</v>
      </c>
      <c r="D509" t="s">
        <v>42</v>
      </c>
      <c r="E509">
        <v>2</v>
      </c>
      <c r="F509">
        <v>1</v>
      </c>
      <c r="G509" s="12">
        <v>80</v>
      </c>
      <c r="H509" s="12">
        <v>18.5</v>
      </c>
      <c r="I509" s="12">
        <v>1570</v>
      </c>
      <c r="J509" s="12">
        <v>21.33</v>
      </c>
      <c r="K509" s="12">
        <v>56.100999999999999</v>
      </c>
      <c r="L509" s="12">
        <v>0.27500000000000002</v>
      </c>
      <c r="M509" s="19">
        <v>431.1</v>
      </c>
      <c r="N509" s="12">
        <v>5.1070000000000002</v>
      </c>
      <c r="O509" s="13">
        <v>5.3890000000000002</v>
      </c>
      <c r="P509" s="14">
        <v>80</v>
      </c>
      <c r="Q509" s="14">
        <v>21.33</v>
      </c>
      <c r="R509" s="14">
        <v>214.51</v>
      </c>
      <c r="S509" s="14">
        <v>216.59</v>
      </c>
      <c r="T509" s="10" t="b">
        <f t="shared" si="116"/>
        <v>1</v>
      </c>
      <c r="U509" s="10" t="b">
        <f t="shared" si="117"/>
        <v>1</v>
      </c>
      <c r="V509" s="11">
        <f>VLOOKUP(IF(J509&lt;10, 10, IF(J509&gt;50,50,J509)),'Over to underbark'!$A$3:$C$43,IF(A509="Scots pine",3,IF(A509="Sitka spruce",2, "error")),TRUE)/100</f>
        <v>0.9</v>
      </c>
      <c r="W509">
        <f t="shared" si="118"/>
        <v>173.75309999999999</v>
      </c>
      <c r="X509">
        <f t="shared" si="119"/>
        <v>175.43790000000001</v>
      </c>
      <c r="Y509">
        <f t="shared" si="120"/>
        <v>38.798999999999992</v>
      </c>
      <c r="Z509">
        <f t="shared" si="122"/>
        <v>166.82587348499993</v>
      </c>
      <c r="AA509">
        <f t="shared" si="123"/>
        <v>38.512340999999992</v>
      </c>
      <c r="AB509">
        <f t="shared" si="124"/>
        <v>85.810064714999996</v>
      </c>
      <c r="AC509">
        <f t="shared" si="125"/>
        <v>96.841720800000004</v>
      </c>
      <c r="AD509">
        <f>LOOKUP($A509,'Over to underbark'!$A$47:$A$48,'Over to underbark'!E$47:E$48)*Z509</f>
        <v>55.052538250049977</v>
      </c>
      <c r="AE509">
        <f>LOOKUP($A509,'Over to underbark'!$A$47:$A$48,'Over to underbark'!E$47:E$48)*AA509</f>
        <v>12.709072529999998</v>
      </c>
      <c r="AF509">
        <f>LOOKUP($A509,'Over to underbark'!$A$47:$A$48,'Over to underbark'!E$47:E$48)*AB509</f>
        <v>28.31732135595</v>
      </c>
      <c r="AG509">
        <f>LOOKUP($A509,'Over to underbark'!$A$47:$A$48,'Over to underbark'!E$47:E$48)*AC509</f>
        <v>31.957767864000004</v>
      </c>
      <c r="AH509" t="b">
        <f t="shared" si="126"/>
        <v>1</v>
      </c>
      <c r="AI509" t="b">
        <f t="shared" si="121"/>
        <v>1</v>
      </c>
      <c r="AJ509">
        <f>LOOKUP(A509,'Over to underbark'!$A$47:$A$48,'Over to underbark'!E$47:E$48)*M509</f>
        <v>142.26300000000001</v>
      </c>
      <c r="AK509" s="22">
        <f>LOOKUP(A509,'Over to underbark'!$A$47:$A$48,'Over to underbark'!$B$47:$B$48)*AJ509</f>
        <v>45.524160000000002</v>
      </c>
      <c r="AL509" s="22">
        <f>LOOKUP(A509,'Over to underbark'!$A$47:$A$48,'Over to underbark'!C$47:C$48)*AJ509</f>
        <v>69.708870000000005</v>
      </c>
      <c r="AM509" s="22">
        <f t="shared" si="127"/>
        <v>187.78716</v>
      </c>
      <c r="AN509" s="36">
        <v>569.04999999999995</v>
      </c>
      <c r="AO509" s="23">
        <f t="shared" si="128"/>
        <v>375.57432</v>
      </c>
      <c r="AQ509">
        <f t="shared" si="115"/>
        <v>0.68181818181818177</v>
      </c>
    </row>
    <row r="510" spans="1:43" x14ac:dyDescent="0.35">
      <c r="A510" t="s">
        <v>43</v>
      </c>
      <c r="B510">
        <v>8</v>
      </c>
      <c r="C510">
        <v>2</v>
      </c>
      <c r="D510" t="s">
        <v>42</v>
      </c>
      <c r="E510">
        <v>2</v>
      </c>
      <c r="F510">
        <v>1</v>
      </c>
      <c r="G510" s="12">
        <v>25</v>
      </c>
      <c r="H510" s="12">
        <v>7.08</v>
      </c>
      <c r="I510" s="12">
        <v>2316</v>
      </c>
      <c r="J510" s="12">
        <v>11.4</v>
      </c>
      <c r="K510" s="12">
        <v>23.638999999999999</v>
      </c>
      <c r="L510" s="12">
        <v>2.7E-2</v>
      </c>
      <c r="M510" s="19">
        <v>63.4</v>
      </c>
      <c r="N510" s="12">
        <v>0</v>
      </c>
      <c r="O510" s="13">
        <v>2.536</v>
      </c>
      <c r="P510" s="14">
        <v>25</v>
      </c>
      <c r="Q510" s="14">
        <v>11.4</v>
      </c>
      <c r="R510" s="14">
        <v>63.4</v>
      </c>
      <c r="S510" s="14">
        <v>0</v>
      </c>
      <c r="T510" s="10" t="b">
        <f t="shared" si="116"/>
        <v>1</v>
      </c>
      <c r="U510" s="10" t="b">
        <f t="shared" si="117"/>
        <v>1</v>
      </c>
      <c r="V510" s="11">
        <f>VLOOKUP(IF(J510&lt;10, 10, IF(J510&gt;50,50,J510)),'Over to underbark'!$A$3:$C$43,IF(A510="Scots pine",3,IF(A510="Sitka spruce",2, "error")),TRUE)/100</f>
        <v>0.82</v>
      </c>
      <c r="W510">
        <f t="shared" si="118"/>
        <v>46.789200000000001</v>
      </c>
      <c r="X510">
        <f t="shared" si="119"/>
        <v>0</v>
      </c>
      <c r="Y510">
        <f t="shared" si="120"/>
        <v>10.270800000000003</v>
      </c>
      <c r="Z510">
        <f t="shared" si="122"/>
        <v>29.575738620000003</v>
      </c>
      <c r="AA510">
        <f t="shared" si="123"/>
        <v>10.282212000000001</v>
      </c>
      <c r="AB510">
        <f t="shared" si="124"/>
        <v>17.202049379999998</v>
      </c>
      <c r="AC510">
        <f t="shared" si="125"/>
        <v>0</v>
      </c>
      <c r="AD510">
        <f>LOOKUP($A510,'Over to underbark'!$A$47:$A$48,'Over to underbark'!E$47:E$48)*Z510</f>
        <v>9.7599937446000009</v>
      </c>
      <c r="AE510">
        <f>LOOKUP($A510,'Over to underbark'!$A$47:$A$48,'Over to underbark'!E$47:E$48)*AA510</f>
        <v>3.3931299600000004</v>
      </c>
      <c r="AF510">
        <f>LOOKUP($A510,'Over to underbark'!$A$47:$A$48,'Over to underbark'!E$47:E$48)*AB510</f>
        <v>5.6766762954000001</v>
      </c>
      <c r="AG510">
        <f>LOOKUP($A510,'Over to underbark'!$A$47:$A$48,'Over to underbark'!E$47:E$48)*AC510</f>
        <v>0</v>
      </c>
      <c r="AH510" t="b">
        <f t="shared" si="126"/>
        <v>1</v>
      </c>
      <c r="AI510" t="b">
        <f t="shared" si="121"/>
        <v>1</v>
      </c>
      <c r="AJ510">
        <f>LOOKUP(A510,'Over to underbark'!$A$47:$A$48,'Over to underbark'!E$47:E$48)*M510</f>
        <v>20.922000000000001</v>
      </c>
      <c r="AK510" s="22">
        <f>LOOKUP(A510,'Over to underbark'!$A$47:$A$48,'Over to underbark'!$B$47:$B$48)*AJ510</f>
        <v>6.6950400000000005</v>
      </c>
      <c r="AL510" s="22">
        <f>LOOKUP(A510,'Over to underbark'!$A$47:$A$48,'Over to underbark'!C$47:C$48)*AJ510</f>
        <v>10.25178</v>
      </c>
      <c r="AM510" s="22">
        <f t="shared" si="127"/>
        <v>27.617040000000003</v>
      </c>
      <c r="AN510" s="36">
        <v>83.69</v>
      </c>
      <c r="AO510" s="23">
        <f t="shared" si="128"/>
        <v>55.234080000000006</v>
      </c>
      <c r="AQ510">
        <f t="shared" si="115"/>
        <v>0.68181818181818188</v>
      </c>
    </row>
    <row r="511" spans="1:43" x14ac:dyDescent="0.35">
      <c r="A511" t="s">
        <v>43</v>
      </c>
      <c r="B511">
        <v>8</v>
      </c>
      <c r="C511">
        <v>2</v>
      </c>
      <c r="D511" t="s">
        <v>42</v>
      </c>
      <c r="E511">
        <v>2</v>
      </c>
      <c r="F511">
        <v>1</v>
      </c>
      <c r="G511" s="12">
        <v>26</v>
      </c>
      <c r="H511" s="12">
        <v>7.5039999999999996</v>
      </c>
      <c r="I511" s="12">
        <v>2306</v>
      </c>
      <c r="J511" s="12">
        <v>11.788</v>
      </c>
      <c r="K511" s="12">
        <v>25.166</v>
      </c>
      <c r="L511" s="12">
        <v>3.2000000000000001E-2</v>
      </c>
      <c r="M511" s="19">
        <v>72.94</v>
      </c>
      <c r="N511" s="12">
        <v>0</v>
      </c>
      <c r="O511" s="13">
        <v>2.8050000000000002</v>
      </c>
      <c r="P511" s="14">
        <v>26</v>
      </c>
      <c r="Q511" s="14">
        <v>11.788</v>
      </c>
      <c r="R511" s="14">
        <v>72.94</v>
      </c>
      <c r="S511" s="14">
        <v>0</v>
      </c>
      <c r="T511" s="10" t="b">
        <f t="shared" si="116"/>
        <v>1</v>
      </c>
      <c r="U511" s="10" t="b">
        <f t="shared" si="117"/>
        <v>1</v>
      </c>
      <c r="V511" s="11">
        <f>VLOOKUP(IF(J511&lt;10, 10, IF(J511&gt;50,50,J511)),'Over to underbark'!$A$3:$C$43,IF(A511="Scots pine",3,IF(A511="Sitka spruce",2, "error")),TRUE)/100</f>
        <v>0.82</v>
      </c>
      <c r="W511">
        <f t="shared" si="118"/>
        <v>53.829719999999995</v>
      </c>
      <c r="X511">
        <f t="shared" si="119"/>
        <v>0</v>
      </c>
      <c r="Y511">
        <f t="shared" si="120"/>
        <v>11.816280000000003</v>
      </c>
      <c r="Z511">
        <f t="shared" si="122"/>
        <v>34.026094241999992</v>
      </c>
      <c r="AA511">
        <f t="shared" si="123"/>
        <v>11.829409200000001</v>
      </c>
      <c r="AB511">
        <f t="shared" si="124"/>
        <v>19.790496557999997</v>
      </c>
      <c r="AC511">
        <f t="shared" si="125"/>
        <v>0</v>
      </c>
      <c r="AD511">
        <f>LOOKUP($A511,'Over to underbark'!$A$47:$A$48,'Over to underbark'!E$47:E$48)*Z511</f>
        <v>11.228611099859998</v>
      </c>
      <c r="AE511">
        <f>LOOKUP($A511,'Over to underbark'!$A$47:$A$48,'Over to underbark'!E$47:E$48)*AA511</f>
        <v>3.9037050360000003</v>
      </c>
      <c r="AF511">
        <f>LOOKUP($A511,'Over to underbark'!$A$47:$A$48,'Over to underbark'!E$47:E$48)*AB511</f>
        <v>6.5308638641399996</v>
      </c>
      <c r="AG511">
        <f>LOOKUP($A511,'Over to underbark'!$A$47:$A$48,'Over to underbark'!E$47:E$48)*AC511</f>
        <v>0</v>
      </c>
      <c r="AH511" t="b">
        <f t="shared" si="126"/>
        <v>1</v>
      </c>
      <c r="AI511" t="b">
        <f t="shared" si="121"/>
        <v>1</v>
      </c>
      <c r="AJ511">
        <f>LOOKUP(A511,'Over to underbark'!$A$47:$A$48,'Over to underbark'!E$47:E$48)*M511</f>
        <v>24.0702</v>
      </c>
      <c r="AK511" s="22">
        <f>LOOKUP(A511,'Over to underbark'!$A$47:$A$48,'Over to underbark'!$B$47:$B$48)*AJ511</f>
        <v>7.702464</v>
      </c>
      <c r="AL511" s="22">
        <f>LOOKUP(A511,'Over to underbark'!$A$47:$A$48,'Over to underbark'!C$47:C$48)*AJ511</f>
        <v>11.794397999999999</v>
      </c>
      <c r="AM511" s="22">
        <f t="shared" si="127"/>
        <v>31.772663999999999</v>
      </c>
      <c r="AN511" s="36">
        <v>96.28</v>
      </c>
      <c r="AO511" s="23">
        <f t="shared" si="128"/>
        <v>63.545327999999998</v>
      </c>
      <c r="AQ511">
        <f t="shared" si="115"/>
        <v>0.68181818181818177</v>
      </c>
    </row>
    <row r="512" spans="1:43" x14ac:dyDescent="0.35">
      <c r="A512" t="s">
        <v>43</v>
      </c>
      <c r="B512">
        <v>8</v>
      </c>
      <c r="C512">
        <v>2</v>
      </c>
      <c r="D512" t="s">
        <v>42</v>
      </c>
      <c r="E512">
        <v>2</v>
      </c>
      <c r="F512">
        <v>1</v>
      </c>
      <c r="G512" s="12">
        <v>27</v>
      </c>
      <c r="H512" s="12">
        <v>7.9279999999999999</v>
      </c>
      <c r="I512" s="12">
        <v>2296</v>
      </c>
      <c r="J512" s="12">
        <v>12.167</v>
      </c>
      <c r="K512" s="12">
        <v>26.693000000000001</v>
      </c>
      <c r="L512" s="12">
        <v>3.5999999999999997E-2</v>
      </c>
      <c r="M512" s="19">
        <v>82.48</v>
      </c>
      <c r="N512" s="12">
        <v>0</v>
      </c>
      <c r="O512" s="13">
        <v>3.0550000000000002</v>
      </c>
      <c r="P512" s="14">
        <v>27</v>
      </c>
      <c r="Q512" s="14">
        <v>12.167</v>
      </c>
      <c r="R512" s="14">
        <v>82.48</v>
      </c>
      <c r="S512" s="14">
        <v>0</v>
      </c>
      <c r="T512" s="10" t="b">
        <f t="shared" si="116"/>
        <v>1</v>
      </c>
      <c r="U512" s="10" t="b">
        <f t="shared" si="117"/>
        <v>1</v>
      </c>
      <c r="V512" s="11">
        <f>VLOOKUP(IF(J512&lt;10, 10, IF(J512&gt;50,50,J512)),'Over to underbark'!$A$3:$C$43,IF(A512="Scots pine",3,IF(A512="Sitka spruce",2, "error")),TRUE)/100</f>
        <v>0.87</v>
      </c>
      <c r="W512">
        <f t="shared" si="118"/>
        <v>64.58184</v>
      </c>
      <c r="X512">
        <f t="shared" si="119"/>
        <v>0</v>
      </c>
      <c r="Y512">
        <f t="shared" si="120"/>
        <v>9.6501599999999996</v>
      </c>
      <c r="Z512">
        <f t="shared" si="122"/>
        <v>38.559404123999997</v>
      </c>
      <c r="AA512">
        <f t="shared" si="123"/>
        <v>11.929082399999999</v>
      </c>
      <c r="AB512">
        <f t="shared" si="124"/>
        <v>23.743513476</v>
      </c>
      <c r="AC512">
        <f t="shared" si="125"/>
        <v>0</v>
      </c>
      <c r="AD512">
        <f>LOOKUP($A512,'Over to underbark'!$A$47:$A$48,'Over to underbark'!E$47:E$48)*Z512</f>
        <v>12.72460336092</v>
      </c>
      <c r="AE512">
        <f>LOOKUP($A512,'Over to underbark'!$A$47:$A$48,'Over to underbark'!E$47:E$48)*AA512</f>
        <v>3.9365971919999998</v>
      </c>
      <c r="AF512">
        <f>LOOKUP($A512,'Over to underbark'!$A$47:$A$48,'Over to underbark'!E$47:E$48)*AB512</f>
        <v>7.8353594470800001</v>
      </c>
      <c r="AG512">
        <f>LOOKUP($A512,'Over to underbark'!$A$47:$A$48,'Over to underbark'!E$47:E$48)*AC512</f>
        <v>0</v>
      </c>
      <c r="AH512" t="b">
        <f t="shared" si="126"/>
        <v>1</v>
      </c>
      <c r="AI512" t="b">
        <f t="shared" si="121"/>
        <v>1</v>
      </c>
      <c r="AJ512">
        <f>LOOKUP(A512,'Over to underbark'!$A$47:$A$48,'Over to underbark'!E$47:E$48)*M512</f>
        <v>27.218400000000003</v>
      </c>
      <c r="AK512" s="22">
        <f>LOOKUP(A512,'Over to underbark'!$A$47:$A$48,'Over to underbark'!$B$47:$B$48)*AJ512</f>
        <v>8.7098880000000012</v>
      </c>
      <c r="AL512" s="22">
        <f>LOOKUP(A512,'Over to underbark'!$A$47:$A$48,'Over to underbark'!C$47:C$48)*AJ512</f>
        <v>13.337016</v>
      </c>
      <c r="AM512" s="22">
        <f t="shared" si="127"/>
        <v>35.928288000000002</v>
      </c>
      <c r="AN512" s="36">
        <v>108.87</v>
      </c>
      <c r="AO512" s="23">
        <f t="shared" si="128"/>
        <v>71.856576000000004</v>
      </c>
      <c r="AQ512">
        <f t="shared" si="115"/>
        <v>0.68181818181818188</v>
      </c>
    </row>
    <row r="513" spans="1:43" x14ac:dyDescent="0.35">
      <c r="A513" t="s">
        <v>43</v>
      </c>
      <c r="B513">
        <v>8</v>
      </c>
      <c r="C513">
        <v>2</v>
      </c>
      <c r="D513" t="s">
        <v>42</v>
      </c>
      <c r="E513">
        <v>2</v>
      </c>
      <c r="F513">
        <v>1</v>
      </c>
      <c r="G513" s="12">
        <v>28</v>
      </c>
      <c r="H513" s="12">
        <v>8.3520000000000003</v>
      </c>
      <c r="I513" s="12">
        <v>2287</v>
      </c>
      <c r="J513" s="12">
        <v>12.534000000000001</v>
      </c>
      <c r="K513" s="12">
        <v>28.219000000000001</v>
      </c>
      <c r="L513" s="12">
        <v>0.04</v>
      </c>
      <c r="M513" s="19">
        <v>92.02</v>
      </c>
      <c r="N513" s="12">
        <v>0</v>
      </c>
      <c r="O513" s="13">
        <v>3.286</v>
      </c>
      <c r="P513" s="14">
        <v>28</v>
      </c>
      <c r="Q513" s="14">
        <v>12.534000000000001</v>
      </c>
      <c r="R513" s="14">
        <v>92.02</v>
      </c>
      <c r="S513" s="14">
        <v>0</v>
      </c>
      <c r="T513" s="10" t="b">
        <f t="shared" si="116"/>
        <v>1</v>
      </c>
      <c r="U513" s="10" t="b">
        <f t="shared" si="117"/>
        <v>1</v>
      </c>
      <c r="V513" s="11">
        <f>VLOOKUP(IF(J513&lt;10, 10, IF(J513&gt;50,50,J513)),'Over to underbark'!$A$3:$C$43,IF(A513="Scots pine",3,IF(A513="Sitka spruce",2, "error")),TRUE)/100</f>
        <v>0.87</v>
      </c>
      <c r="W513">
        <f t="shared" si="118"/>
        <v>72.051659999999998</v>
      </c>
      <c r="X513">
        <f t="shared" si="119"/>
        <v>0</v>
      </c>
      <c r="Y513">
        <f t="shared" si="120"/>
        <v>10.76634</v>
      </c>
      <c r="Z513">
        <f t="shared" si="122"/>
        <v>43.019354600999996</v>
      </c>
      <c r="AA513">
        <f t="shared" si="123"/>
        <v>13.3088526</v>
      </c>
      <c r="AB513">
        <f t="shared" si="124"/>
        <v>26.489792799</v>
      </c>
      <c r="AC513">
        <f t="shared" si="125"/>
        <v>0</v>
      </c>
      <c r="AD513">
        <f>LOOKUP($A513,'Over to underbark'!$A$47:$A$48,'Over to underbark'!E$47:E$48)*Z513</f>
        <v>14.19638701833</v>
      </c>
      <c r="AE513">
        <f>LOOKUP($A513,'Over to underbark'!$A$47:$A$48,'Over to underbark'!E$47:E$48)*AA513</f>
        <v>4.3919213580000003</v>
      </c>
      <c r="AF513">
        <f>LOOKUP($A513,'Over to underbark'!$A$47:$A$48,'Over to underbark'!E$47:E$48)*AB513</f>
        <v>8.7416316236700009</v>
      </c>
      <c r="AG513">
        <f>LOOKUP($A513,'Over to underbark'!$A$47:$A$48,'Over to underbark'!E$47:E$48)*AC513</f>
        <v>0</v>
      </c>
      <c r="AH513" t="b">
        <f t="shared" si="126"/>
        <v>1</v>
      </c>
      <c r="AI513" t="b">
        <f t="shared" si="121"/>
        <v>1</v>
      </c>
      <c r="AJ513">
        <f>LOOKUP(A513,'Over to underbark'!$A$47:$A$48,'Over to underbark'!E$47:E$48)*M513</f>
        <v>30.366600000000002</v>
      </c>
      <c r="AK513" s="22">
        <f>LOOKUP(A513,'Over to underbark'!$A$47:$A$48,'Over to underbark'!$B$47:$B$48)*AJ513</f>
        <v>9.7173120000000015</v>
      </c>
      <c r="AL513" s="22">
        <f>LOOKUP(A513,'Over to underbark'!$A$47:$A$48,'Over to underbark'!C$47:C$48)*AJ513</f>
        <v>14.879634000000001</v>
      </c>
      <c r="AM513" s="22">
        <f t="shared" si="127"/>
        <v>40.083912000000005</v>
      </c>
      <c r="AN513" s="36">
        <v>121.47</v>
      </c>
      <c r="AO513" s="23">
        <f t="shared" si="128"/>
        <v>80.16782400000001</v>
      </c>
      <c r="AQ513">
        <f t="shared" si="115"/>
        <v>0.68181818181818177</v>
      </c>
    </row>
    <row r="514" spans="1:43" x14ac:dyDescent="0.35">
      <c r="A514" t="s">
        <v>43</v>
      </c>
      <c r="B514">
        <v>8</v>
      </c>
      <c r="C514">
        <v>2</v>
      </c>
      <c r="D514" t="s">
        <v>42</v>
      </c>
      <c r="E514">
        <v>2</v>
      </c>
      <c r="F514">
        <v>1</v>
      </c>
      <c r="G514" s="12">
        <v>29</v>
      </c>
      <c r="H514" s="12">
        <v>8.7759999999999998</v>
      </c>
      <c r="I514" s="12">
        <v>2277</v>
      </c>
      <c r="J514" s="12">
        <v>12.897</v>
      </c>
      <c r="K514" s="12">
        <v>29.745999999999999</v>
      </c>
      <c r="L514" s="12">
        <v>4.4999999999999998E-2</v>
      </c>
      <c r="M514" s="19">
        <v>101.56</v>
      </c>
      <c r="N514" s="12">
        <v>0</v>
      </c>
      <c r="O514" s="13">
        <v>3.5019999999999998</v>
      </c>
      <c r="P514" s="14">
        <v>29</v>
      </c>
      <c r="Q514" s="14">
        <v>12.897</v>
      </c>
      <c r="R514" s="14">
        <v>100.396</v>
      </c>
      <c r="S514" s="14">
        <v>1.1639999999999999</v>
      </c>
      <c r="T514" s="10" t="b">
        <f t="shared" si="116"/>
        <v>1</v>
      </c>
      <c r="U514" s="10" t="b">
        <f t="shared" si="117"/>
        <v>1</v>
      </c>
      <c r="V514" s="11">
        <f>VLOOKUP(IF(J514&lt;10, 10, IF(J514&gt;50,50,J514)),'Over to underbark'!$A$3:$C$43,IF(A514="Scots pine",3,IF(A514="Sitka spruce",2, "error")),TRUE)/100</f>
        <v>0.87</v>
      </c>
      <c r="W514">
        <f t="shared" si="118"/>
        <v>78.610068000000012</v>
      </c>
      <c r="X514">
        <f t="shared" si="119"/>
        <v>0.91141199999999989</v>
      </c>
      <c r="Y514">
        <f t="shared" si="120"/>
        <v>11.882520000000001</v>
      </c>
      <c r="Z514">
        <f t="shared" si="122"/>
        <v>47.297615095799998</v>
      </c>
      <c r="AA514">
        <f t="shared" si="123"/>
        <v>14.588367480000002</v>
      </c>
      <c r="AB514">
        <f t="shared" si="124"/>
        <v>29.014918000200005</v>
      </c>
      <c r="AC514">
        <f t="shared" si="125"/>
        <v>0.50309942399999985</v>
      </c>
      <c r="AD514">
        <f>LOOKUP($A514,'Over to underbark'!$A$47:$A$48,'Over to underbark'!E$47:E$48)*Z514</f>
        <v>15.608212981614001</v>
      </c>
      <c r="AE514">
        <f>LOOKUP($A514,'Over to underbark'!$A$47:$A$48,'Over to underbark'!E$47:E$48)*AA514</f>
        <v>4.8141612684000012</v>
      </c>
      <c r="AF514">
        <f>LOOKUP($A514,'Over to underbark'!$A$47:$A$48,'Over to underbark'!E$47:E$48)*AB514</f>
        <v>9.5749229400660028</v>
      </c>
      <c r="AG514">
        <f>LOOKUP($A514,'Over to underbark'!$A$47:$A$48,'Over to underbark'!E$47:E$48)*AC514</f>
        <v>0.16602280991999996</v>
      </c>
      <c r="AH514" t="b">
        <f t="shared" si="126"/>
        <v>1</v>
      </c>
      <c r="AI514" t="b">
        <f t="shared" si="121"/>
        <v>1</v>
      </c>
      <c r="AJ514">
        <f>LOOKUP(A514,'Over to underbark'!$A$47:$A$48,'Over to underbark'!E$47:E$48)*M514</f>
        <v>33.514800000000001</v>
      </c>
      <c r="AK514" s="22">
        <f>LOOKUP(A514,'Over to underbark'!$A$47:$A$48,'Over to underbark'!$B$47:$B$48)*AJ514</f>
        <v>10.724736</v>
      </c>
      <c r="AL514" s="22">
        <f>LOOKUP(A514,'Over to underbark'!$A$47:$A$48,'Over to underbark'!C$47:C$48)*AJ514</f>
        <v>16.422252</v>
      </c>
      <c r="AM514" s="22">
        <f t="shared" si="127"/>
        <v>44.239536000000001</v>
      </c>
      <c r="AN514" s="36">
        <v>134.06</v>
      </c>
      <c r="AO514" s="23">
        <f t="shared" si="128"/>
        <v>88.479072000000002</v>
      </c>
      <c r="AQ514">
        <f t="shared" si="115"/>
        <v>0.68181818181818199</v>
      </c>
    </row>
    <row r="515" spans="1:43" x14ac:dyDescent="0.35">
      <c r="A515" t="s">
        <v>43</v>
      </c>
      <c r="B515">
        <v>8</v>
      </c>
      <c r="C515">
        <v>2</v>
      </c>
      <c r="D515" t="s">
        <v>42</v>
      </c>
      <c r="E515">
        <v>2</v>
      </c>
      <c r="F515">
        <v>1</v>
      </c>
      <c r="G515" s="12">
        <v>30</v>
      </c>
      <c r="H515" s="12">
        <v>9.1999999999999993</v>
      </c>
      <c r="I515" s="12">
        <v>2268</v>
      </c>
      <c r="J515" s="12">
        <v>13.25</v>
      </c>
      <c r="K515" s="12">
        <v>31.273</v>
      </c>
      <c r="L515" s="12">
        <v>4.9000000000000002E-2</v>
      </c>
      <c r="M515" s="19">
        <v>111.1</v>
      </c>
      <c r="N515" s="12">
        <v>0</v>
      </c>
      <c r="O515" s="13">
        <v>3.7029999999999998</v>
      </c>
      <c r="P515" s="14">
        <v>30</v>
      </c>
      <c r="Q515" s="14">
        <v>13.25</v>
      </c>
      <c r="R515" s="14">
        <v>107.628</v>
      </c>
      <c r="S515" s="14">
        <v>3.472</v>
      </c>
      <c r="T515" s="10" t="b">
        <f t="shared" si="116"/>
        <v>1</v>
      </c>
      <c r="U515" s="10" t="b">
        <f t="shared" si="117"/>
        <v>1</v>
      </c>
      <c r="V515" s="11">
        <f>VLOOKUP(IF(J515&lt;10, 10, IF(J515&gt;50,50,J515)),'Over to underbark'!$A$3:$C$43,IF(A515="Scots pine",3,IF(A515="Sitka spruce",2, "error")),TRUE)/100</f>
        <v>0.89</v>
      </c>
      <c r="W515">
        <f t="shared" si="118"/>
        <v>86.210028000000008</v>
      </c>
      <c r="X515">
        <f t="shared" si="119"/>
        <v>2.781072</v>
      </c>
      <c r="Y515">
        <f t="shared" si="120"/>
        <v>10.998899999999997</v>
      </c>
      <c r="Z515">
        <f t="shared" si="122"/>
        <v>51.4295443818</v>
      </c>
      <c r="AA515">
        <f t="shared" si="123"/>
        <v>14.982553079999999</v>
      </c>
      <c r="AB515">
        <f t="shared" si="124"/>
        <v>32.04275079420001</v>
      </c>
      <c r="AC515">
        <f t="shared" si="125"/>
        <v>1.535151744</v>
      </c>
      <c r="AD515">
        <f>LOOKUP($A515,'Over to underbark'!$A$47:$A$48,'Over to underbark'!E$47:E$48)*Z515</f>
        <v>16.971749645994002</v>
      </c>
      <c r="AE515">
        <f>LOOKUP($A515,'Over to underbark'!$A$47:$A$48,'Over to underbark'!E$47:E$48)*AA515</f>
        <v>4.9442425164000001</v>
      </c>
      <c r="AF515">
        <f>LOOKUP($A515,'Over to underbark'!$A$47:$A$48,'Over to underbark'!E$47:E$48)*AB515</f>
        <v>10.574107762086005</v>
      </c>
      <c r="AG515">
        <f>LOOKUP($A515,'Over to underbark'!$A$47:$A$48,'Over to underbark'!E$47:E$48)*AC515</f>
        <v>0.50660007551999997</v>
      </c>
      <c r="AH515" t="b">
        <f t="shared" si="126"/>
        <v>1</v>
      </c>
      <c r="AI515" t="b">
        <f t="shared" si="121"/>
        <v>1</v>
      </c>
      <c r="AJ515">
        <f>LOOKUP(A515,'Over to underbark'!$A$47:$A$48,'Over to underbark'!E$47:E$48)*M515</f>
        <v>36.662999999999997</v>
      </c>
      <c r="AK515" s="22">
        <f>LOOKUP(A515,'Over to underbark'!$A$47:$A$48,'Over to underbark'!$B$47:$B$48)*AJ515</f>
        <v>11.732159999999999</v>
      </c>
      <c r="AL515" s="22">
        <f>LOOKUP(A515,'Over to underbark'!$A$47:$A$48,'Over to underbark'!C$47:C$48)*AJ515</f>
        <v>17.964869999999998</v>
      </c>
      <c r="AM515" s="22">
        <f t="shared" si="127"/>
        <v>48.395159999999997</v>
      </c>
      <c r="AN515" s="36">
        <v>146.65</v>
      </c>
      <c r="AO515" s="23">
        <f t="shared" si="128"/>
        <v>96.790319999999994</v>
      </c>
      <c r="AQ515">
        <f t="shared" si="115"/>
        <v>0.68181818181818199</v>
      </c>
    </row>
    <row r="516" spans="1:43" x14ac:dyDescent="0.35">
      <c r="A516" t="s">
        <v>43</v>
      </c>
      <c r="B516">
        <v>8</v>
      </c>
      <c r="C516">
        <v>2</v>
      </c>
      <c r="D516" t="s">
        <v>42</v>
      </c>
      <c r="E516">
        <v>2</v>
      </c>
      <c r="F516">
        <v>1</v>
      </c>
      <c r="G516" s="12">
        <v>31</v>
      </c>
      <c r="H516" s="12">
        <v>9.5960000000000001</v>
      </c>
      <c r="I516" s="12">
        <v>2252</v>
      </c>
      <c r="J516" s="12">
        <v>13.587999999999999</v>
      </c>
      <c r="K516" s="12">
        <v>32.658999999999999</v>
      </c>
      <c r="L516" s="12">
        <v>5.3999999999999999E-2</v>
      </c>
      <c r="M516" s="19">
        <v>122.64</v>
      </c>
      <c r="N516" s="12">
        <v>4.9000000000000002E-2</v>
      </c>
      <c r="O516" s="13">
        <v>3.956</v>
      </c>
      <c r="P516" s="14">
        <v>31</v>
      </c>
      <c r="Q516" s="14">
        <v>13.587999999999999</v>
      </c>
      <c r="R516" s="14">
        <v>116.434</v>
      </c>
      <c r="S516" s="14">
        <v>6.2060000000000004</v>
      </c>
      <c r="T516" s="10" t="b">
        <f t="shared" si="116"/>
        <v>1</v>
      </c>
      <c r="U516" s="10" t="b">
        <f t="shared" si="117"/>
        <v>1</v>
      </c>
      <c r="V516" s="11">
        <f>VLOOKUP(IF(J516&lt;10, 10, IF(J516&gt;50,50,J516)),'Over to underbark'!$A$3:$C$43,IF(A516="Scots pine",3,IF(A516="Sitka spruce",2, "error")),TRUE)/100</f>
        <v>0.89</v>
      </c>
      <c r="W516">
        <f t="shared" si="118"/>
        <v>93.263633999999996</v>
      </c>
      <c r="X516">
        <f t="shared" si="119"/>
        <v>4.9710060000000009</v>
      </c>
      <c r="Y516">
        <f t="shared" si="120"/>
        <v>12.141359999999999</v>
      </c>
      <c r="Z516">
        <f t="shared" si="122"/>
        <v>56.392574157900007</v>
      </c>
      <c r="AA516">
        <f t="shared" si="123"/>
        <v>16.32967974</v>
      </c>
      <c r="AB516">
        <f t="shared" si="124"/>
        <v>34.909750790099999</v>
      </c>
      <c r="AC516">
        <f t="shared" si="125"/>
        <v>2.7439953120000005</v>
      </c>
      <c r="AD516">
        <f>LOOKUP($A516,'Over to underbark'!$A$47:$A$48,'Over to underbark'!E$47:E$48)*Z516</f>
        <v>18.609549472107002</v>
      </c>
      <c r="AE516">
        <f>LOOKUP($A516,'Over to underbark'!$A$47:$A$48,'Over to underbark'!E$47:E$48)*AA516</f>
        <v>5.3887943142000001</v>
      </c>
      <c r="AF516">
        <f>LOOKUP($A516,'Over to underbark'!$A$47:$A$48,'Over to underbark'!E$47:E$48)*AB516</f>
        <v>11.520217760733001</v>
      </c>
      <c r="AG516">
        <f>LOOKUP($A516,'Over to underbark'!$A$47:$A$48,'Over to underbark'!E$47:E$48)*AC516</f>
        <v>0.90551845296000022</v>
      </c>
      <c r="AH516" t="b">
        <f t="shared" si="126"/>
        <v>1</v>
      </c>
      <c r="AI516" t="b">
        <f t="shared" si="121"/>
        <v>1</v>
      </c>
      <c r="AJ516">
        <f>LOOKUP(A516,'Over to underbark'!$A$47:$A$48,'Over to underbark'!E$47:E$48)*M516</f>
        <v>40.471200000000003</v>
      </c>
      <c r="AK516" s="22">
        <f>LOOKUP(A516,'Over to underbark'!$A$47:$A$48,'Over to underbark'!$B$47:$B$48)*AJ516</f>
        <v>12.950784000000001</v>
      </c>
      <c r="AL516" s="22">
        <f>LOOKUP(A516,'Over to underbark'!$A$47:$A$48,'Over to underbark'!C$47:C$48)*AJ516</f>
        <v>19.830888000000002</v>
      </c>
      <c r="AM516" s="22">
        <f t="shared" si="127"/>
        <v>53.421984000000002</v>
      </c>
      <c r="AN516" s="36">
        <v>161.88</v>
      </c>
      <c r="AO516" s="23">
        <f t="shared" si="128"/>
        <v>106.843968</v>
      </c>
      <c r="AQ516">
        <f t="shared" ref="AQ516:AQ579" si="129">(AD516+AE516+AF516+AG516)/AM516</f>
        <v>0.68181818181818199</v>
      </c>
    </row>
    <row r="517" spans="1:43" x14ac:dyDescent="0.35">
      <c r="A517" t="s">
        <v>43</v>
      </c>
      <c r="B517">
        <v>8</v>
      </c>
      <c r="C517">
        <v>2</v>
      </c>
      <c r="D517" t="s">
        <v>42</v>
      </c>
      <c r="E517">
        <v>2</v>
      </c>
      <c r="F517">
        <v>1</v>
      </c>
      <c r="G517" s="12">
        <v>32</v>
      </c>
      <c r="H517" s="12">
        <v>9.9920000000000009</v>
      </c>
      <c r="I517" s="12">
        <v>2236</v>
      </c>
      <c r="J517" s="12">
        <v>13.923</v>
      </c>
      <c r="K517" s="12">
        <v>34.045000000000002</v>
      </c>
      <c r="L517" s="12">
        <v>0.06</v>
      </c>
      <c r="M517" s="19">
        <v>134.18</v>
      </c>
      <c r="N517" s="12">
        <v>8.8999999999999996E-2</v>
      </c>
      <c r="O517" s="13">
        <v>4.1929999999999996</v>
      </c>
      <c r="P517" s="14">
        <v>32</v>
      </c>
      <c r="Q517" s="14">
        <v>13.923</v>
      </c>
      <c r="R517" s="14">
        <v>124.77200000000001</v>
      </c>
      <c r="S517" s="14">
        <v>9.4079999999999995</v>
      </c>
      <c r="T517" s="10" t="b">
        <f t="shared" si="116"/>
        <v>1</v>
      </c>
      <c r="U517" s="10" t="b">
        <f t="shared" si="117"/>
        <v>1</v>
      </c>
      <c r="V517" s="11">
        <f>VLOOKUP(IF(J517&lt;10, 10, IF(J517&gt;50,50,J517)),'Over to underbark'!$A$3:$C$43,IF(A517="Scots pine",3,IF(A517="Sitka spruce",2, "error")),TRUE)/100</f>
        <v>0.89</v>
      </c>
      <c r="W517">
        <f t="shared" si="118"/>
        <v>99.942372000000006</v>
      </c>
      <c r="X517">
        <f t="shared" si="119"/>
        <v>7.5358080000000003</v>
      </c>
      <c r="Y517">
        <f t="shared" si="120"/>
        <v>13.28382</v>
      </c>
      <c r="Z517">
        <f t="shared" si="122"/>
        <v>61.280873998200001</v>
      </c>
      <c r="AA517">
        <f t="shared" si="123"/>
        <v>17.635570919999999</v>
      </c>
      <c r="AB517">
        <f t="shared" si="124"/>
        <v>37.685789065800002</v>
      </c>
      <c r="AC517">
        <f t="shared" si="125"/>
        <v>4.1597660159999998</v>
      </c>
      <c r="AD517">
        <f>LOOKUP($A517,'Over to underbark'!$A$47:$A$48,'Over to underbark'!E$47:E$48)*Z517</f>
        <v>20.222688419406001</v>
      </c>
      <c r="AE517">
        <f>LOOKUP($A517,'Over to underbark'!$A$47:$A$48,'Over to underbark'!E$47:E$48)*AA517</f>
        <v>5.8197384035999997</v>
      </c>
      <c r="AF517">
        <f>LOOKUP($A517,'Over to underbark'!$A$47:$A$48,'Over to underbark'!E$47:E$48)*AB517</f>
        <v>12.436310391714001</v>
      </c>
      <c r="AG517">
        <f>LOOKUP($A517,'Over to underbark'!$A$47:$A$48,'Over to underbark'!E$47:E$48)*AC517</f>
        <v>1.3727227852799999</v>
      </c>
      <c r="AH517" t="b">
        <f t="shared" si="126"/>
        <v>1</v>
      </c>
      <c r="AI517" t="b">
        <f t="shared" si="121"/>
        <v>1</v>
      </c>
      <c r="AJ517">
        <f>LOOKUP(A517,'Over to underbark'!$A$47:$A$48,'Over to underbark'!E$47:E$48)*M517</f>
        <v>44.279400000000003</v>
      </c>
      <c r="AK517" s="22">
        <f>LOOKUP(A517,'Over to underbark'!$A$47:$A$48,'Over to underbark'!$B$47:$B$48)*AJ517</f>
        <v>14.169408000000001</v>
      </c>
      <c r="AL517" s="22">
        <f>LOOKUP(A517,'Over to underbark'!$A$47:$A$48,'Over to underbark'!C$47:C$48)*AJ517</f>
        <v>21.696906000000002</v>
      </c>
      <c r="AM517" s="22">
        <f t="shared" si="127"/>
        <v>58.448808</v>
      </c>
      <c r="AN517" s="36">
        <v>177.12</v>
      </c>
      <c r="AO517" s="23">
        <f t="shared" si="128"/>
        <v>116.897616</v>
      </c>
      <c r="AQ517">
        <f t="shared" si="129"/>
        <v>0.68181818181818177</v>
      </c>
    </row>
    <row r="518" spans="1:43" x14ac:dyDescent="0.35">
      <c r="A518" t="s">
        <v>43</v>
      </c>
      <c r="B518">
        <v>8</v>
      </c>
      <c r="C518">
        <v>2</v>
      </c>
      <c r="D518" t="s">
        <v>42</v>
      </c>
      <c r="E518">
        <v>2</v>
      </c>
      <c r="F518">
        <v>1</v>
      </c>
      <c r="G518" s="12">
        <v>33</v>
      </c>
      <c r="H518" s="12">
        <v>10.388</v>
      </c>
      <c r="I518" s="12">
        <v>2220</v>
      </c>
      <c r="J518" s="12">
        <v>14.255000000000001</v>
      </c>
      <c r="K518" s="12">
        <v>35.430999999999997</v>
      </c>
      <c r="L518" s="12">
        <v>6.6000000000000003E-2</v>
      </c>
      <c r="M518" s="19">
        <v>145.72</v>
      </c>
      <c r="N518" s="12">
        <v>0.123</v>
      </c>
      <c r="O518" s="13">
        <v>4.4160000000000004</v>
      </c>
      <c r="P518" s="14">
        <v>33</v>
      </c>
      <c r="Q518" s="14">
        <v>14.255000000000001</v>
      </c>
      <c r="R518" s="14">
        <v>132.64400000000001</v>
      </c>
      <c r="S518" s="14">
        <v>13.076000000000001</v>
      </c>
      <c r="T518" s="10" t="b">
        <f t="shared" si="116"/>
        <v>1</v>
      </c>
      <c r="U518" s="10" t="b">
        <f t="shared" si="117"/>
        <v>1</v>
      </c>
      <c r="V518" s="11">
        <f>VLOOKUP(IF(J518&lt;10, 10, IF(J518&gt;50,50,J518)),'Over to underbark'!$A$3:$C$43,IF(A518="Scots pine",3,IF(A518="Sitka spruce",2, "error")),TRUE)/100</f>
        <v>0.9</v>
      </c>
      <c r="W518">
        <f t="shared" si="118"/>
        <v>107.44164000000001</v>
      </c>
      <c r="X518">
        <f t="shared" si="119"/>
        <v>10.591560000000001</v>
      </c>
      <c r="Y518">
        <f t="shared" si="120"/>
        <v>13.114799999999997</v>
      </c>
      <c r="Z518">
        <f t="shared" si="122"/>
        <v>66.100614534000002</v>
      </c>
      <c r="AA518">
        <f t="shared" si="123"/>
        <v>18.3759804</v>
      </c>
      <c r="AB518">
        <f t="shared" si="124"/>
        <v>40.824863946000001</v>
      </c>
      <c r="AC518">
        <f t="shared" si="125"/>
        <v>5.8465411200000004</v>
      </c>
      <c r="AD518">
        <f>LOOKUP($A518,'Over to underbark'!$A$47:$A$48,'Over to underbark'!E$47:E$48)*Z518</f>
        <v>21.813202796220001</v>
      </c>
      <c r="AE518">
        <f>LOOKUP($A518,'Over to underbark'!$A$47:$A$48,'Over to underbark'!E$47:E$48)*AA518</f>
        <v>6.0640735320000001</v>
      </c>
      <c r="AF518">
        <f>LOOKUP($A518,'Over to underbark'!$A$47:$A$48,'Over to underbark'!E$47:E$48)*AB518</f>
        <v>13.47220510218</v>
      </c>
      <c r="AG518">
        <f>LOOKUP($A518,'Over to underbark'!$A$47:$A$48,'Over to underbark'!E$47:E$48)*AC518</f>
        <v>1.9293585696000002</v>
      </c>
      <c r="AH518" t="b">
        <f t="shared" si="126"/>
        <v>1</v>
      </c>
      <c r="AI518" t="b">
        <f t="shared" si="121"/>
        <v>1</v>
      </c>
      <c r="AJ518">
        <f>LOOKUP(A518,'Over to underbark'!$A$47:$A$48,'Over to underbark'!E$47:E$48)*M518</f>
        <v>48.087600000000002</v>
      </c>
      <c r="AK518" s="22">
        <f>LOOKUP(A518,'Over to underbark'!$A$47:$A$48,'Over to underbark'!$B$47:$B$48)*AJ518</f>
        <v>15.388032000000001</v>
      </c>
      <c r="AL518" s="22">
        <f>LOOKUP(A518,'Over to underbark'!$A$47:$A$48,'Over to underbark'!C$47:C$48)*AJ518</f>
        <v>23.562923999999999</v>
      </c>
      <c r="AM518" s="22">
        <f t="shared" si="127"/>
        <v>63.475632000000004</v>
      </c>
      <c r="AN518" s="36">
        <v>192.35</v>
      </c>
      <c r="AO518" s="23">
        <f t="shared" si="128"/>
        <v>126.95126400000001</v>
      </c>
      <c r="AQ518">
        <f t="shared" si="129"/>
        <v>0.68181818181818166</v>
      </c>
    </row>
    <row r="519" spans="1:43" x14ac:dyDescent="0.35">
      <c r="A519" t="s">
        <v>43</v>
      </c>
      <c r="B519">
        <v>8</v>
      </c>
      <c r="C519">
        <v>2</v>
      </c>
      <c r="D519" t="s">
        <v>42</v>
      </c>
      <c r="E519">
        <v>2</v>
      </c>
      <c r="F519">
        <v>1</v>
      </c>
      <c r="G519" s="12">
        <v>34</v>
      </c>
      <c r="H519" s="12">
        <v>10.784000000000001</v>
      </c>
      <c r="I519" s="12">
        <v>2204</v>
      </c>
      <c r="J519" s="12">
        <v>14.584</v>
      </c>
      <c r="K519" s="12">
        <v>36.817</v>
      </c>
      <c r="L519" s="12">
        <v>7.0999999999999994E-2</v>
      </c>
      <c r="M519" s="19">
        <v>157.26</v>
      </c>
      <c r="N519" s="12">
        <v>0.152</v>
      </c>
      <c r="O519" s="13">
        <v>4.625</v>
      </c>
      <c r="P519" s="14">
        <v>34</v>
      </c>
      <c r="Q519" s="14">
        <v>14.584</v>
      </c>
      <c r="R519" s="14">
        <v>140.054</v>
      </c>
      <c r="S519" s="14">
        <v>17.206</v>
      </c>
      <c r="T519" s="10" t="b">
        <f t="shared" si="116"/>
        <v>1</v>
      </c>
      <c r="U519" s="10" t="b">
        <f t="shared" si="117"/>
        <v>1</v>
      </c>
      <c r="V519" s="11">
        <f>VLOOKUP(IF(J519&lt;10, 10, IF(J519&gt;50,50,J519)),'Over to underbark'!$A$3:$C$43,IF(A519="Scots pine",3,IF(A519="Sitka spruce",2, "error")),TRUE)/100</f>
        <v>0.9</v>
      </c>
      <c r="W519">
        <f t="shared" si="118"/>
        <v>113.44374000000001</v>
      </c>
      <c r="X519">
        <f t="shared" si="119"/>
        <v>13.936860000000001</v>
      </c>
      <c r="Y519">
        <f t="shared" si="120"/>
        <v>14.153399999999996</v>
      </c>
      <c r="Z519">
        <f t="shared" si="122"/>
        <v>70.83564336900001</v>
      </c>
      <c r="AA519">
        <f t="shared" si="123"/>
        <v>19.5555114</v>
      </c>
      <c r="AB519">
        <f t="shared" si="124"/>
        <v>43.449698511000001</v>
      </c>
      <c r="AC519">
        <f t="shared" si="125"/>
        <v>7.6931467200000005</v>
      </c>
      <c r="AD519">
        <f>LOOKUP($A519,'Over to underbark'!$A$47:$A$48,'Over to underbark'!E$47:E$48)*Z519</f>
        <v>23.375762311770004</v>
      </c>
      <c r="AE519">
        <f>LOOKUP($A519,'Over to underbark'!$A$47:$A$48,'Over to underbark'!E$47:E$48)*AA519</f>
        <v>6.4533187620000003</v>
      </c>
      <c r="AF519">
        <f>LOOKUP($A519,'Over to underbark'!$A$47:$A$48,'Over to underbark'!E$47:E$48)*AB519</f>
        <v>14.33840050863</v>
      </c>
      <c r="AG519">
        <f>LOOKUP($A519,'Over to underbark'!$A$47:$A$48,'Over to underbark'!E$47:E$48)*AC519</f>
        <v>2.5387384176000003</v>
      </c>
      <c r="AH519" t="b">
        <f t="shared" si="126"/>
        <v>1</v>
      </c>
      <c r="AI519" t="b">
        <f t="shared" si="121"/>
        <v>1</v>
      </c>
      <c r="AJ519">
        <f>LOOKUP(A519,'Over to underbark'!$A$47:$A$48,'Over to underbark'!E$47:E$48)*M519</f>
        <v>51.895800000000001</v>
      </c>
      <c r="AK519" s="22">
        <f>LOOKUP(A519,'Over to underbark'!$A$47:$A$48,'Over to underbark'!$B$47:$B$48)*AJ519</f>
        <v>16.606656000000001</v>
      </c>
      <c r="AL519" s="22">
        <f>LOOKUP(A519,'Over to underbark'!$A$47:$A$48,'Over to underbark'!C$47:C$48)*AJ519</f>
        <v>25.428941999999999</v>
      </c>
      <c r="AM519" s="22">
        <f t="shared" si="127"/>
        <v>68.502455999999995</v>
      </c>
      <c r="AN519" s="36">
        <v>207.58</v>
      </c>
      <c r="AO519" s="23">
        <f t="shared" si="128"/>
        <v>137.00491199999999</v>
      </c>
      <c r="AQ519">
        <f t="shared" si="129"/>
        <v>0.68181818181818199</v>
      </c>
    </row>
    <row r="520" spans="1:43" x14ac:dyDescent="0.35">
      <c r="A520" t="s">
        <v>43</v>
      </c>
      <c r="B520">
        <v>8</v>
      </c>
      <c r="C520">
        <v>2</v>
      </c>
      <c r="D520" t="s">
        <v>42</v>
      </c>
      <c r="E520">
        <v>2</v>
      </c>
      <c r="F520">
        <v>1</v>
      </c>
      <c r="G520" s="12">
        <v>35</v>
      </c>
      <c r="H520" s="12">
        <v>11.18</v>
      </c>
      <c r="I520" s="12">
        <v>2188</v>
      </c>
      <c r="J520" s="12">
        <v>14.91</v>
      </c>
      <c r="K520" s="12">
        <v>38.203000000000003</v>
      </c>
      <c r="L520" s="12">
        <v>7.6999999999999999E-2</v>
      </c>
      <c r="M520" s="19">
        <v>168.8</v>
      </c>
      <c r="N520" s="12">
        <v>0.17699999999999999</v>
      </c>
      <c r="O520" s="13">
        <v>4.8230000000000004</v>
      </c>
      <c r="P520" s="14">
        <v>35</v>
      </c>
      <c r="Q520" s="14">
        <v>14.91</v>
      </c>
      <c r="R520" s="14">
        <v>147.00899999999999</v>
      </c>
      <c r="S520" s="14">
        <v>21.791</v>
      </c>
      <c r="T520" s="10" t="b">
        <f t="shared" si="116"/>
        <v>1</v>
      </c>
      <c r="U520" s="10" t="b">
        <f t="shared" si="117"/>
        <v>1</v>
      </c>
      <c r="V520" s="11">
        <f>VLOOKUP(IF(J520&lt;10, 10, IF(J520&gt;50,50,J520)),'Over to underbark'!$A$3:$C$43,IF(A520="Scots pine",3,IF(A520="Sitka spruce",2, "error")),TRUE)/100</f>
        <v>0.9</v>
      </c>
      <c r="W520">
        <f t="shared" si="118"/>
        <v>119.07729</v>
      </c>
      <c r="X520">
        <f t="shared" si="119"/>
        <v>17.650710000000004</v>
      </c>
      <c r="Y520">
        <f t="shared" si="120"/>
        <v>15.191999999999995</v>
      </c>
      <c r="Z520">
        <f t="shared" si="122"/>
        <v>75.497201761500008</v>
      </c>
      <c r="AA520">
        <f t="shared" si="123"/>
        <v>20.694501899999999</v>
      </c>
      <c r="AB520">
        <f t="shared" si="124"/>
        <v>45.985104418500001</v>
      </c>
      <c r="AC520">
        <f t="shared" si="125"/>
        <v>9.7431919200000028</v>
      </c>
      <c r="AD520">
        <f>LOOKUP($A520,'Over to underbark'!$A$47:$A$48,'Over to underbark'!E$47:E$48)*Z520</f>
        <v>24.914076581295003</v>
      </c>
      <c r="AE520">
        <f>LOOKUP($A520,'Over to underbark'!$A$47:$A$48,'Over to underbark'!E$47:E$48)*AA520</f>
        <v>6.8291856270000002</v>
      </c>
      <c r="AF520">
        <f>LOOKUP($A520,'Over to underbark'!$A$47:$A$48,'Over to underbark'!E$47:E$48)*AB520</f>
        <v>15.175084458105001</v>
      </c>
      <c r="AG520">
        <f>LOOKUP($A520,'Over to underbark'!$A$47:$A$48,'Over to underbark'!E$47:E$48)*AC520</f>
        <v>3.2152533336000011</v>
      </c>
      <c r="AH520" t="b">
        <f t="shared" si="126"/>
        <v>1</v>
      </c>
      <c r="AI520" t="b">
        <f t="shared" si="121"/>
        <v>1</v>
      </c>
      <c r="AJ520">
        <f>LOOKUP(A520,'Over to underbark'!$A$47:$A$48,'Over to underbark'!E$47:E$48)*M520</f>
        <v>55.704000000000008</v>
      </c>
      <c r="AK520" s="22">
        <f>LOOKUP(A520,'Over to underbark'!$A$47:$A$48,'Over to underbark'!$B$47:$B$48)*AJ520</f>
        <v>17.825280000000003</v>
      </c>
      <c r="AL520" s="22">
        <f>LOOKUP(A520,'Over to underbark'!$A$47:$A$48,'Over to underbark'!C$47:C$48)*AJ520</f>
        <v>27.294960000000003</v>
      </c>
      <c r="AM520" s="22">
        <f t="shared" si="127"/>
        <v>73.529280000000014</v>
      </c>
      <c r="AN520" s="36">
        <v>222.82</v>
      </c>
      <c r="AO520" s="23">
        <f t="shared" si="128"/>
        <v>147.05856000000003</v>
      </c>
      <c r="AQ520">
        <f t="shared" si="129"/>
        <v>0.68181818181818177</v>
      </c>
    </row>
    <row r="521" spans="1:43" x14ac:dyDescent="0.35">
      <c r="A521" t="s">
        <v>43</v>
      </c>
      <c r="B521">
        <v>8</v>
      </c>
      <c r="C521">
        <v>2</v>
      </c>
      <c r="D521" t="s">
        <v>42</v>
      </c>
      <c r="E521">
        <v>2</v>
      </c>
      <c r="F521">
        <v>1</v>
      </c>
      <c r="G521" s="12">
        <v>36</v>
      </c>
      <c r="H521" s="12">
        <v>11.542</v>
      </c>
      <c r="I521" s="12">
        <v>2166</v>
      </c>
      <c r="J521" s="12">
        <v>15.221</v>
      </c>
      <c r="K521" s="12">
        <v>39.414000000000001</v>
      </c>
      <c r="L521" s="12">
        <v>8.4000000000000005E-2</v>
      </c>
      <c r="M521" s="19">
        <v>181.28</v>
      </c>
      <c r="N521" s="12">
        <v>0.31900000000000001</v>
      </c>
      <c r="O521" s="13">
        <v>5.0359999999999996</v>
      </c>
      <c r="P521" s="14">
        <v>36</v>
      </c>
      <c r="Q521" s="14">
        <v>15.221</v>
      </c>
      <c r="R521" s="14">
        <v>154.44900000000001</v>
      </c>
      <c r="S521" s="14">
        <v>26.831</v>
      </c>
      <c r="T521" s="10" t="b">
        <f t="shared" si="116"/>
        <v>1</v>
      </c>
      <c r="U521" s="10" t="b">
        <f t="shared" si="117"/>
        <v>1</v>
      </c>
      <c r="V521" s="11">
        <f>VLOOKUP(IF(J521&lt;10, 10, IF(J521&gt;50,50,J521)),'Over to underbark'!$A$3:$C$43,IF(A521="Scots pine",3,IF(A521="Sitka spruce",2, "error")),TRUE)/100</f>
        <v>0.9</v>
      </c>
      <c r="W521">
        <f t="shared" si="118"/>
        <v>125.10369000000003</v>
      </c>
      <c r="X521">
        <f t="shared" si="119"/>
        <v>21.73311</v>
      </c>
      <c r="Y521">
        <f t="shared" si="120"/>
        <v>16.315199999999997</v>
      </c>
      <c r="Z521">
        <f t="shared" si="122"/>
        <v>80.525307001500039</v>
      </c>
      <c r="AA521">
        <f t="shared" si="123"/>
        <v>21.919005900000002</v>
      </c>
      <c r="AB521">
        <f t="shared" si="124"/>
        <v>48.711010378500013</v>
      </c>
      <c r="AC521">
        <f t="shared" si="125"/>
        <v>11.99667672</v>
      </c>
      <c r="AD521">
        <f>LOOKUP($A521,'Over to underbark'!$A$47:$A$48,'Over to underbark'!E$47:E$48)*Z521</f>
        <v>26.573351310495013</v>
      </c>
      <c r="AE521">
        <f>LOOKUP($A521,'Over to underbark'!$A$47:$A$48,'Over to underbark'!E$47:E$48)*AA521</f>
        <v>7.2332719470000013</v>
      </c>
      <c r="AF521">
        <f>LOOKUP($A521,'Over to underbark'!$A$47:$A$48,'Over to underbark'!E$47:E$48)*AB521</f>
        <v>16.074633424905006</v>
      </c>
      <c r="AG521">
        <f>LOOKUP($A521,'Over to underbark'!$A$47:$A$48,'Over to underbark'!E$47:E$48)*AC521</f>
        <v>3.9589033176000004</v>
      </c>
      <c r="AH521" t="b">
        <f t="shared" si="126"/>
        <v>1</v>
      </c>
      <c r="AI521" t="b">
        <f t="shared" si="121"/>
        <v>1</v>
      </c>
      <c r="AJ521">
        <f>LOOKUP(A521,'Over to underbark'!$A$47:$A$48,'Over to underbark'!E$47:E$48)*M521</f>
        <v>59.822400000000002</v>
      </c>
      <c r="AK521" s="22">
        <f>LOOKUP(A521,'Over to underbark'!$A$47:$A$48,'Over to underbark'!$B$47:$B$48)*AJ521</f>
        <v>19.143167999999999</v>
      </c>
      <c r="AL521" s="22">
        <f>LOOKUP(A521,'Over to underbark'!$A$47:$A$48,'Over to underbark'!C$47:C$48)*AJ521</f>
        <v>29.312975999999999</v>
      </c>
      <c r="AM521" s="22">
        <f t="shared" si="127"/>
        <v>78.965568000000005</v>
      </c>
      <c r="AN521" s="36">
        <v>239.29</v>
      </c>
      <c r="AO521" s="23">
        <f t="shared" si="128"/>
        <v>157.93113600000001</v>
      </c>
      <c r="AQ521">
        <f t="shared" si="129"/>
        <v>0.68181818181818199</v>
      </c>
    </row>
    <row r="522" spans="1:43" x14ac:dyDescent="0.35">
      <c r="A522" t="s">
        <v>43</v>
      </c>
      <c r="B522">
        <v>8</v>
      </c>
      <c r="C522">
        <v>2</v>
      </c>
      <c r="D522" t="s">
        <v>42</v>
      </c>
      <c r="E522">
        <v>2</v>
      </c>
      <c r="F522">
        <v>1</v>
      </c>
      <c r="G522" s="12">
        <v>37</v>
      </c>
      <c r="H522" s="12">
        <v>11.904</v>
      </c>
      <c r="I522" s="12">
        <v>2144</v>
      </c>
      <c r="J522" s="12">
        <v>15.532999999999999</v>
      </c>
      <c r="K522" s="12">
        <v>40.625999999999998</v>
      </c>
      <c r="L522" s="12">
        <v>0.09</v>
      </c>
      <c r="M522" s="19">
        <v>193.76</v>
      </c>
      <c r="N522" s="12">
        <v>0.442</v>
      </c>
      <c r="O522" s="13">
        <v>5.2370000000000001</v>
      </c>
      <c r="P522" s="14">
        <v>37</v>
      </c>
      <c r="Q522" s="14">
        <v>15.532999999999999</v>
      </c>
      <c r="R522" s="14">
        <v>161.387</v>
      </c>
      <c r="S522" s="14">
        <v>32.372999999999998</v>
      </c>
      <c r="T522" s="10" t="b">
        <f t="shared" si="116"/>
        <v>1</v>
      </c>
      <c r="U522" s="10" t="b">
        <f t="shared" si="117"/>
        <v>1</v>
      </c>
      <c r="V522" s="11">
        <f>VLOOKUP(IF(J522&lt;10, 10, IF(J522&gt;50,50,J522)),'Over to underbark'!$A$3:$C$43,IF(A522="Scots pine",3,IF(A522="Sitka spruce",2, "error")),TRUE)/100</f>
        <v>0.9</v>
      </c>
      <c r="W522">
        <f t="shared" si="118"/>
        <v>130.72346999999999</v>
      </c>
      <c r="X522">
        <f t="shared" si="119"/>
        <v>26.22213</v>
      </c>
      <c r="Y522">
        <f t="shared" si="120"/>
        <v>17.438399999999994</v>
      </c>
      <c r="Z522">
        <f t="shared" si="122"/>
        <v>85.472352544499998</v>
      </c>
      <c r="AA522">
        <f t="shared" si="123"/>
        <v>23.098781699999996</v>
      </c>
      <c r="AB522">
        <f t="shared" si="124"/>
        <v>51.338249995499993</v>
      </c>
      <c r="AC522">
        <f t="shared" si="125"/>
        <v>14.474615759999999</v>
      </c>
      <c r="AD522">
        <f>LOOKUP($A522,'Over to underbark'!$A$47:$A$48,'Over to underbark'!E$47:E$48)*Z522</f>
        <v>28.205876339685002</v>
      </c>
      <c r="AE522">
        <f>LOOKUP($A522,'Over to underbark'!$A$47:$A$48,'Over to underbark'!E$47:E$48)*AA522</f>
        <v>7.6225979609999994</v>
      </c>
      <c r="AF522">
        <f>LOOKUP($A522,'Over to underbark'!$A$47:$A$48,'Over to underbark'!E$47:E$48)*AB522</f>
        <v>16.941622498514999</v>
      </c>
      <c r="AG522">
        <f>LOOKUP($A522,'Over to underbark'!$A$47:$A$48,'Over to underbark'!E$47:E$48)*AC522</f>
        <v>4.7766232007999996</v>
      </c>
      <c r="AH522" t="b">
        <f t="shared" si="126"/>
        <v>1</v>
      </c>
      <c r="AI522" t="b">
        <f t="shared" si="121"/>
        <v>1</v>
      </c>
      <c r="AJ522">
        <f>LOOKUP(A522,'Over to underbark'!$A$47:$A$48,'Over to underbark'!E$47:E$48)*M522</f>
        <v>63.940800000000003</v>
      </c>
      <c r="AK522" s="22">
        <f>LOOKUP(A522,'Over to underbark'!$A$47:$A$48,'Over to underbark'!$B$47:$B$48)*AJ522</f>
        <v>20.461056000000003</v>
      </c>
      <c r="AL522" s="22">
        <f>LOOKUP(A522,'Over to underbark'!$A$47:$A$48,'Over to underbark'!C$47:C$48)*AJ522</f>
        <v>31.330992000000002</v>
      </c>
      <c r="AM522" s="22">
        <f t="shared" si="127"/>
        <v>84.401856000000009</v>
      </c>
      <c r="AN522" s="36">
        <v>255.76</v>
      </c>
      <c r="AO522" s="23">
        <f t="shared" si="128"/>
        <v>168.80371200000002</v>
      </c>
      <c r="AQ522">
        <f t="shared" si="129"/>
        <v>0.68181818181818188</v>
      </c>
    </row>
    <row r="523" spans="1:43" x14ac:dyDescent="0.35">
      <c r="A523" t="s">
        <v>43</v>
      </c>
      <c r="B523">
        <v>8</v>
      </c>
      <c r="C523">
        <v>2</v>
      </c>
      <c r="D523" t="s">
        <v>42</v>
      </c>
      <c r="E523">
        <v>2</v>
      </c>
      <c r="F523">
        <v>1</v>
      </c>
      <c r="G523" s="12">
        <v>38</v>
      </c>
      <c r="H523" s="12">
        <v>12.266</v>
      </c>
      <c r="I523" s="12">
        <v>2123</v>
      </c>
      <c r="J523" s="12">
        <v>15.84</v>
      </c>
      <c r="K523" s="12">
        <v>41.837000000000003</v>
      </c>
      <c r="L523" s="12">
        <v>9.7000000000000003E-2</v>
      </c>
      <c r="M523" s="19">
        <v>206.24</v>
      </c>
      <c r="N523" s="12">
        <v>0.55000000000000004</v>
      </c>
      <c r="O523" s="13">
        <v>5.4269999999999996</v>
      </c>
      <c r="P523" s="14">
        <v>38</v>
      </c>
      <c r="Q523" s="14">
        <v>15.84</v>
      </c>
      <c r="R523" s="14">
        <v>167.9</v>
      </c>
      <c r="S523" s="14">
        <v>38.340000000000003</v>
      </c>
      <c r="T523" s="10" t="b">
        <f t="shared" ref="T523:T586" si="130">G523=P523</f>
        <v>1</v>
      </c>
      <c r="U523" s="10" t="b">
        <f t="shared" ref="U523:U586" si="131">J523=Q523</f>
        <v>1</v>
      </c>
      <c r="V523" s="11">
        <f>VLOOKUP(IF(J523&lt;10, 10, IF(J523&gt;50,50,J523)),'Over to underbark'!$A$3:$C$43,IF(A523="Scots pine",3,IF(A523="Sitka spruce",2, "error")),TRUE)/100</f>
        <v>0.9</v>
      </c>
      <c r="W523">
        <f t="shared" ref="W523:W586" si="132">R523*0.9*V523</f>
        <v>135.99900000000002</v>
      </c>
      <c r="X523">
        <f t="shared" ref="X523:X586" si="133">S523*0.9*V523</f>
        <v>31.055400000000006</v>
      </c>
      <c r="Y523">
        <f t="shared" ref="Y523:Y586" si="134">(R523+S523)*0.9*(100%-V523)</f>
        <v>18.561599999999999</v>
      </c>
      <c r="Z523">
        <f t="shared" si="122"/>
        <v>90.350771850000001</v>
      </c>
      <c r="AA523">
        <f t="shared" si="123"/>
        <v>24.240690000000001</v>
      </c>
      <c r="AB523">
        <f t="shared" si="124"/>
        <v>53.881957350000008</v>
      </c>
      <c r="AC523">
        <f t="shared" si="125"/>
        <v>17.142580800000005</v>
      </c>
      <c r="AD523">
        <f>LOOKUP($A523,'Over to underbark'!$A$47:$A$48,'Over to underbark'!E$47:E$48)*Z523</f>
        <v>29.815754710500002</v>
      </c>
      <c r="AE523">
        <f>LOOKUP($A523,'Over to underbark'!$A$47:$A$48,'Over to underbark'!E$47:E$48)*AA523</f>
        <v>7.9994277000000009</v>
      </c>
      <c r="AF523">
        <f>LOOKUP($A523,'Over to underbark'!$A$47:$A$48,'Over to underbark'!E$47:E$48)*AB523</f>
        <v>17.781045925500003</v>
      </c>
      <c r="AG523">
        <f>LOOKUP($A523,'Over to underbark'!$A$47:$A$48,'Over to underbark'!E$47:E$48)*AC523</f>
        <v>5.6570516640000017</v>
      </c>
      <c r="AH523" t="b">
        <f t="shared" si="126"/>
        <v>1</v>
      </c>
      <c r="AI523" t="b">
        <f t="shared" ref="AI523:AI586" si="135">SUM(R523:S523)*0.9 = SUM(W523:Y523)</f>
        <v>1</v>
      </c>
      <c r="AJ523">
        <f>LOOKUP(A523,'Over to underbark'!$A$47:$A$48,'Over to underbark'!E$47:E$48)*M523</f>
        <v>68.059200000000004</v>
      </c>
      <c r="AK523" s="22">
        <f>LOOKUP(A523,'Over to underbark'!$A$47:$A$48,'Over to underbark'!$B$47:$B$48)*AJ523</f>
        <v>21.778944000000003</v>
      </c>
      <c r="AL523" s="22">
        <f>LOOKUP(A523,'Over to underbark'!$A$47:$A$48,'Over to underbark'!C$47:C$48)*AJ523</f>
        <v>33.349008000000005</v>
      </c>
      <c r="AM523" s="22">
        <f t="shared" si="127"/>
        <v>89.838144</v>
      </c>
      <c r="AN523" s="36">
        <v>272.24</v>
      </c>
      <c r="AO523" s="23">
        <f t="shared" si="128"/>
        <v>179.676288</v>
      </c>
      <c r="AQ523">
        <f t="shared" si="129"/>
        <v>0.68181818181818188</v>
      </c>
    </row>
    <row r="524" spans="1:43" x14ac:dyDescent="0.35">
      <c r="A524" t="s">
        <v>43</v>
      </c>
      <c r="B524">
        <v>8</v>
      </c>
      <c r="C524">
        <v>2</v>
      </c>
      <c r="D524" t="s">
        <v>42</v>
      </c>
      <c r="E524">
        <v>2</v>
      </c>
      <c r="F524">
        <v>1</v>
      </c>
      <c r="G524" s="12">
        <v>39</v>
      </c>
      <c r="H524" s="12">
        <v>12.628</v>
      </c>
      <c r="I524" s="12">
        <v>2101</v>
      </c>
      <c r="J524" s="12">
        <v>16.152000000000001</v>
      </c>
      <c r="K524" s="12">
        <v>43.048999999999999</v>
      </c>
      <c r="L524" s="12">
        <v>0.104</v>
      </c>
      <c r="M524" s="19">
        <v>218.72</v>
      </c>
      <c r="N524" s="12">
        <v>0.64500000000000002</v>
      </c>
      <c r="O524" s="13">
        <v>5.6079999999999997</v>
      </c>
      <c r="P524" s="14">
        <v>39</v>
      </c>
      <c r="Q524" s="14">
        <v>16.152000000000001</v>
      </c>
      <c r="R524" s="14">
        <v>173.87</v>
      </c>
      <c r="S524" s="14">
        <v>44.85</v>
      </c>
      <c r="T524" s="10" t="b">
        <f t="shared" si="130"/>
        <v>1</v>
      </c>
      <c r="U524" s="10" t="b">
        <f t="shared" si="131"/>
        <v>1</v>
      </c>
      <c r="V524" s="11">
        <f>VLOOKUP(IF(J524&lt;10, 10, IF(J524&gt;50,50,J524)),'Over to underbark'!$A$3:$C$43,IF(A524="Scots pine",3,IF(A524="Sitka spruce",2, "error")),TRUE)/100</f>
        <v>0.89</v>
      </c>
      <c r="W524">
        <f t="shared" si="132"/>
        <v>139.26987</v>
      </c>
      <c r="X524">
        <f t="shared" si="133"/>
        <v>35.924849999999999</v>
      </c>
      <c r="Y524">
        <f t="shared" si="134"/>
        <v>21.653279999999999</v>
      </c>
      <c r="Z524">
        <f t="shared" si="122"/>
        <v>95.177983144500004</v>
      </c>
      <c r="AA524">
        <f t="shared" si="123"/>
        <v>26.146325699999998</v>
      </c>
      <c r="AB524">
        <f t="shared" si="124"/>
        <v>55.693173955499994</v>
      </c>
      <c r="AC524">
        <f t="shared" si="125"/>
        <v>19.830517199999999</v>
      </c>
      <c r="AD524">
        <f>LOOKUP($A524,'Over to underbark'!$A$47:$A$48,'Over to underbark'!E$47:E$48)*Z524</f>
        <v>31.408734437685002</v>
      </c>
      <c r="AE524">
        <f>LOOKUP($A524,'Over to underbark'!$A$47:$A$48,'Over to underbark'!E$47:E$48)*AA524</f>
        <v>8.6282874809999992</v>
      </c>
      <c r="AF524">
        <f>LOOKUP($A524,'Over to underbark'!$A$47:$A$48,'Over to underbark'!E$47:E$48)*AB524</f>
        <v>18.378747405315</v>
      </c>
      <c r="AG524">
        <f>LOOKUP($A524,'Over to underbark'!$A$47:$A$48,'Over to underbark'!E$47:E$48)*AC524</f>
        <v>6.5440706760000005</v>
      </c>
      <c r="AH524" t="b">
        <f t="shared" si="126"/>
        <v>1</v>
      </c>
      <c r="AI524" t="b">
        <f t="shared" si="135"/>
        <v>1</v>
      </c>
      <c r="AJ524">
        <f>LOOKUP(A524,'Over to underbark'!$A$47:$A$48,'Over to underbark'!E$47:E$48)*M524</f>
        <v>72.177599999999998</v>
      </c>
      <c r="AK524" s="22">
        <f>LOOKUP(A524,'Over to underbark'!$A$47:$A$48,'Over to underbark'!$B$47:$B$48)*AJ524</f>
        <v>23.096831999999999</v>
      </c>
      <c r="AL524" s="22">
        <f>LOOKUP(A524,'Over to underbark'!$A$47:$A$48,'Over to underbark'!C$47:C$48)*AJ524</f>
        <v>35.367024000000001</v>
      </c>
      <c r="AM524" s="22">
        <f t="shared" si="127"/>
        <v>95.27443199999999</v>
      </c>
      <c r="AN524" s="36">
        <v>288.70999999999998</v>
      </c>
      <c r="AO524" s="23">
        <f t="shared" si="128"/>
        <v>190.54886399999998</v>
      </c>
      <c r="AQ524">
        <f t="shared" si="129"/>
        <v>0.68181818181818188</v>
      </c>
    </row>
    <row r="525" spans="1:43" x14ac:dyDescent="0.35">
      <c r="A525" t="s">
        <v>43</v>
      </c>
      <c r="B525">
        <v>8</v>
      </c>
      <c r="C525">
        <v>2</v>
      </c>
      <c r="D525" t="s">
        <v>42</v>
      </c>
      <c r="E525">
        <v>2</v>
      </c>
      <c r="F525">
        <v>1</v>
      </c>
      <c r="G525" s="12">
        <v>40</v>
      </c>
      <c r="H525" s="12">
        <v>12.99</v>
      </c>
      <c r="I525" s="12">
        <v>2080</v>
      </c>
      <c r="J525" s="12">
        <v>16.46</v>
      </c>
      <c r="K525" s="12">
        <v>44.26</v>
      </c>
      <c r="L525" s="12">
        <v>0.111</v>
      </c>
      <c r="M525" s="19">
        <v>231.2</v>
      </c>
      <c r="N525" s="12">
        <v>0.73</v>
      </c>
      <c r="O525" s="13">
        <v>5.78</v>
      </c>
      <c r="P525" s="14">
        <v>40</v>
      </c>
      <c r="Q525" s="14">
        <v>16.46</v>
      </c>
      <c r="R525" s="14">
        <v>179.42099999999999</v>
      </c>
      <c r="S525" s="14">
        <v>51.779000000000003</v>
      </c>
      <c r="T525" s="10" t="b">
        <f t="shared" si="130"/>
        <v>1</v>
      </c>
      <c r="U525" s="10" t="b">
        <f t="shared" si="131"/>
        <v>1</v>
      </c>
      <c r="V525" s="11">
        <f>VLOOKUP(IF(J525&lt;10, 10, IF(J525&gt;50,50,J525)),'Over to underbark'!$A$3:$C$43,IF(A525="Scots pine",3,IF(A525="Sitka spruce",2, "error")),TRUE)/100</f>
        <v>0.89</v>
      </c>
      <c r="W525">
        <f t="shared" si="132"/>
        <v>143.71622100000002</v>
      </c>
      <c r="X525">
        <f t="shared" si="133"/>
        <v>41.474979000000005</v>
      </c>
      <c r="Y525">
        <f t="shared" si="134"/>
        <v>22.888799999999996</v>
      </c>
      <c r="Z525">
        <f t="shared" si="122"/>
        <v>99.91098625635</v>
      </c>
      <c r="AA525">
        <f t="shared" si="123"/>
        <v>27.253184310000002</v>
      </c>
      <c r="AB525">
        <f t="shared" si="124"/>
        <v>58.021641025650005</v>
      </c>
      <c r="AC525">
        <f t="shared" si="125"/>
        <v>22.894188408000005</v>
      </c>
      <c r="AD525">
        <f>LOOKUP($A525,'Over to underbark'!$A$47:$A$48,'Over to underbark'!E$47:E$48)*Z525</f>
        <v>32.9706254645955</v>
      </c>
      <c r="AE525">
        <f>LOOKUP($A525,'Over to underbark'!$A$47:$A$48,'Over to underbark'!E$47:E$48)*AA525</f>
        <v>8.9935508223000014</v>
      </c>
      <c r="AF525">
        <f>LOOKUP($A525,'Over to underbark'!$A$47:$A$48,'Over to underbark'!E$47:E$48)*AB525</f>
        <v>19.147141538464503</v>
      </c>
      <c r="AG525">
        <f>LOOKUP($A525,'Over to underbark'!$A$47:$A$48,'Over to underbark'!E$47:E$48)*AC525</f>
        <v>7.5550821746400016</v>
      </c>
      <c r="AH525" t="b">
        <f t="shared" si="126"/>
        <v>1</v>
      </c>
      <c r="AI525" t="b">
        <f t="shared" si="135"/>
        <v>1</v>
      </c>
      <c r="AJ525">
        <f>LOOKUP(A525,'Over to underbark'!$A$47:$A$48,'Over to underbark'!E$47:E$48)*M525</f>
        <v>76.296000000000006</v>
      </c>
      <c r="AK525" s="22">
        <f>LOOKUP(A525,'Over to underbark'!$A$47:$A$48,'Over to underbark'!$B$47:$B$48)*AJ525</f>
        <v>24.414720000000003</v>
      </c>
      <c r="AL525" s="22">
        <f>LOOKUP(A525,'Over to underbark'!$A$47:$A$48,'Over to underbark'!C$47:C$48)*AJ525</f>
        <v>37.385040000000004</v>
      </c>
      <c r="AM525" s="22">
        <f t="shared" si="127"/>
        <v>100.71072000000001</v>
      </c>
      <c r="AN525" s="36">
        <v>305.18</v>
      </c>
      <c r="AO525" s="23">
        <f t="shared" si="128"/>
        <v>201.42144000000002</v>
      </c>
      <c r="AQ525">
        <f t="shared" si="129"/>
        <v>0.68181818181818188</v>
      </c>
    </row>
    <row r="526" spans="1:43" x14ac:dyDescent="0.35">
      <c r="A526" t="s">
        <v>43</v>
      </c>
      <c r="B526">
        <v>8</v>
      </c>
      <c r="C526">
        <v>2</v>
      </c>
      <c r="D526" t="s">
        <v>42</v>
      </c>
      <c r="E526">
        <v>2</v>
      </c>
      <c r="F526">
        <v>1</v>
      </c>
      <c r="G526" s="12">
        <v>41</v>
      </c>
      <c r="H526" s="12">
        <v>13.321999999999999</v>
      </c>
      <c r="I526" s="12">
        <v>2052</v>
      </c>
      <c r="J526" s="12">
        <v>16.742000000000001</v>
      </c>
      <c r="K526" s="12">
        <v>45.171999999999997</v>
      </c>
      <c r="L526" s="12">
        <v>0.11899999999999999</v>
      </c>
      <c r="M526" s="19">
        <v>243.6</v>
      </c>
      <c r="N526" s="12">
        <v>0.879</v>
      </c>
      <c r="O526" s="13">
        <v>5.9409999999999998</v>
      </c>
      <c r="P526" s="14">
        <v>41</v>
      </c>
      <c r="Q526" s="14">
        <v>16.742000000000001</v>
      </c>
      <c r="R526" s="14">
        <v>184.83500000000001</v>
      </c>
      <c r="S526" s="14">
        <v>58.765000000000001</v>
      </c>
      <c r="T526" s="10" t="b">
        <f t="shared" si="130"/>
        <v>1</v>
      </c>
      <c r="U526" s="10" t="b">
        <f t="shared" si="131"/>
        <v>1</v>
      </c>
      <c r="V526" s="11">
        <f>VLOOKUP(IF(J526&lt;10, 10, IF(J526&gt;50,50,J526)),'Over to underbark'!$A$3:$C$43,IF(A526="Scots pine",3,IF(A526="Sitka spruce",2, "error")),TRUE)/100</f>
        <v>0.89</v>
      </c>
      <c r="W526">
        <f t="shared" si="132"/>
        <v>148.05283500000002</v>
      </c>
      <c r="X526">
        <f t="shared" si="133"/>
        <v>47.070765000000002</v>
      </c>
      <c r="Y526">
        <f t="shared" si="134"/>
        <v>24.116400000000002</v>
      </c>
      <c r="Z526">
        <f t="shared" si="122"/>
        <v>104.59745545725002</v>
      </c>
      <c r="AA526">
        <f t="shared" si="123"/>
        <v>28.344011850000001</v>
      </c>
      <c r="AB526">
        <f t="shared" si="124"/>
        <v>60.315470412750003</v>
      </c>
      <c r="AC526">
        <f t="shared" si="125"/>
        <v>25.983062280000002</v>
      </c>
      <c r="AD526">
        <f>LOOKUP($A526,'Over to underbark'!$A$47:$A$48,'Over to underbark'!E$47:E$48)*Z526</f>
        <v>34.517160300892506</v>
      </c>
      <c r="AE526">
        <f>LOOKUP($A526,'Over to underbark'!$A$47:$A$48,'Over to underbark'!E$47:E$48)*AA526</f>
        <v>9.3535239105000016</v>
      </c>
      <c r="AF526">
        <f>LOOKUP($A526,'Over to underbark'!$A$47:$A$48,'Over to underbark'!E$47:E$48)*AB526</f>
        <v>19.904105236207503</v>
      </c>
      <c r="AG526">
        <f>LOOKUP($A526,'Over to underbark'!$A$47:$A$48,'Over to underbark'!E$47:E$48)*AC526</f>
        <v>8.5744105524000016</v>
      </c>
      <c r="AH526" t="b">
        <f t="shared" si="126"/>
        <v>1</v>
      </c>
      <c r="AI526" t="b">
        <f t="shared" si="135"/>
        <v>1</v>
      </c>
      <c r="AJ526">
        <f>LOOKUP(A526,'Over to underbark'!$A$47:$A$48,'Over to underbark'!E$47:E$48)*M526</f>
        <v>80.388000000000005</v>
      </c>
      <c r="AK526" s="22">
        <f>LOOKUP(A526,'Over to underbark'!$A$47:$A$48,'Over to underbark'!$B$47:$B$48)*AJ526</f>
        <v>25.724160000000001</v>
      </c>
      <c r="AL526" s="22">
        <f>LOOKUP(A526,'Over to underbark'!$A$47:$A$48,'Over to underbark'!C$47:C$48)*AJ526</f>
        <v>39.390120000000003</v>
      </c>
      <c r="AM526" s="22">
        <f t="shared" si="127"/>
        <v>106.11216</v>
      </c>
      <c r="AN526" s="36">
        <v>321.55</v>
      </c>
      <c r="AO526" s="23">
        <f t="shared" si="128"/>
        <v>212.22432000000001</v>
      </c>
      <c r="AQ526">
        <f t="shared" si="129"/>
        <v>0.68181818181818188</v>
      </c>
    </row>
    <row r="527" spans="1:43" x14ac:dyDescent="0.35">
      <c r="A527" t="s">
        <v>43</v>
      </c>
      <c r="B527">
        <v>8</v>
      </c>
      <c r="C527">
        <v>2</v>
      </c>
      <c r="D527" t="s">
        <v>42</v>
      </c>
      <c r="E527">
        <v>2</v>
      </c>
      <c r="F527">
        <v>1</v>
      </c>
      <c r="G527" s="12">
        <v>42</v>
      </c>
      <c r="H527" s="12">
        <v>13.654</v>
      </c>
      <c r="I527" s="12">
        <v>2024</v>
      </c>
      <c r="J527" s="12">
        <v>17.026</v>
      </c>
      <c r="K527" s="12">
        <v>46.084000000000003</v>
      </c>
      <c r="L527" s="12">
        <v>0.126</v>
      </c>
      <c r="M527" s="19">
        <v>256</v>
      </c>
      <c r="N527" s="12">
        <v>1.0129999999999999</v>
      </c>
      <c r="O527" s="13">
        <v>6.0949999999999998</v>
      </c>
      <c r="P527" s="14">
        <v>42</v>
      </c>
      <c r="Q527" s="14">
        <v>17.026</v>
      </c>
      <c r="R527" s="14">
        <v>189.804</v>
      </c>
      <c r="S527" s="14">
        <v>66.195999999999998</v>
      </c>
      <c r="T527" s="10" t="b">
        <f t="shared" si="130"/>
        <v>1</v>
      </c>
      <c r="U527" s="10" t="b">
        <f t="shared" si="131"/>
        <v>1</v>
      </c>
      <c r="V527" s="11">
        <f>VLOOKUP(IF(J527&lt;10, 10, IF(J527&gt;50,50,J527)),'Over to underbark'!$A$3:$C$43,IF(A527="Scots pine",3,IF(A527="Sitka spruce",2, "error")),TRUE)/100</f>
        <v>0.9</v>
      </c>
      <c r="W527">
        <f t="shared" si="132"/>
        <v>153.74124</v>
      </c>
      <c r="X527">
        <f t="shared" si="133"/>
        <v>53.618760000000002</v>
      </c>
      <c r="Y527">
        <f t="shared" si="134"/>
        <v>23.039999999999996</v>
      </c>
      <c r="Z527">
        <f t="shared" si="122"/>
        <v>109.14559619399999</v>
      </c>
      <c r="AA527">
        <f t="shared" si="123"/>
        <v>28.431536399999999</v>
      </c>
      <c r="AB527">
        <f t="shared" si="124"/>
        <v>63.225311886000007</v>
      </c>
      <c r="AC527">
        <f t="shared" si="125"/>
        <v>29.59755552</v>
      </c>
      <c r="AD527">
        <f>LOOKUP($A527,'Over to underbark'!$A$47:$A$48,'Over to underbark'!E$47:E$48)*Z527</f>
        <v>36.018046744019998</v>
      </c>
      <c r="AE527">
        <f>LOOKUP($A527,'Over to underbark'!$A$47:$A$48,'Over to underbark'!E$47:E$48)*AA527</f>
        <v>9.3824070119999998</v>
      </c>
      <c r="AF527">
        <f>LOOKUP($A527,'Over to underbark'!$A$47:$A$48,'Over to underbark'!E$47:E$48)*AB527</f>
        <v>20.864352922380004</v>
      </c>
      <c r="AG527">
        <f>LOOKUP($A527,'Over to underbark'!$A$47:$A$48,'Over to underbark'!E$47:E$48)*AC527</f>
        <v>9.7671933216000006</v>
      </c>
      <c r="AH527" t="b">
        <f t="shared" si="126"/>
        <v>1</v>
      </c>
      <c r="AI527" t="b">
        <f t="shared" si="135"/>
        <v>1</v>
      </c>
      <c r="AJ527">
        <f>LOOKUP(A527,'Over to underbark'!$A$47:$A$48,'Over to underbark'!E$47:E$48)*M527</f>
        <v>84.48</v>
      </c>
      <c r="AK527" s="22">
        <f>LOOKUP(A527,'Over to underbark'!$A$47:$A$48,'Over to underbark'!$B$47:$B$48)*AJ527</f>
        <v>27.033600000000003</v>
      </c>
      <c r="AL527" s="22">
        <f>LOOKUP(A527,'Over to underbark'!$A$47:$A$48,'Over to underbark'!C$47:C$48)*AJ527</f>
        <v>41.395200000000003</v>
      </c>
      <c r="AM527" s="22">
        <f t="shared" si="127"/>
        <v>111.51360000000001</v>
      </c>
      <c r="AN527" s="36">
        <v>337.92</v>
      </c>
      <c r="AO527" s="23">
        <f t="shared" si="128"/>
        <v>223.02720000000002</v>
      </c>
      <c r="AQ527">
        <f t="shared" si="129"/>
        <v>0.68181818181818188</v>
      </c>
    </row>
    <row r="528" spans="1:43" x14ac:dyDescent="0.35">
      <c r="A528" t="s">
        <v>43</v>
      </c>
      <c r="B528">
        <v>8</v>
      </c>
      <c r="C528">
        <v>2</v>
      </c>
      <c r="D528" t="s">
        <v>42</v>
      </c>
      <c r="E528">
        <v>2</v>
      </c>
      <c r="F528">
        <v>1</v>
      </c>
      <c r="G528" s="12">
        <v>43</v>
      </c>
      <c r="H528" s="12">
        <v>13.986000000000001</v>
      </c>
      <c r="I528" s="12">
        <v>1996</v>
      </c>
      <c r="J528" s="12">
        <v>17.314</v>
      </c>
      <c r="K528" s="12">
        <v>46.996000000000002</v>
      </c>
      <c r="L528" s="12">
        <v>0.13400000000000001</v>
      </c>
      <c r="M528" s="19">
        <v>268.39999999999998</v>
      </c>
      <c r="N528" s="12">
        <v>1.135</v>
      </c>
      <c r="O528" s="13">
        <v>6.242</v>
      </c>
      <c r="P528" s="14">
        <v>43</v>
      </c>
      <c r="Q528" s="14">
        <v>17.314</v>
      </c>
      <c r="R528" s="14">
        <v>194.297</v>
      </c>
      <c r="S528" s="14">
        <v>74.102999999999994</v>
      </c>
      <c r="T528" s="10" t="b">
        <f t="shared" si="130"/>
        <v>1</v>
      </c>
      <c r="U528" s="10" t="b">
        <f t="shared" si="131"/>
        <v>1</v>
      </c>
      <c r="V528" s="11">
        <f>VLOOKUP(IF(J528&lt;10, 10, IF(J528&gt;50,50,J528)),'Over to underbark'!$A$3:$C$43,IF(A528="Scots pine",3,IF(A528="Sitka spruce",2, "error")),TRUE)/100</f>
        <v>0.9</v>
      </c>
      <c r="W528">
        <f t="shared" si="132"/>
        <v>157.38057000000001</v>
      </c>
      <c r="X528">
        <f t="shared" si="133"/>
        <v>60.023430000000005</v>
      </c>
      <c r="Y528">
        <f t="shared" si="134"/>
        <v>24.155999999999992</v>
      </c>
      <c r="Z528">
        <f t="shared" si="122"/>
        <v>113.6733086295</v>
      </c>
      <c r="AA528">
        <f t="shared" si="123"/>
        <v>29.389862699999998</v>
      </c>
      <c r="AB528">
        <f t="shared" si="124"/>
        <v>65.363895310499998</v>
      </c>
      <c r="AC528">
        <f t="shared" si="125"/>
        <v>33.132933360000003</v>
      </c>
      <c r="AD528">
        <f>LOOKUP($A528,'Over to underbark'!$A$47:$A$48,'Over to underbark'!E$47:E$48)*Z528</f>
        <v>37.512191847735004</v>
      </c>
      <c r="AE528">
        <f>LOOKUP($A528,'Over to underbark'!$A$47:$A$48,'Over to underbark'!E$47:E$48)*AA528</f>
        <v>9.6986546909999998</v>
      </c>
      <c r="AF528">
        <f>LOOKUP($A528,'Over to underbark'!$A$47:$A$48,'Over to underbark'!E$47:E$48)*AB528</f>
        <v>21.570085452465001</v>
      </c>
      <c r="AG528">
        <f>LOOKUP($A528,'Over to underbark'!$A$47:$A$48,'Over to underbark'!E$47:E$48)*AC528</f>
        <v>10.933868008800001</v>
      </c>
      <c r="AH528" t="b">
        <f t="shared" si="126"/>
        <v>1</v>
      </c>
      <c r="AI528" t="b">
        <f t="shared" si="135"/>
        <v>1</v>
      </c>
      <c r="AJ528">
        <f>LOOKUP(A528,'Over to underbark'!$A$47:$A$48,'Over to underbark'!E$47:E$48)*M528</f>
        <v>88.572000000000003</v>
      </c>
      <c r="AK528" s="22">
        <f>LOOKUP(A528,'Over to underbark'!$A$47:$A$48,'Over to underbark'!$B$47:$B$48)*AJ528</f>
        <v>28.343040000000002</v>
      </c>
      <c r="AL528" s="22">
        <f>LOOKUP(A528,'Over to underbark'!$A$47:$A$48,'Over to underbark'!C$47:C$48)*AJ528</f>
        <v>43.400280000000002</v>
      </c>
      <c r="AM528" s="22">
        <f t="shared" si="127"/>
        <v>116.91504</v>
      </c>
      <c r="AN528" s="36">
        <v>354.29</v>
      </c>
      <c r="AO528" s="23">
        <f t="shared" si="128"/>
        <v>233.83008000000001</v>
      </c>
      <c r="AQ528">
        <f t="shared" si="129"/>
        <v>0.68181818181818188</v>
      </c>
    </row>
    <row r="529" spans="1:43" x14ac:dyDescent="0.35">
      <c r="A529" t="s">
        <v>43</v>
      </c>
      <c r="B529">
        <v>8</v>
      </c>
      <c r="C529">
        <v>2</v>
      </c>
      <c r="D529" t="s">
        <v>42</v>
      </c>
      <c r="E529">
        <v>2</v>
      </c>
      <c r="F529">
        <v>1</v>
      </c>
      <c r="G529" s="12">
        <v>44</v>
      </c>
      <c r="H529" s="12">
        <v>14.318</v>
      </c>
      <c r="I529" s="12">
        <v>1968</v>
      </c>
      <c r="J529" s="12">
        <v>17.605</v>
      </c>
      <c r="K529" s="12">
        <v>47.908000000000001</v>
      </c>
      <c r="L529" s="12">
        <v>0.14299999999999999</v>
      </c>
      <c r="M529" s="19">
        <v>280.8</v>
      </c>
      <c r="N529" s="12">
        <v>1.2450000000000001</v>
      </c>
      <c r="O529" s="13">
        <v>6.3819999999999997</v>
      </c>
      <c r="P529" s="14">
        <v>44</v>
      </c>
      <c r="Q529" s="14">
        <v>17.605</v>
      </c>
      <c r="R529" s="14">
        <v>198.333</v>
      </c>
      <c r="S529" s="14">
        <v>82.466999999999999</v>
      </c>
      <c r="T529" s="10" t="b">
        <f t="shared" si="130"/>
        <v>1</v>
      </c>
      <c r="U529" s="10" t="b">
        <f t="shared" si="131"/>
        <v>1</v>
      </c>
      <c r="V529" s="11">
        <f>VLOOKUP(IF(J529&lt;10, 10, IF(J529&gt;50,50,J529)),'Over to underbark'!$A$3:$C$43,IF(A529="Scots pine",3,IF(A529="Sitka spruce",2, "error")),TRUE)/100</f>
        <v>0.9</v>
      </c>
      <c r="W529">
        <f t="shared" si="132"/>
        <v>160.64973000000001</v>
      </c>
      <c r="X529">
        <f t="shared" si="133"/>
        <v>66.798270000000002</v>
      </c>
      <c r="Y529">
        <f t="shared" si="134"/>
        <v>25.271999999999998</v>
      </c>
      <c r="Z529">
        <f t="shared" si="122"/>
        <v>118.12722767549998</v>
      </c>
      <c r="AA529">
        <f t="shared" si="123"/>
        <v>30.307470299999999</v>
      </c>
      <c r="AB529">
        <f t="shared" si="124"/>
        <v>67.412656984499989</v>
      </c>
      <c r="AC529">
        <f t="shared" si="125"/>
        <v>36.872645040000002</v>
      </c>
      <c r="AD529">
        <f>LOOKUP($A529,'Over to underbark'!$A$47:$A$48,'Over to underbark'!E$47:E$48)*Z529</f>
        <v>38.981985132914993</v>
      </c>
      <c r="AE529">
        <f>LOOKUP($A529,'Over to underbark'!$A$47:$A$48,'Over to underbark'!E$47:E$48)*AA529</f>
        <v>10.001465199</v>
      </c>
      <c r="AF529">
        <f>LOOKUP($A529,'Over to underbark'!$A$47:$A$48,'Over to underbark'!E$47:E$48)*AB529</f>
        <v>22.246176804884996</v>
      </c>
      <c r="AG529">
        <f>LOOKUP($A529,'Over to underbark'!$A$47:$A$48,'Over to underbark'!E$47:E$48)*AC529</f>
        <v>12.167972863200001</v>
      </c>
      <c r="AH529" t="b">
        <f t="shared" si="126"/>
        <v>1</v>
      </c>
      <c r="AI529" t="b">
        <f t="shared" si="135"/>
        <v>1</v>
      </c>
      <c r="AJ529">
        <f>LOOKUP(A529,'Over to underbark'!$A$47:$A$48,'Over to underbark'!E$47:E$48)*M529</f>
        <v>92.664000000000001</v>
      </c>
      <c r="AK529" s="22">
        <f>LOOKUP(A529,'Over to underbark'!$A$47:$A$48,'Over to underbark'!$B$47:$B$48)*AJ529</f>
        <v>29.652480000000001</v>
      </c>
      <c r="AL529" s="22">
        <f>LOOKUP(A529,'Over to underbark'!$A$47:$A$48,'Over to underbark'!C$47:C$48)*AJ529</f>
        <v>45.405360000000002</v>
      </c>
      <c r="AM529" s="22">
        <f t="shared" si="127"/>
        <v>122.31648</v>
      </c>
      <c r="AN529" s="36">
        <v>370.66</v>
      </c>
      <c r="AO529" s="23">
        <f t="shared" si="128"/>
        <v>244.63296</v>
      </c>
      <c r="AQ529">
        <f t="shared" si="129"/>
        <v>0.68181818181818177</v>
      </c>
    </row>
    <row r="530" spans="1:43" x14ac:dyDescent="0.35">
      <c r="A530" t="s">
        <v>43</v>
      </c>
      <c r="B530">
        <v>8</v>
      </c>
      <c r="C530">
        <v>2</v>
      </c>
      <c r="D530" t="s">
        <v>42</v>
      </c>
      <c r="E530">
        <v>2</v>
      </c>
      <c r="F530">
        <v>1</v>
      </c>
      <c r="G530" s="12">
        <v>45</v>
      </c>
      <c r="H530" s="12">
        <v>14.65</v>
      </c>
      <c r="I530" s="12">
        <v>1940</v>
      </c>
      <c r="J530" s="12">
        <v>17.899999999999999</v>
      </c>
      <c r="K530" s="12">
        <v>48.82</v>
      </c>
      <c r="L530" s="12">
        <v>0.151</v>
      </c>
      <c r="M530" s="19">
        <v>293.2</v>
      </c>
      <c r="N530" s="12">
        <v>1.3460000000000001</v>
      </c>
      <c r="O530" s="13">
        <v>6.516</v>
      </c>
      <c r="P530" s="14">
        <v>45</v>
      </c>
      <c r="Q530" s="14">
        <v>17.899999999999999</v>
      </c>
      <c r="R530" s="14">
        <v>201.899</v>
      </c>
      <c r="S530" s="14">
        <v>91.301000000000002</v>
      </c>
      <c r="T530" s="10" t="b">
        <f t="shared" si="130"/>
        <v>1</v>
      </c>
      <c r="U530" s="10" t="b">
        <f t="shared" si="131"/>
        <v>1</v>
      </c>
      <c r="V530" s="11">
        <f>VLOOKUP(IF(J530&lt;10, 10, IF(J530&gt;50,50,J530)),'Over to underbark'!$A$3:$C$43,IF(A530="Scots pine",3,IF(A530="Sitka spruce",2, "error")),TRUE)/100</f>
        <v>0.9</v>
      </c>
      <c r="W530">
        <f t="shared" si="132"/>
        <v>163.53819000000001</v>
      </c>
      <c r="X530">
        <f t="shared" si="133"/>
        <v>73.953810000000004</v>
      </c>
      <c r="Y530">
        <f t="shared" si="134"/>
        <v>26.387999999999995</v>
      </c>
      <c r="Z530">
        <f t="shared" si="122"/>
        <v>122.50525417650002</v>
      </c>
      <c r="AA530">
        <f t="shared" si="123"/>
        <v>31.183200899999996</v>
      </c>
      <c r="AB530">
        <f t="shared" si="124"/>
        <v>69.369041803499996</v>
      </c>
      <c r="AC530">
        <f t="shared" si="125"/>
        <v>40.822503120000007</v>
      </c>
      <c r="AD530">
        <f>LOOKUP($A530,'Over to underbark'!$A$47:$A$48,'Over to underbark'!E$47:E$48)*Z530</f>
        <v>40.42673387824501</v>
      </c>
      <c r="AE530">
        <f>LOOKUP($A530,'Over to underbark'!$A$47:$A$48,'Over to underbark'!E$47:E$48)*AA530</f>
        <v>10.290456296999999</v>
      </c>
      <c r="AF530">
        <f>LOOKUP($A530,'Over to underbark'!$A$47:$A$48,'Over to underbark'!E$47:E$48)*AB530</f>
        <v>22.891783795155</v>
      </c>
      <c r="AG530">
        <f>LOOKUP($A530,'Over to underbark'!$A$47:$A$48,'Over to underbark'!E$47:E$48)*AC530</f>
        <v>13.471426029600003</v>
      </c>
      <c r="AH530" t="b">
        <f t="shared" si="126"/>
        <v>1</v>
      </c>
      <c r="AI530" t="b">
        <f t="shared" si="135"/>
        <v>1</v>
      </c>
      <c r="AJ530">
        <f>LOOKUP(A530,'Over to underbark'!$A$47:$A$48,'Over to underbark'!E$47:E$48)*M530</f>
        <v>96.756</v>
      </c>
      <c r="AK530" s="22">
        <f>LOOKUP(A530,'Over to underbark'!$A$47:$A$48,'Over to underbark'!$B$47:$B$48)*AJ530</f>
        <v>30.961919999999999</v>
      </c>
      <c r="AL530" s="22">
        <f>LOOKUP(A530,'Over to underbark'!$A$47:$A$48,'Over to underbark'!C$47:C$48)*AJ530</f>
        <v>47.410440000000001</v>
      </c>
      <c r="AM530" s="22">
        <f t="shared" si="127"/>
        <v>127.71791999999999</v>
      </c>
      <c r="AN530" s="36">
        <v>387.02</v>
      </c>
      <c r="AO530" s="23">
        <f t="shared" si="128"/>
        <v>255.43583999999998</v>
      </c>
      <c r="AQ530">
        <f t="shared" si="129"/>
        <v>0.68181818181818188</v>
      </c>
    </row>
    <row r="531" spans="1:43" x14ac:dyDescent="0.35">
      <c r="A531" t="s">
        <v>43</v>
      </c>
      <c r="B531">
        <v>8</v>
      </c>
      <c r="C531">
        <v>2</v>
      </c>
      <c r="D531" t="s">
        <v>42</v>
      </c>
      <c r="E531">
        <v>2</v>
      </c>
      <c r="F531">
        <v>1</v>
      </c>
      <c r="G531" s="12">
        <v>46</v>
      </c>
      <c r="H531" s="12">
        <v>14.952</v>
      </c>
      <c r="I531" s="12">
        <v>1912</v>
      </c>
      <c r="J531" s="12">
        <v>18.151</v>
      </c>
      <c r="K531" s="12">
        <v>49.473999999999997</v>
      </c>
      <c r="L531" s="12">
        <v>0.159</v>
      </c>
      <c r="M531" s="19">
        <v>304.64</v>
      </c>
      <c r="N531" s="12">
        <v>1.538</v>
      </c>
      <c r="O531" s="13">
        <v>6.6230000000000002</v>
      </c>
      <c r="P531" s="14">
        <v>46</v>
      </c>
      <c r="Q531" s="14">
        <v>18.151</v>
      </c>
      <c r="R531" s="14">
        <v>205.221</v>
      </c>
      <c r="S531" s="14">
        <v>99.418999999999997</v>
      </c>
      <c r="T531" s="10" t="b">
        <f t="shared" si="130"/>
        <v>1</v>
      </c>
      <c r="U531" s="10" t="b">
        <f t="shared" si="131"/>
        <v>1</v>
      </c>
      <c r="V531" s="11">
        <f>VLOOKUP(IF(J531&lt;10, 10, IF(J531&gt;50,50,J531)),'Over to underbark'!$A$3:$C$43,IF(A531="Scots pine",3,IF(A531="Sitka spruce",2, "error")),TRUE)/100</f>
        <v>0.9</v>
      </c>
      <c r="W531">
        <f t="shared" si="132"/>
        <v>166.22901000000002</v>
      </c>
      <c r="X531">
        <f t="shared" si="133"/>
        <v>80.529389999999992</v>
      </c>
      <c r="Y531">
        <f t="shared" si="134"/>
        <v>27.417599999999993</v>
      </c>
      <c r="Z531">
        <f t="shared" si="122"/>
        <v>126.5495163435</v>
      </c>
      <c r="AA531">
        <f t="shared" si="123"/>
        <v>31.993991099999999</v>
      </c>
      <c r="AB531">
        <f t="shared" si="124"/>
        <v>71.180269276499999</v>
      </c>
      <c r="AC531">
        <f t="shared" si="125"/>
        <v>44.452223279999991</v>
      </c>
      <c r="AD531">
        <f>LOOKUP($A531,'Over to underbark'!$A$47:$A$48,'Over to underbark'!E$47:E$48)*Z531</f>
        <v>41.761340393355006</v>
      </c>
      <c r="AE531">
        <f>LOOKUP($A531,'Over to underbark'!$A$47:$A$48,'Over to underbark'!E$47:E$48)*AA531</f>
        <v>10.558017062999999</v>
      </c>
      <c r="AF531">
        <f>LOOKUP($A531,'Over to underbark'!$A$47:$A$48,'Over to underbark'!E$47:E$48)*AB531</f>
        <v>23.489488861245</v>
      </c>
      <c r="AG531">
        <f>LOOKUP($A531,'Over to underbark'!$A$47:$A$48,'Over to underbark'!E$47:E$48)*AC531</f>
        <v>14.669233682399998</v>
      </c>
      <c r="AH531" t="b">
        <f t="shared" si="126"/>
        <v>1</v>
      </c>
      <c r="AI531" t="b">
        <f t="shared" si="135"/>
        <v>1</v>
      </c>
      <c r="AJ531">
        <f>LOOKUP(A531,'Over to underbark'!$A$47:$A$48,'Over to underbark'!E$47:E$48)*M531</f>
        <v>100.5312</v>
      </c>
      <c r="AK531" s="22">
        <f>LOOKUP(A531,'Over to underbark'!$A$47:$A$48,'Over to underbark'!$B$47:$B$48)*AJ531</f>
        <v>32.169983999999999</v>
      </c>
      <c r="AL531" s="22">
        <f>LOOKUP(A531,'Over to underbark'!$A$47:$A$48,'Over to underbark'!C$47:C$48)*AJ531</f>
        <v>49.260287999999996</v>
      </c>
      <c r="AM531" s="22">
        <f t="shared" si="127"/>
        <v>132.70118400000001</v>
      </c>
      <c r="AN531" s="36">
        <v>402.12</v>
      </c>
      <c r="AO531" s="23">
        <f t="shared" si="128"/>
        <v>265.40236800000002</v>
      </c>
      <c r="AQ531">
        <f t="shared" si="129"/>
        <v>0.68181818181818177</v>
      </c>
    </row>
    <row r="532" spans="1:43" x14ac:dyDescent="0.35">
      <c r="A532" t="s">
        <v>43</v>
      </c>
      <c r="B532">
        <v>8</v>
      </c>
      <c r="C532">
        <v>2</v>
      </c>
      <c r="D532" t="s">
        <v>42</v>
      </c>
      <c r="E532">
        <v>2</v>
      </c>
      <c r="F532">
        <v>1</v>
      </c>
      <c r="G532" s="12">
        <v>47</v>
      </c>
      <c r="H532" s="12">
        <v>15.254</v>
      </c>
      <c r="I532" s="12">
        <v>1884</v>
      </c>
      <c r="J532" s="12">
        <v>18.405999999999999</v>
      </c>
      <c r="K532" s="12">
        <v>50.128</v>
      </c>
      <c r="L532" s="12">
        <v>0.16800000000000001</v>
      </c>
      <c r="M532" s="19">
        <v>316.08</v>
      </c>
      <c r="N532" s="12">
        <v>1.716</v>
      </c>
      <c r="O532" s="13">
        <v>6.7249999999999996</v>
      </c>
      <c r="P532" s="14">
        <v>47</v>
      </c>
      <c r="Q532" s="14">
        <v>18.405999999999999</v>
      </c>
      <c r="R532" s="14">
        <v>208.16399999999999</v>
      </c>
      <c r="S532" s="14">
        <v>107.916</v>
      </c>
      <c r="T532" s="10" t="b">
        <f t="shared" si="130"/>
        <v>1</v>
      </c>
      <c r="U532" s="10" t="b">
        <f t="shared" si="131"/>
        <v>1</v>
      </c>
      <c r="V532" s="11">
        <f>VLOOKUP(IF(J532&lt;10, 10, IF(J532&gt;50,50,J532)),'Over to underbark'!$A$3:$C$43,IF(A532="Scots pine",3,IF(A532="Sitka spruce",2, "error")),TRUE)/100</f>
        <v>0.9</v>
      </c>
      <c r="W532">
        <f t="shared" si="132"/>
        <v>168.61284000000001</v>
      </c>
      <c r="X532">
        <f t="shared" si="133"/>
        <v>87.411959999999993</v>
      </c>
      <c r="Y532">
        <f t="shared" si="134"/>
        <v>28.447199999999992</v>
      </c>
      <c r="Z532">
        <f t="shared" si="122"/>
        <v>130.53258005400002</v>
      </c>
      <c r="AA532">
        <f t="shared" si="123"/>
        <v>32.771012399999996</v>
      </c>
      <c r="AB532">
        <f t="shared" si="124"/>
        <v>72.917005625999991</v>
      </c>
      <c r="AC532">
        <f t="shared" si="125"/>
        <v>48.251401919999992</v>
      </c>
      <c r="AD532">
        <f>LOOKUP($A532,'Over to underbark'!$A$47:$A$48,'Over to underbark'!E$47:E$48)*Z532</f>
        <v>43.075751417820008</v>
      </c>
      <c r="AE532">
        <f>LOOKUP($A532,'Over to underbark'!$A$47:$A$48,'Over to underbark'!E$47:E$48)*AA532</f>
        <v>10.814434091999999</v>
      </c>
      <c r="AF532">
        <f>LOOKUP($A532,'Over to underbark'!$A$47:$A$48,'Over to underbark'!E$47:E$48)*AB532</f>
        <v>24.062611856579998</v>
      </c>
      <c r="AG532">
        <f>LOOKUP($A532,'Over to underbark'!$A$47:$A$48,'Over to underbark'!E$47:E$48)*AC532</f>
        <v>15.922962633599997</v>
      </c>
      <c r="AH532" t="b">
        <f t="shared" si="126"/>
        <v>1</v>
      </c>
      <c r="AI532" t="b">
        <f t="shared" si="135"/>
        <v>1</v>
      </c>
      <c r="AJ532">
        <f>LOOKUP(A532,'Over to underbark'!$A$47:$A$48,'Over to underbark'!E$47:E$48)*M532</f>
        <v>104.3064</v>
      </c>
      <c r="AK532" s="22">
        <f>LOOKUP(A532,'Over to underbark'!$A$47:$A$48,'Over to underbark'!$B$47:$B$48)*AJ532</f>
        <v>33.378048</v>
      </c>
      <c r="AL532" s="22">
        <f>LOOKUP(A532,'Over to underbark'!$A$47:$A$48,'Over to underbark'!C$47:C$48)*AJ532</f>
        <v>51.110135999999997</v>
      </c>
      <c r="AM532" s="22">
        <f t="shared" si="127"/>
        <v>137.684448</v>
      </c>
      <c r="AN532" s="36">
        <v>417.23</v>
      </c>
      <c r="AO532" s="23">
        <f t="shared" si="128"/>
        <v>275.36889600000001</v>
      </c>
      <c r="AQ532">
        <f t="shared" si="129"/>
        <v>0.68181818181818177</v>
      </c>
    </row>
    <row r="533" spans="1:43" x14ac:dyDescent="0.35">
      <c r="A533" t="s">
        <v>43</v>
      </c>
      <c r="B533">
        <v>8</v>
      </c>
      <c r="C533">
        <v>2</v>
      </c>
      <c r="D533" t="s">
        <v>42</v>
      </c>
      <c r="E533">
        <v>2</v>
      </c>
      <c r="F533">
        <v>1</v>
      </c>
      <c r="G533" s="12">
        <v>48</v>
      </c>
      <c r="H533" s="12">
        <v>15.555999999999999</v>
      </c>
      <c r="I533" s="12">
        <v>1856</v>
      </c>
      <c r="J533" s="12">
        <v>18.664999999999999</v>
      </c>
      <c r="K533" s="12">
        <v>50.781999999999996</v>
      </c>
      <c r="L533" s="12">
        <v>0.17599999999999999</v>
      </c>
      <c r="M533" s="19">
        <v>327.52</v>
      </c>
      <c r="N533" s="12">
        <v>1.881</v>
      </c>
      <c r="O533" s="13">
        <v>6.8230000000000004</v>
      </c>
      <c r="P533" s="14">
        <v>48</v>
      </c>
      <c r="Q533" s="14">
        <v>18.664999999999999</v>
      </c>
      <c r="R533" s="14">
        <v>210.72900000000001</v>
      </c>
      <c r="S533" s="14">
        <v>116.791</v>
      </c>
      <c r="T533" s="10" t="b">
        <f t="shared" si="130"/>
        <v>1</v>
      </c>
      <c r="U533" s="10" t="b">
        <f t="shared" si="131"/>
        <v>1</v>
      </c>
      <c r="V533" s="11">
        <f>VLOOKUP(IF(J533&lt;10, 10, IF(J533&gt;50,50,J533)),'Over to underbark'!$A$3:$C$43,IF(A533="Scots pine",3,IF(A533="Sitka spruce",2, "error")),TRUE)/100</f>
        <v>0.9</v>
      </c>
      <c r="W533">
        <f t="shared" si="132"/>
        <v>170.69049000000001</v>
      </c>
      <c r="X533">
        <f t="shared" si="133"/>
        <v>94.600710000000007</v>
      </c>
      <c r="Y533">
        <f t="shared" si="134"/>
        <v>29.47679999999999</v>
      </c>
      <c r="Z533">
        <f t="shared" si="122"/>
        <v>134.45460678150002</v>
      </c>
      <c r="AA533">
        <f t="shared" si="123"/>
        <v>33.514353899999996</v>
      </c>
      <c r="AB533">
        <f t="shared" si="124"/>
        <v>74.579447398500008</v>
      </c>
      <c r="AC533">
        <f t="shared" si="125"/>
        <v>52.219591920000006</v>
      </c>
      <c r="AD533">
        <f>LOOKUP($A533,'Over to underbark'!$A$47:$A$48,'Over to underbark'!E$47:E$48)*Z533</f>
        <v>44.370020237895005</v>
      </c>
      <c r="AE533">
        <f>LOOKUP($A533,'Over to underbark'!$A$47:$A$48,'Over to underbark'!E$47:E$48)*AA533</f>
        <v>11.059736786999999</v>
      </c>
      <c r="AF533">
        <f>LOOKUP($A533,'Over to underbark'!$A$47:$A$48,'Over to underbark'!E$47:E$48)*AB533</f>
        <v>24.611217641505004</v>
      </c>
      <c r="AG533">
        <f>LOOKUP($A533,'Over to underbark'!$A$47:$A$48,'Over to underbark'!E$47:E$48)*AC533</f>
        <v>17.232465333600004</v>
      </c>
      <c r="AH533" t="b">
        <f t="shared" si="126"/>
        <v>1</v>
      </c>
      <c r="AI533" t="b">
        <f t="shared" si="135"/>
        <v>1</v>
      </c>
      <c r="AJ533">
        <f>LOOKUP(A533,'Over to underbark'!$A$47:$A$48,'Over to underbark'!E$47:E$48)*M533</f>
        <v>108.08159999999999</v>
      </c>
      <c r="AK533" s="22">
        <f>LOOKUP(A533,'Over to underbark'!$A$47:$A$48,'Over to underbark'!$B$47:$B$48)*AJ533</f>
        <v>34.586112</v>
      </c>
      <c r="AL533" s="22">
        <f>LOOKUP(A533,'Over to underbark'!$A$47:$A$48,'Over to underbark'!C$47:C$48)*AJ533</f>
        <v>52.959983999999999</v>
      </c>
      <c r="AM533" s="22">
        <f t="shared" si="127"/>
        <v>142.66771199999999</v>
      </c>
      <c r="AN533" s="36">
        <v>432.33</v>
      </c>
      <c r="AO533" s="23">
        <f t="shared" si="128"/>
        <v>285.33542399999999</v>
      </c>
      <c r="AQ533">
        <f t="shared" si="129"/>
        <v>0.68181818181818188</v>
      </c>
    </row>
    <row r="534" spans="1:43" x14ac:dyDescent="0.35">
      <c r="A534" t="s">
        <v>43</v>
      </c>
      <c r="B534">
        <v>8</v>
      </c>
      <c r="C534">
        <v>2</v>
      </c>
      <c r="D534" t="s">
        <v>42</v>
      </c>
      <c r="E534">
        <v>2</v>
      </c>
      <c r="F534">
        <v>1</v>
      </c>
      <c r="G534" s="12">
        <v>49</v>
      </c>
      <c r="H534" s="12">
        <v>15.858000000000001</v>
      </c>
      <c r="I534" s="12">
        <v>1828</v>
      </c>
      <c r="J534" s="12">
        <v>18.928000000000001</v>
      </c>
      <c r="K534" s="12">
        <v>51.436</v>
      </c>
      <c r="L534" s="12">
        <v>0.185</v>
      </c>
      <c r="M534" s="19">
        <v>338.96</v>
      </c>
      <c r="N534" s="12">
        <v>2.0350000000000001</v>
      </c>
      <c r="O534" s="13">
        <v>6.9180000000000001</v>
      </c>
      <c r="P534" s="14">
        <v>49</v>
      </c>
      <c r="Q534" s="14">
        <v>18.928000000000001</v>
      </c>
      <c r="R534" s="14">
        <v>212.91900000000001</v>
      </c>
      <c r="S534" s="14">
        <v>126.041</v>
      </c>
      <c r="T534" s="10" t="b">
        <f t="shared" si="130"/>
        <v>1</v>
      </c>
      <c r="U534" s="10" t="b">
        <f t="shared" si="131"/>
        <v>1</v>
      </c>
      <c r="V534" s="11">
        <f>VLOOKUP(IF(J534&lt;10, 10, IF(J534&gt;50,50,J534)),'Over to underbark'!$A$3:$C$43,IF(A534="Scots pine",3,IF(A534="Sitka spruce",2, "error")),TRUE)/100</f>
        <v>0.9</v>
      </c>
      <c r="W534">
        <f t="shared" si="132"/>
        <v>172.46439000000001</v>
      </c>
      <c r="X534">
        <f t="shared" si="133"/>
        <v>102.09321</v>
      </c>
      <c r="Y534">
        <f t="shared" si="134"/>
        <v>30.506399999999996</v>
      </c>
      <c r="Z534">
        <f t="shared" si="122"/>
        <v>138.31608094650002</v>
      </c>
      <c r="AA534">
        <f t="shared" si="123"/>
        <v>34.224282899999999</v>
      </c>
      <c r="AB534">
        <f t="shared" si="124"/>
        <v>76.1681842335</v>
      </c>
      <c r="AC534">
        <f t="shared" si="125"/>
        <v>56.35545192</v>
      </c>
      <c r="AD534">
        <f>LOOKUP($A534,'Over to underbark'!$A$47:$A$48,'Over to underbark'!E$47:E$48)*Z534</f>
        <v>45.644306712345006</v>
      </c>
      <c r="AE534">
        <f>LOOKUP($A534,'Over to underbark'!$A$47:$A$48,'Over to underbark'!E$47:E$48)*AA534</f>
        <v>11.294013357000001</v>
      </c>
      <c r="AF534">
        <f>LOOKUP($A534,'Over to underbark'!$A$47:$A$48,'Over to underbark'!E$47:E$48)*AB534</f>
        <v>25.135500797055002</v>
      </c>
      <c r="AG534">
        <f>LOOKUP($A534,'Over to underbark'!$A$47:$A$48,'Over to underbark'!E$47:E$48)*AC534</f>
        <v>18.5972991336</v>
      </c>
      <c r="AH534" t="b">
        <f t="shared" si="126"/>
        <v>1</v>
      </c>
      <c r="AI534" t="b">
        <f t="shared" si="135"/>
        <v>1</v>
      </c>
      <c r="AJ534">
        <f>LOOKUP(A534,'Over to underbark'!$A$47:$A$48,'Over to underbark'!E$47:E$48)*M534</f>
        <v>111.85679999999999</v>
      </c>
      <c r="AK534" s="22">
        <f>LOOKUP(A534,'Over to underbark'!$A$47:$A$48,'Over to underbark'!$B$47:$B$48)*AJ534</f>
        <v>35.794176</v>
      </c>
      <c r="AL534" s="22">
        <f>LOOKUP(A534,'Over to underbark'!$A$47:$A$48,'Over to underbark'!C$47:C$48)*AJ534</f>
        <v>54.809831999999993</v>
      </c>
      <c r="AM534" s="22">
        <f t="shared" si="127"/>
        <v>147.65097599999999</v>
      </c>
      <c r="AN534" s="36">
        <v>447.43</v>
      </c>
      <c r="AO534" s="23">
        <f t="shared" si="128"/>
        <v>295.30195199999997</v>
      </c>
      <c r="AQ534">
        <f t="shared" si="129"/>
        <v>0.68181818181818199</v>
      </c>
    </row>
    <row r="535" spans="1:43" x14ac:dyDescent="0.35">
      <c r="A535" t="s">
        <v>43</v>
      </c>
      <c r="B535">
        <v>8</v>
      </c>
      <c r="C535">
        <v>2</v>
      </c>
      <c r="D535" t="s">
        <v>42</v>
      </c>
      <c r="E535">
        <v>2</v>
      </c>
      <c r="F535">
        <v>1</v>
      </c>
      <c r="G535" s="12">
        <v>50</v>
      </c>
      <c r="H535" s="12">
        <v>16.16</v>
      </c>
      <c r="I535" s="12">
        <v>1801</v>
      </c>
      <c r="J535" s="12">
        <v>19.190000000000001</v>
      </c>
      <c r="K535" s="12">
        <v>52.09</v>
      </c>
      <c r="L535" s="12">
        <v>0.19500000000000001</v>
      </c>
      <c r="M535" s="19">
        <v>350.4</v>
      </c>
      <c r="N535" s="12">
        <v>2.1779999999999999</v>
      </c>
      <c r="O535" s="13">
        <v>7.008</v>
      </c>
      <c r="P535" s="14">
        <v>50</v>
      </c>
      <c r="Q535" s="14">
        <v>19.190000000000001</v>
      </c>
      <c r="R535" s="14">
        <v>214.83799999999999</v>
      </c>
      <c r="S535" s="14">
        <v>135.56200000000001</v>
      </c>
      <c r="T535" s="10" t="b">
        <f t="shared" si="130"/>
        <v>1</v>
      </c>
      <c r="U535" s="10" t="b">
        <f t="shared" si="131"/>
        <v>1</v>
      </c>
      <c r="V535" s="11">
        <f>VLOOKUP(IF(J535&lt;10, 10, IF(J535&gt;50,50,J535)),'Over to underbark'!$A$3:$C$43,IF(A535="Scots pine",3,IF(A535="Sitka spruce",2, "error")),TRUE)/100</f>
        <v>0.9</v>
      </c>
      <c r="W535">
        <f t="shared" si="132"/>
        <v>174.01877999999999</v>
      </c>
      <c r="X535">
        <f t="shared" si="133"/>
        <v>109.80522000000001</v>
      </c>
      <c r="Y535">
        <f t="shared" si="134"/>
        <v>31.535999999999994</v>
      </c>
      <c r="Z535">
        <f t="shared" si="122"/>
        <v>142.13379579300002</v>
      </c>
      <c r="AA535">
        <f t="shared" si="123"/>
        <v>34.910065799999998</v>
      </c>
      <c r="AB535">
        <f t="shared" si="124"/>
        <v>77.703656966999986</v>
      </c>
      <c r="AC535">
        <f t="shared" si="125"/>
        <v>60.612481440000003</v>
      </c>
      <c r="AD535">
        <f>LOOKUP($A535,'Over to underbark'!$A$47:$A$48,'Over to underbark'!E$47:E$48)*Z535</f>
        <v>46.904152611690009</v>
      </c>
      <c r="AE535">
        <f>LOOKUP($A535,'Over to underbark'!$A$47:$A$48,'Over to underbark'!E$47:E$48)*AA535</f>
        <v>11.520321714</v>
      </c>
      <c r="AF535">
        <f>LOOKUP($A535,'Over to underbark'!$A$47:$A$48,'Over to underbark'!E$47:E$48)*AB535</f>
        <v>25.642206799109996</v>
      </c>
      <c r="AG535">
        <f>LOOKUP($A535,'Over to underbark'!$A$47:$A$48,'Over to underbark'!E$47:E$48)*AC535</f>
        <v>20.002118875200001</v>
      </c>
      <c r="AH535" t="b">
        <f t="shared" si="126"/>
        <v>1</v>
      </c>
      <c r="AI535" t="b">
        <f t="shared" si="135"/>
        <v>1</v>
      </c>
      <c r="AJ535">
        <f>LOOKUP(A535,'Over to underbark'!$A$47:$A$48,'Over to underbark'!E$47:E$48)*M535</f>
        <v>115.63200000000001</v>
      </c>
      <c r="AK535" s="22">
        <f>LOOKUP(A535,'Over to underbark'!$A$47:$A$48,'Over to underbark'!$B$47:$B$48)*AJ535</f>
        <v>37.00224</v>
      </c>
      <c r="AL535" s="22">
        <f>LOOKUP(A535,'Over to underbark'!$A$47:$A$48,'Over to underbark'!C$47:C$48)*AJ535</f>
        <v>56.659680000000002</v>
      </c>
      <c r="AM535" s="22">
        <f t="shared" si="127"/>
        <v>152.63424000000001</v>
      </c>
      <c r="AN535" s="36">
        <v>462.53</v>
      </c>
      <c r="AO535" s="23">
        <f t="shared" si="128"/>
        <v>305.26848000000001</v>
      </c>
      <c r="AQ535">
        <f t="shared" si="129"/>
        <v>0.68181818181818177</v>
      </c>
    </row>
    <row r="536" spans="1:43" x14ac:dyDescent="0.35">
      <c r="A536" t="s">
        <v>43</v>
      </c>
      <c r="B536">
        <v>8</v>
      </c>
      <c r="C536">
        <v>2</v>
      </c>
      <c r="D536" t="s">
        <v>42</v>
      </c>
      <c r="E536">
        <v>2</v>
      </c>
      <c r="F536">
        <v>1</v>
      </c>
      <c r="G536" s="12">
        <v>51</v>
      </c>
      <c r="H536" s="12">
        <v>16.428000000000001</v>
      </c>
      <c r="I536" s="12">
        <v>1777</v>
      </c>
      <c r="J536" s="12">
        <v>19.411000000000001</v>
      </c>
      <c r="K536" s="12">
        <v>52.585000000000001</v>
      </c>
      <c r="L536" s="12">
        <v>0.20300000000000001</v>
      </c>
      <c r="M536" s="19">
        <v>360.48</v>
      </c>
      <c r="N536" s="12">
        <v>2.3879999999999999</v>
      </c>
      <c r="O536" s="13">
        <v>7.0679999999999996</v>
      </c>
      <c r="P536" s="14">
        <v>51</v>
      </c>
      <c r="Q536" s="14">
        <v>19.411000000000001</v>
      </c>
      <c r="R536" s="14">
        <v>216.49600000000001</v>
      </c>
      <c r="S536" s="14">
        <v>143.98400000000001</v>
      </c>
      <c r="T536" s="10" t="b">
        <f t="shared" si="130"/>
        <v>1</v>
      </c>
      <c r="U536" s="10" t="b">
        <f t="shared" si="131"/>
        <v>1</v>
      </c>
      <c r="V536" s="11">
        <f>VLOOKUP(IF(J536&lt;10, 10, IF(J536&gt;50,50,J536)),'Over to underbark'!$A$3:$C$43,IF(A536="Scots pine",3,IF(A536="Sitka spruce",2, "error")),TRUE)/100</f>
        <v>0.9</v>
      </c>
      <c r="W536">
        <f t="shared" si="132"/>
        <v>175.36176000000003</v>
      </c>
      <c r="X536">
        <f t="shared" si="133"/>
        <v>116.62704000000001</v>
      </c>
      <c r="Y536">
        <f t="shared" si="134"/>
        <v>32.443199999999997</v>
      </c>
      <c r="Z536">
        <f t="shared" si="122"/>
        <v>145.49234925600001</v>
      </c>
      <c r="AA536">
        <f t="shared" si="123"/>
        <v>35.511393600000005</v>
      </c>
      <c r="AB536">
        <f t="shared" si="124"/>
        <v>79.050131064000013</v>
      </c>
      <c r="AC536">
        <f t="shared" si="125"/>
        <v>64.378126080000001</v>
      </c>
      <c r="AD536">
        <f>LOOKUP($A536,'Over to underbark'!$A$47:$A$48,'Over to underbark'!E$47:E$48)*Z536</f>
        <v>48.012475254480009</v>
      </c>
      <c r="AE536">
        <f>LOOKUP($A536,'Over to underbark'!$A$47:$A$48,'Over to underbark'!E$47:E$48)*AA536</f>
        <v>11.718759888000003</v>
      </c>
      <c r="AF536">
        <f>LOOKUP($A536,'Over to underbark'!$A$47:$A$48,'Over to underbark'!E$47:E$48)*AB536</f>
        <v>26.086543251120005</v>
      </c>
      <c r="AG536">
        <f>LOOKUP($A536,'Over to underbark'!$A$47:$A$48,'Over to underbark'!E$47:E$48)*AC536</f>
        <v>21.2447816064</v>
      </c>
      <c r="AH536" t="b">
        <f t="shared" si="126"/>
        <v>1</v>
      </c>
      <c r="AI536" t="b">
        <f t="shared" si="135"/>
        <v>1</v>
      </c>
      <c r="AJ536">
        <f>LOOKUP(A536,'Over to underbark'!$A$47:$A$48,'Over to underbark'!E$47:E$48)*M536</f>
        <v>118.95840000000001</v>
      </c>
      <c r="AK536" s="22">
        <f>LOOKUP(A536,'Over to underbark'!$A$47:$A$48,'Over to underbark'!$B$47:$B$48)*AJ536</f>
        <v>38.066688000000006</v>
      </c>
      <c r="AL536" s="22">
        <f>LOOKUP(A536,'Over to underbark'!$A$47:$A$48,'Over to underbark'!C$47:C$48)*AJ536</f>
        <v>58.289616000000002</v>
      </c>
      <c r="AM536" s="22">
        <f t="shared" si="127"/>
        <v>157.02508800000001</v>
      </c>
      <c r="AN536" s="36">
        <v>475.83</v>
      </c>
      <c r="AO536" s="23">
        <f t="shared" si="128"/>
        <v>314.05017600000002</v>
      </c>
      <c r="AQ536">
        <f t="shared" si="129"/>
        <v>0.68181818181818177</v>
      </c>
    </row>
    <row r="537" spans="1:43" x14ac:dyDescent="0.35">
      <c r="A537" t="s">
        <v>43</v>
      </c>
      <c r="B537">
        <v>8</v>
      </c>
      <c r="C537">
        <v>2</v>
      </c>
      <c r="D537" t="s">
        <v>42</v>
      </c>
      <c r="E537">
        <v>2</v>
      </c>
      <c r="F537">
        <v>1</v>
      </c>
      <c r="G537" s="12">
        <v>52</v>
      </c>
      <c r="H537" s="12">
        <v>16.696000000000002</v>
      </c>
      <c r="I537" s="12">
        <v>1753</v>
      </c>
      <c r="J537" s="12">
        <v>19.635000000000002</v>
      </c>
      <c r="K537" s="12">
        <v>53.081000000000003</v>
      </c>
      <c r="L537" s="12">
        <v>0.21099999999999999</v>
      </c>
      <c r="M537" s="19">
        <v>370.56</v>
      </c>
      <c r="N537" s="12">
        <v>2.5870000000000002</v>
      </c>
      <c r="O537" s="13">
        <v>7.1260000000000003</v>
      </c>
      <c r="P537" s="14">
        <v>52</v>
      </c>
      <c r="Q537" s="14">
        <v>19.635000000000002</v>
      </c>
      <c r="R537" s="14">
        <v>217.887</v>
      </c>
      <c r="S537" s="14">
        <v>152.673</v>
      </c>
      <c r="T537" s="10" t="b">
        <f t="shared" si="130"/>
        <v>1</v>
      </c>
      <c r="U537" s="10" t="b">
        <f t="shared" si="131"/>
        <v>1</v>
      </c>
      <c r="V537" s="11">
        <f>VLOOKUP(IF(J537&lt;10, 10, IF(J537&gt;50,50,J537)),'Over to underbark'!$A$3:$C$43,IF(A537="Scots pine",3,IF(A537="Sitka spruce",2, "error")),TRUE)/100</f>
        <v>0.9</v>
      </c>
      <c r="W537">
        <f t="shared" si="132"/>
        <v>176.48847000000001</v>
      </c>
      <c r="X537">
        <f t="shared" si="133"/>
        <v>123.66513</v>
      </c>
      <c r="Y537">
        <f t="shared" si="134"/>
        <v>33.350399999999993</v>
      </c>
      <c r="Z537">
        <f t="shared" si="122"/>
        <v>148.8077892945</v>
      </c>
      <c r="AA537">
        <f t="shared" si="123"/>
        <v>36.088931699999996</v>
      </c>
      <c r="AB537">
        <f t="shared" si="124"/>
        <v>80.34412724549999</v>
      </c>
      <c r="AC537">
        <f t="shared" si="125"/>
        <v>68.26315176</v>
      </c>
      <c r="AD537">
        <f>LOOKUP($A537,'Over to underbark'!$A$47:$A$48,'Over to underbark'!E$47:E$48)*Z537</f>
        <v>49.106570467185001</v>
      </c>
      <c r="AE537">
        <f>LOOKUP($A537,'Over to underbark'!$A$47:$A$48,'Over to underbark'!E$47:E$48)*AA537</f>
        <v>11.909347460999999</v>
      </c>
      <c r="AF537">
        <f>LOOKUP($A537,'Over to underbark'!$A$47:$A$48,'Over to underbark'!E$47:E$48)*AB537</f>
        <v>26.513561991014999</v>
      </c>
      <c r="AG537">
        <f>LOOKUP($A537,'Over to underbark'!$A$47:$A$48,'Over to underbark'!E$47:E$48)*AC537</f>
        <v>22.5268400808</v>
      </c>
      <c r="AH537" t="b">
        <f t="shared" si="126"/>
        <v>1</v>
      </c>
      <c r="AI537" t="b">
        <f t="shared" si="135"/>
        <v>1</v>
      </c>
      <c r="AJ537">
        <f>LOOKUP(A537,'Over to underbark'!$A$47:$A$48,'Over to underbark'!E$47:E$48)*M537</f>
        <v>122.2848</v>
      </c>
      <c r="AK537" s="22">
        <f>LOOKUP(A537,'Over to underbark'!$A$47:$A$48,'Over to underbark'!$B$47:$B$48)*AJ537</f>
        <v>39.131136000000005</v>
      </c>
      <c r="AL537" s="22">
        <f>LOOKUP(A537,'Over to underbark'!$A$47:$A$48,'Over to underbark'!C$47:C$48)*AJ537</f>
        <v>59.919552000000003</v>
      </c>
      <c r="AM537" s="22">
        <f t="shared" si="127"/>
        <v>161.41593600000002</v>
      </c>
      <c r="AN537" s="36">
        <v>489.14</v>
      </c>
      <c r="AO537" s="23">
        <f t="shared" si="128"/>
        <v>322.83187200000003</v>
      </c>
      <c r="AQ537">
        <f t="shared" si="129"/>
        <v>0.68181818181818177</v>
      </c>
    </row>
    <row r="538" spans="1:43" x14ac:dyDescent="0.35">
      <c r="A538" t="s">
        <v>43</v>
      </c>
      <c r="B538">
        <v>8</v>
      </c>
      <c r="C538">
        <v>2</v>
      </c>
      <c r="D538" t="s">
        <v>42</v>
      </c>
      <c r="E538">
        <v>2</v>
      </c>
      <c r="F538">
        <v>1</v>
      </c>
      <c r="G538" s="12">
        <v>53</v>
      </c>
      <c r="H538" s="12">
        <v>16.963999999999999</v>
      </c>
      <c r="I538" s="12">
        <v>1729</v>
      </c>
      <c r="J538" s="12">
        <v>19.863</v>
      </c>
      <c r="K538" s="12">
        <v>53.576000000000001</v>
      </c>
      <c r="L538" s="12">
        <v>0.22</v>
      </c>
      <c r="M538" s="19">
        <v>380.64</v>
      </c>
      <c r="N538" s="12">
        <v>2.774</v>
      </c>
      <c r="O538" s="13">
        <v>7.1820000000000004</v>
      </c>
      <c r="P538" s="14">
        <v>53</v>
      </c>
      <c r="Q538" s="14">
        <v>19.863</v>
      </c>
      <c r="R538" s="14">
        <v>218.99199999999999</v>
      </c>
      <c r="S538" s="14">
        <v>161.648</v>
      </c>
      <c r="T538" s="10" t="b">
        <f t="shared" si="130"/>
        <v>1</v>
      </c>
      <c r="U538" s="10" t="b">
        <f t="shared" si="131"/>
        <v>1</v>
      </c>
      <c r="V538" s="11">
        <f>VLOOKUP(IF(J538&lt;10, 10, IF(J538&gt;50,50,J538)),'Over to underbark'!$A$3:$C$43,IF(A538="Scots pine",3,IF(A538="Sitka spruce",2, "error")),TRUE)/100</f>
        <v>0.9</v>
      </c>
      <c r="W538">
        <f t="shared" si="132"/>
        <v>177.38351999999998</v>
      </c>
      <c r="X538">
        <f t="shared" si="133"/>
        <v>130.93488000000002</v>
      </c>
      <c r="Y538">
        <f t="shared" si="134"/>
        <v>34.257599999999996</v>
      </c>
      <c r="Z538">
        <f t="shared" si="122"/>
        <v>152.07704791199998</v>
      </c>
      <c r="AA538">
        <f t="shared" si="123"/>
        <v>36.640987199999998</v>
      </c>
      <c r="AB538">
        <f t="shared" si="124"/>
        <v>81.581911128000002</v>
      </c>
      <c r="AC538">
        <f t="shared" si="125"/>
        <v>72.276053760000011</v>
      </c>
      <c r="AD538">
        <f>LOOKUP($A538,'Over to underbark'!$A$47:$A$48,'Over to underbark'!E$47:E$48)*Z538</f>
        <v>50.185425810959998</v>
      </c>
      <c r="AE538">
        <f>LOOKUP($A538,'Over to underbark'!$A$47:$A$48,'Over to underbark'!E$47:E$48)*AA538</f>
        <v>12.091525775999999</v>
      </c>
      <c r="AF538">
        <f>LOOKUP($A538,'Over to underbark'!$A$47:$A$48,'Over to underbark'!E$47:E$48)*AB538</f>
        <v>26.922030672240002</v>
      </c>
      <c r="AG538">
        <f>LOOKUP($A538,'Over to underbark'!$A$47:$A$48,'Over to underbark'!E$47:E$48)*AC538</f>
        <v>23.851097740800004</v>
      </c>
      <c r="AH538" t="b">
        <f t="shared" si="126"/>
        <v>1</v>
      </c>
      <c r="AI538" t="b">
        <f t="shared" si="135"/>
        <v>1</v>
      </c>
      <c r="AJ538">
        <f>LOOKUP(A538,'Over to underbark'!$A$47:$A$48,'Over to underbark'!E$47:E$48)*M538</f>
        <v>125.6112</v>
      </c>
      <c r="AK538" s="22">
        <f>LOOKUP(A538,'Over to underbark'!$A$47:$A$48,'Over to underbark'!$B$47:$B$48)*AJ538</f>
        <v>40.195583999999997</v>
      </c>
      <c r="AL538" s="22">
        <f>LOOKUP(A538,'Over to underbark'!$A$47:$A$48,'Over to underbark'!C$47:C$48)*AJ538</f>
        <v>61.549487999999997</v>
      </c>
      <c r="AM538" s="22">
        <f t="shared" si="127"/>
        <v>165.80678399999999</v>
      </c>
      <c r="AN538" s="36">
        <v>502.44</v>
      </c>
      <c r="AO538" s="23">
        <f t="shared" si="128"/>
        <v>331.61356799999999</v>
      </c>
      <c r="AQ538">
        <f t="shared" si="129"/>
        <v>0.68181818181818177</v>
      </c>
    </row>
    <row r="539" spans="1:43" x14ac:dyDescent="0.35">
      <c r="A539" t="s">
        <v>43</v>
      </c>
      <c r="B539">
        <v>8</v>
      </c>
      <c r="C539">
        <v>2</v>
      </c>
      <c r="D539" t="s">
        <v>42</v>
      </c>
      <c r="E539">
        <v>2</v>
      </c>
      <c r="F539">
        <v>1</v>
      </c>
      <c r="G539" s="12">
        <v>54</v>
      </c>
      <c r="H539" s="12">
        <v>17.231999999999999</v>
      </c>
      <c r="I539" s="12">
        <v>1705</v>
      </c>
      <c r="J539" s="12">
        <v>20.094999999999999</v>
      </c>
      <c r="K539" s="12">
        <v>54.072000000000003</v>
      </c>
      <c r="L539" s="12">
        <v>0.22900000000000001</v>
      </c>
      <c r="M539" s="19">
        <v>390.72</v>
      </c>
      <c r="N539" s="12">
        <v>2.9510000000000001</v>
      </c>
      <c r="O539" s="13">
        <v>7.2359999999999998</v>
      </c>
      <c r="P539" s="14">
        <v>54</v>
      </c>
      <c r="Q539" s="14">
        <v>20.094999999999999</v>
      </c>
      <c r="R539" s="14">
        <v>219.816</v>
      </c>
      <c r="S539" s="14">
        <v>170.904</v>
      </c>
      <c r="T539" s="10" t="b">
        <f t="shared" si="130"/>
        <v>1</v>
      </c>
      <c r="U539" s="10" t="b">
        <f t="shared" si="131"/>
        <v>1</v>
      </c>
      <c r="V539" s="11">
        <f>VLOOKUP(IF(J539&lt;10, 10, IF(J539&gt;50,50,J539)),'Over to underbark'!$A$3:$C$43,IF(A539="Scots pine",3,IF(A539="Sitka spruce",2, "error")),TRUE)/100</f>
        <v>0.9</v>
      </c>
      <c r="W539">
        <f t="shared" si="132"/>
        <v>178.05096000000003</v>
      </c>
      <c r="X539">
        <f t="shared" si="133"/>
        <v>138.43224000000001</v>
      </c>
      <c r="Y539">
        <f t="shared" si="134"/>
        <v>35.164799999999993</v>
      </c>
      <c r="Z539">
        <f t="shared" si="122"/>
        <v>155.30093247600004</v>
      </c>
      <c r="AA539">
        <f t="shared" si="123"/>
        <v>37.168005600000001</v>
      </c>
      <c r="AB539">
        <f t="shared" si="124"/>
        <v>82.76446544400001</v>
      </c>
      <c r="AC539">
        <f t="shared" si="125"/>
        <v>76.41459648</v>
      </c>
      <c r="AD539">
        <f>LOOKUP($A539,'Over to underbark'!$A$47:$A$48,'Over to underbark'!E$47:E$48)*Z539</f>
        <v>51.249307717080015</v>
      </c>
      <c r="AE539">
        <f>LOOKUP($A539,'Over to underbark'!$A$47:$A$48,'Over to underbark'!E$47:E$48)*AA539</f>
        <v>12.265441848</v>
      </c>
      <c r="AF539">
        <f>LOOKUP($A539,'Over to underbark'!$A$47:$A$48,'Over to underbark'!E$47:E$48)*AB539</f>
        <v>27.312273596520004</v>
      </c>
      <c r="AG539">
        <f>LOOKUP($A539,'Over to underbark'!$A$47:$A$48,'Over to underbark'!E$47:E$48)*AC539</f>
        <v>25.2168168384</v>
      </c>
      <c r="AH539" t="b">
        <f t="shared" si="126"/>
        <v>1</v>
      </c>
      <c r="AI539" t="b">
        <f t="shared" si="135"/>
        <v>1</v>
      </c>
      <c r="AJ539">
        <f>LOOKUP(A539,'Over to underbark'!$A$47:$A$48,'Over to underbark'!E$47:E$48)*M539</f>
        <v>128.9376</v>
      </c>
      <c r="AK539" s="22">
        <f>LOOKUP(A539,'Over to underbark'!$A$47:$A$48,'Over to underbark'!$B$47:$B$48)*AJ539</f>
        <v>41.260032000000002</v>
      </c>
      <c r="AL539" s="22">
        <f>LOOKUP(A539,'Over to underbark'!$A$47:$A$48,'Over to underbark'!C$47:C$48)*AJ539</f>
        <v>63.179423999999997</v>
      </c>
      <c r="AM539" s="22">
        <f t="shared" si="127"/>
        <v>170.197632</v>
      </c>
      <c r="AN539" s="36">
        <v>515.75</v>
      </c>
      <c r="AO539" s="23">
        <f t="shared" si="128"/>
        <v>340.395264</v>
      </c>
      <c r="AQ539">
        <f t="shared" si="129"/>
        <v>0.68181818181818188</v>
      </c>
    </row>
    <row r="540" spans="1:43" x14ac:dyDescent="0.35">
      <c r="A540" t="s">
        <v>43</v>
      </c>
      <c r="B540">
        <v>8</v>
      </c>
      <c r="C540">
        <v>2</v>
      </c>
      <c r="D540" t="s">
        <v>42</v>
      </c>
      <c r="E540">
        <v>2</v>
      </c>
      <c r="F540">
        <v>1</v>
      </c>
      <c r="G540" s="12">
        <v>55</v>
      </c>
      <c r="H540" s="12">
        <v>17.5</v>
      </c>
      <c r="I540" s="12">
        <v>1681</v>
      </c>
      <c r="J540" s="12">
        <v>20.329999999999998</v>
      </c>
      <c r="K540" s="12">
        <v>54.567</v>
      </c>
      <c r="L540" s="12">
        <v>0.23799999999999999</v>
      </c>
      <c r="M540" s="19">
        <v>400.8</v>
      </c>
      <c r="N540" s="12">
        <v>3.1179999999999999</v>
      </c>
      <c r="O540" s="13">
        <v>7.2869999999999999</v>
      </c>
      <c r="P540" s="14">
        <v>55</v>
      </c>
      <c r="Q540" s="14">
        <v>20.329999999999998</v>
      </c>
      <c r="R540" s="14">
        <v>220.38200000000001</v>
      </c>
      <c r="S540" s="14">
        <v>180.41800000000001</v>
      </c>
      <c r="T540" s="10" t="b">
        <f t="shared" si="130"/>
        <v>1</v>
      </c>
      <c r="U540" s="10" t="b">
        <f t="shared" si="131"/>
        <v>1</v>
      </c>
      <c r="V540" s="11">
        <f>VLOOKUP(IF(J540&lt;10, 10, IF(J540&gt;50,50,J540)),'Over to underbark'!$A$3:$C$43,IF(A540="Scots pine",3,IF(A540="Sitka spruce",2, "error")),TRUE)/100</f>
        <v>0.9</v>
      </c>
      <c r="W540">
        <f t="shared" si="132"/>
        <v>178.50942000000001</v>
      </c>
      <c r="X540">
        <f t="shared" si="133"/>
        <v>146.13858000000002</v>
      </c>
      <c r="Y540">
        <f t="shared" si="134"/>
        <v>36.071999999999996</v>
      </c>
      <c r="Z540">
        <f t="shared" si="122"/>
        <v>158.48315687700003</v>
      </c>
      <c r="AA540">
        <f t="shared" si="123"/>
        <v>37.672036199999994</v>
      </c>
      <c r="AB540">
        <f t="shared" si="124"/>
        <v>83.896310763000002</v>
      </c>
      <c r="AC540">
        <f t="shared" si="125"/>
        <v>80.668496160000004</v>
      </c>
      <c r="AD540">
        <f>LOOKUP($A540,'Over to underbark'!$A$47:$A$48,'Over to underbark'!E$47:E$48)*Z540</f>
        <v>52.299441769410009</v>
      </c>
      <c r="AE540">
        <f>LOOKUP($A540,'Over to underbark'!$A$47:$A$48,'Over to underbark'!E$47:E$48)*AA540</f>
        <v>12.431771945999998</v>
      </c>
      <c r="AF540">
        <f>LOOKUP($A540,'Over to underbark'!$A$47:$A$48,'Over to underbark'!E$47:E$48)*AB540</f>
        <v>27.685782551790002</v>
      </c>
      <c r="AG540">
        <f>LOOKUP($A540,'Over to underbark'!$A$47:$A$48,'Over to underbark'!E$47:E$48)*AC540</f>
        <v>26.620603732800003</v>
      </c>
      <c r="AH540" t="b">
        <f t="shared" si="126"/>
        <v>1</v>
      </c>
      <c r="AI540" t="b">
        <f t="shared" si="135"/>
        <v>1</v>
      </c>
      <c r="AJ540">
        <f>LOOKUP(A540,'Over to underbark'!$A$47:$A$48,'Over to underbark'!E$47:E$48)*M540</f>
        <v>132.26400000000001</v>
      </c>
      <c r="AK540" s="22">
        <f>LOOKUP(A540,'Over to underbark'!$A$47:$A$48,'Over to underbark'!$B$47:$B$48)*AJ540</f>
        <v>42.324480000000001</v>
      </c>
      <c r="AL540" s="22">
        <f>LOOKUP(A540,'Over to underbark'!$A$47:$A$48,'Over to underbark'!C$47:C$48)*AJ540</f>
        <v>64.809359999999998</v>
      </c>
      <c r="AM540" s="22">
        <f t="shared" si="127"/>
        <v>174.58848</v>
      </c>
      <c r="AN540" s="36">
        <v>529.05999999999995</v>
      </c>
      <c r="AO540" s="23">
        <f t="shared" si="128"/>
        <v>349.17696000000001</v>
      </c>
      <c r="AQ540">
        <f t="shared" si="129"/>
        <v>0.68181818181818188</v>
      </c>
    </row>
    <row r="541" spans="1:43" x14ac:dyDescent="0.35">
      <c r="A541" t="s">
        <v>43</v>
      </c>
      <c r="B541">
        <v>8</v>
      </c>
      <c r="C541">
        <v>2</v>
      </c>
      <c r="D541" t="s">
        <v>42</v>
      </c>
      <c r="E541">
        <v>2</v>
      </c>
      <c r="F541">
        <v>1</v>
      </c>
      <c r="G541" s="12">
        <v>56</v>
      </c>
      <c r="H541" s="12">
        <v>17.728000000000002</v>
      </c>
      <c r="I541" s="12">
        <v>1661</v>
      </c>
      <c r="J541" s="12">
        <v>20.524000000000001</v>
      </c>
      <c r="K541" s="12">
        <v>54.953000000000003</v>
      </c>
      <c r="L541" s="12">
        <v>0.246</v>
      </c>
      <c r="M541" s="19">
        <v>409.34</v>
      </c>
      <c r="N541" s="12">
        <v>3.3479999999999999</v>
      </c>
      <c r="O541" s="13">
        <v>7.31</v>
      </c>
      <c r="P541" s="14">
        <v>56</v>
      </c>
      <c r="Q541" s="14">
        <v>20.524000000000001</v>
      </c>
      <c r="R541" s="14">
        <v>220.82499999999999</v>
      </c>
      <c r="S541" s="14">
        <v>188.51499999999999</v>
      </c>
      <c r="T541" s="10" t="b">
        <f t="shared" si="130"/>
        <v>1</v>
      </c>
      <c r="U541" s="10" t="b">
        <f t="shared" si="131"/>
        <v>1</v>
      </c>
      <c r="V541" s="11">
        <f>VLOOKUP(IF(J541&lt;10, 10, IF(J541&gt;50,50,J541)),'Over to underbark'!$A$3:$C$43,IF(A541="Scots pine",3,IF(A541="Sitka spruce",2, "error")),TRUE)/100</f>
        <v>0.9</v>
      </c>
      <c r="W541">
        <f t="shared" si="132"/>
        <v>178.86825000000002</v>
      </c>
      <c r="X541">
        <f t="shared" si="133"/>
        <v>152.69714999999999</v>
      </c>
      <c r="Y541">
        <f t="shared" si="134"/>
        <v>36.840599999999995</v>
      </c>
      <c r="Z541">
        <f t="shared" si="122"/>
        <v>161.1733098375</v>
      </c>
      <c r="AA541">
        <f t="shared" si="123"/>
        <v>38.095807499999999</v>
      </c>
      <c r="AB541">
        <f t="shared" si="124"/>
        <v>84.84805586249999</v>
      </c>
      <c r="AC541">
        <f t="shared" si="125"/>
        <v>84.288826799999995</v>
      </c>
      <c r="AD541">
        <f>LOOKUP($A541,'Over to underbark'!$A$47:$A$48,'Over to underbark'!E$47:E$48)*Z541</f>
        <v>53.187192246375005</v>
      </c>
      <c r="AE541">
        <f>LOOKUP($A541,'Over to underbark'!$A$47:$A$48,'Over to underbark'!E$47:E$48)*AA541</f>
        <v>12.571616475000001</v>
      </c>
      <c r="AF541">
        <f>LOOKUP($A541,'Over to underbark'!$A$47:$A$48,'Over to underbark'!E$47:E$48)*AB541</f>
        <v>27.999858434624997</v>
      </c>
      <c r="AG541">
        <f>LOOKUP($A541,'Over to underbark'!$A$47:$A$48,'Over to underbark'!E$47:E$48)*AC541</f>
        <v>27.815312844000001</v>
      </c>
      <c r="AH541" t="b">
        <f t="shared" si="126"/>
        <v>1</v>
      </c>
      <c r="AI541" t="b">
        <f t="shared" si="135"/>
        <v>1</v>
      </c>
      <c r="AJ541">
        <f>LOOKUP(A541,'Over to underbark'!$A$47:$A$48,'Over to underbark'!E$47:E$48)*M541</f>
        <v>135.0822</v>
      </c>
      <c r="AK541" s="22">
        <f>LOOKUP(A541,'Over to underbark'!$A$47:$A$48,'Over to underbark'!$B$47:$B$48)*AJ541</f>
        <v>43.226303999999999</v>
      </c>
      <c r="AL541" s="22">
        <f>LOOKUP(A541,'Over to underbark'!$A$47:$A$48,'Over to underbark'!C$47:C$48)*AJ541</f>
        <v>66.190277999999992</v>
      </c>
      <c r="AM541" s="22">
        <f t="shared" si="127"/>
        <v>178.308504</v>
      </c>
      <c r="AN541" s="36">
        <v>540.33000000000004</v>
      </c>
      <c r="AO541" s="23">
        <f t="shared" si="128"/>
        <v>356.617008</v>
      </c>
      <c r="AQ541">
        <f t="shared" si="129"/>
        <v>0.68181818181818188</v>
      </c>
    </row>
    <row r="542" spans="1:43" x14ac:dyDescent="0.35">
      <c r="A542" t="s">
        <v>43</v>
      </c>
      <c r="B542">
        <v>8</v>
      </c>
      <c r="C542">
        <v>2</v>
      </c>
      <c r="D542" t="s">
        <v>42</v>
      </c>
      <c r="E542">
        <v>2</v>
      </c>
      <c r="F542">
        <v>1</v>
      </c>
      <c r="G542" s="12">
        <v>57</v>
      </c>
      <c r="H542" s="12">
        <v>17.956</v>
      </c>
      <c r="I542" s="12">
        <v>1641</v>
      </c>
      <c r="J542" s="12">
        <v>20.721</v>
      </c>
      <c r="K542" s="12">
        <v>55.338000000000001</v>
      </c>
      <c r="L542" s="12">
        <v>0.255</v>
      </c>
      <c r="M542" s="19">
        <v>417.88</v>
      </c>
      <c r="N542" s="12">
        <v>3.5680000000000001</v>
      </c>
      <c r="O542" s="13">
        <v>7.3310000000000004</v>
      </c>
      <c r="P542" s="14">
        <v>57</v>
      </c>
      <c r="Q542" s="14">
        <v>20.721</v>
      </c>
      <c r="R542" s="14">
        <v>221.07400000000001</v>
      </c>
      <c r="S542" s="14">
        <v>196.80600000000001</v>
      </c>
      <c r="T542" s="10" t="b">
        <f t="shared" si="130"/>
        <v>1</v>
      </c>
      <c r="U542" s="10" t="b">
        <f t="shared" si="131"/>
        <v>1</v>
      </c>
      <c r="V542" s="11">
        <f>VLOOKUP(IF(J542&lt;10, 10, IF(J542&gt;50,50,J542)),'Over to underbark'!$A$3:$C$43,IF(A542="Scots pine",3,IF(A542="Sitka spruce",2, "error")),TRUE)/100</f>
        <v>0.9</v>
      </c>
      <c r="W542">
        <f t="shared" si="132"/>
        <v>179.06994000000003</v>
      </c>
      <c r="X542">
        <f t="shared" si="133"/>
        <v>159.41286000000002</v>
      </c>
      <c r="Y542">
        <f t="shared" si="134"/>
        <v>37.609199999999987</v>
      </c>
      <c r="Z542">
        <f t="shared" si="122"/>
        <v>163.83213693900001</v>
      </c>
      <c r="AA542">
        <f t="shared" si="123"/>
        <v>38.502293399999999</v>
      </c>
      <c r="AB542">
        <f t="shared" si="124"/>
        <v>85.761670941000006</v>
      </c>
      <c r="AC542">
        <f t="shared" si="125"/>
        <v>87.995898720000014</v>
      </c>
      <c r="AD542">
        <f>LOOKUP($A542,'Over to underbark'!$A$47:$A$48,'Over to underbark'!E$47:E$48)*Z542</f>
        <v>54.064605189870008</v>
      </c>
      <c r="AE542">
        <f>LOOKUP($A542,'Over to underbark'!$A$47:$A$48,'Over to underbark'!E$47:E$48)*AA542</f>
        <v>12.705756822</v>
      </c>
      <c r="AF542">
        <f>LOOKUP($A542,'Over to underbark'!$A$47:$A$48,'Over to underbark'!E$47:E$48)*AB542</f>
        <v>28.301351410530003</v>
      </c>
      <c r="AG542">
        <f>LOOKUP($A542,'Over to underbark'!$A$47:$A$48,'Over to underbark'!E$47:E$48)*AC542</f>
        <v>29.038646577600005</v>
      </c>
      <c r="AH542" t="b">
        <f t="shared" si="126"/>
        <v>1</v>
      </c>
      <c r="AI542" t="b">
        <f t="shared" si="135"/>
        <v>1</v>
      </c>
      <c r="AJ542">
        <f>LOOKUP(A542,'Over to underbark'!$A$47:$A$48,'Over to underbark'!E$47:E$48)*M542</f>
        <v>137.90040000000002</v>
      </c>
      <c r="AK542" s="22">
        <f>LOOKUP(A542,'Over to underbark'!$A$47:$A$48,'Over to underbark'!$B$47:$B$48)*AJ542</f>
        <v>44.128128000000004</v>
      </c>
      <c r="AL542" s="22">
        <f>LOOKUP(A542,'Over to underbark'!$A$47:$A$48,'Over to underbark'!C$47:C$48)*AJ542</f>
        <v>67.571196000000015</v>
      </c>
      <c r="AM542" s="22">
        <f t="shared" si="127"/>
        <v>182.02852800000002</v>
      </c>
      <c r="AN542" s="36">
        <v>551.6</v>
      </c>
      <c r="AO542" s="23">
        <f t="shared" si="128"/>
        <v>364.05705600000005</v>
      </c>
      <c r="AQ542">
        <f t="shared" si="129"/>
        <v>0.68181818181818177</v>
      </c>
    </row>
    <row r="543" spans="1:43" x14ac:dyDescent="0.35">
      <c r="A543" t="s">
        <v>43</v>
      </c>
      <c r="B543">
        <v>8</v>
      </c>
      <c r="C543">
        <v>2</v>
      </c>
      <c r="D543" t="s">
        <v>42</v>
      </c>
      <c r="E543">
        <v>2</v>
      </c>
      <c r="F543">
        <v>1</v>
      </c>
      <c r="G543" s="12">
        <v>58</v>
      </c>
      <c r="H543" s="12">
        <v>18.184000000000001</v>
      </c>
      <c r="I543" s="12">
        <v>1621</v>
      </c>
      <c r="J543" s="12">
        <v>20.920999999999999</v>
      </c>
      <c r="K543" s="12">
        <v>55.722999999999999</v>
      </c>
      <c r="L543" s="12">
        <v>0.26300000000000001</v>
      </c>
      <c r="M543" s="19">
        <v>426.42</v>
      </c>
      <c r="N543" s="12">
        <v>3.7770000000000001</v>
      </c>
      <c r="O543" s="13">
        <v>7.3520000000000003</v>
      </c>
      <c r="P543" s="14">
        <v>58</v>
      </c>
      <c r="Q543" s="14">
        <v>20.920999999999999</v>
      </c>
      <c r="R543" s="14">
        <v>221.131</v>
      </c>
      <c r="S543" s="14">
        <v>205.28899999999999</v>
      </c>
      <c r="T543" s="10" t="b">
        <f t="shared" si="130"/>
        <v>1</v>
      </c>
      <c r="U543" s="10" t="b">
        <f t="shared" si="131"/>
        <v>1</v>
      </c>
      <c r="V543" s="11">
        <f>VLOOKUP(IF(J543&lt;10, 10, IF(J543&gt;50,50,J543)),'Over to underbark'!$A$3:$C$43,IF(A543="Scots pine",3,IF(A543="Sitka spruce",2, "error")),TRUE)/100</f>
        <v>0.9</v>
      </c>
      <c r="W543">
        <f t="shared" si="132"/>
        <v>179.11610999999999</v>
      </c>
      <c r="X543">
        <f t="shared" si="133"/>
        <v>166.28408999999999</v>
      </c>
      <c r="Y543">
        <f t="shared" si="134"/>
        <v>38.377799999999986</v>
      </c>
      <c r="Z543">
        <f t="shared" si="122"/>
        <v>166.45996112849997</v>
      </c>
      <c r="AA543">
        <f t="shared" si="123"/>
        <v>38.891672099999994</v>
      </c>
      <c r="AB543">
        <f t="shared" si="124"/>
        <v>86.637549091499992</v>
      </c>
      <c r="AC543">
        <f t="shared" si="125"/>
        <v>91.788817679999994</v>
      </c>
      <c r="AD543">
        <f>LOOKUP($A543,'Over to underbark'!$A$47:$A$48,'Over to underbark'!E$47:E$48)*Z543</f>
        <v>54.931787172404995</v>
      </c>
      <c r="AE543">
        <f>LOOKUP($A543,'Over to underbark'!$A$47:$A$48,'Over to underbark'!E$47:E$48)*AA543</f>
        <v>12.834251792999998</v>
      </c>
      <c r="AF543">
        <f>LOOKUP($A543,'Over to underbark'!$A$47:$A$48,'Over to underbark'!E$47:E$48)*AB543</f>
        <v>28.590391200194997</v>
      </c>
      <c r="AG543">
        <f>LOOKUP($A543,'Over to underbark'!$A$47:$A$48,'Over to underbark'!E$47:E$48)*AC543</f>
        <v>30.290309834399999</v>
      </c>
      <c r="AH543" t="b">
        <f t="shared" si="126"/>
        <v>1</v>
      </c>
      <c r="AI543" t="b">
        <f t="shared" si="135"/>
        <v>1</v>
      </c>
      <c r="AJ543">
        <f>LOOKUP(A543,'Over to underbark'!$A$47:$A$48,'Over to underbark'!E$47:E$48)*M543</f>
        <v>140.71860000000001</v>
      </c>
      <c r="AK543" s="22">
        <f>LOOKUP(A543,'Over to underbark'!$A$47:$A$48,'Over to underbark'!$B$47:$B$48)*AJ543</f>
        <v>45.029952000000002</v>
      </c>
      <c r="AL543" s="22">
        <f>LOOKUP(A543,'Over to underbark'!$A$47:$A$48,'Over to underbark'!C$47:C$48)*AJ543</f>
        <v>68.952114000000009</v>
      </c>
      <c r="AM543" s="22">
        <f t="shared" si="127"/>
        <v>185.74855200000002</v>
      </c>
      <c r="AN543" s="36">
        <v>562.87</v>
      </c>
      <c r="AO543" s="23">
        <f t="shared" si="128"/>
        <v>371.49710400000004</v>
      </c>
      <c r="AQ543">
        <f t="shared" si="129"/>
        <v>0.68181818181818177</v>
      </c>
    </row>
    <row r="544" spans="1:43" x14ac:dyDescent="0.35">
      <c r="A544" t="s">
        <v>43</v>
      </c>
      <c r="B544">
        <v>8</v>
      </c>
      <c r="C544">
        <v>2</v>
      </c>
      <c r="D544" t="s">
        <v>42</v>
      </c>
      <c r="E544">
        <v>2</v>
      </c>
      <c r="F544">
        <v>1</v>
      </c>
      <c r="G544" s="12">
        <v>59</v>
      </c>
      <c r="H544" s="12">
        <v>18.411999999999999</v>
      </c>
      <c r="I544" s="12">
        <v>1601</v>
      </c>
      <c r="J544" s="12">
        <v>21.123999999999999</v>
      </c>
      <c r="K544" s="12">
        <v>56.109000000000002</v>
      </c>
      <c r="L544" s="12">
        <v>0.27200000000000002</v>
      </c>
      <c r="M544" s="19">
        <v>434.96</v>
      </c>
      <c r="N544" s="12">
        <v>3.9780000000000002</v>
      </c>
      <c r="O544" s="13">
        <v>7.3719999999999999</v>
      </c>
      <c r="P544" s="14">
        <v>59</v>
      </c>
      <c r="Q544" s="14">
        <v>21.123999999999999</v>
      </c>
      <c r="R544" s="14">
        <v>220.999</v>
      </c>
      <c r="S544" s="14">
        <v>213.96100000000001</v>
      </c>
      <c r="T544" s="10" t="b">
        <f t="shared" si="130"/>
        <v>1</v>
      </c>
      <c r="U544" s="10" t="b">
        <f t="shared" si="131"/>
        <v>1</v>
      </c>
      <c r="V544" s="11">
        <f>VLOOKUP(IF(J544&lt;10, 10, IF(J544&gt;50,50,J544)),'Over to underbark'!$A$3:$C$43,IF(A544="Scots pine",3,IF(A544="Sitka spruce",2, "error")),TRUE)/100</f>
        <v>0.9</v>
      </c>
      <c r="W544">
        <f t="shared" si="132"/>
        <v>179.00919000000002</v>
      </c>
      <c r="X544">
        <f t="shared" si="133"/>
        <v>173.30841000000004</v>
      </c>
      <c r="Y544">
        <f t="shared" si="134"/>
        <v>39.1464</v>
      </c>
      <c r="Z544">
        <f t="shared" si="122"/>
        <v>169.05726682650001</v>
      </c>
      <c r="AA544">
        <f t="shared" si="123"/>
        <v>39.264210900000002</v>
      </c>
      <c r="AB544">
        <f t="shared" si="124"/>
        <v>87.476279953500011</v>
      </c>
      <c r="AC544">
        <f t="shared" si="125"/>
        <v>95.666242320000023</v>
      </c>
      <c r="AD544">
        <f>LOOKUP($A544,'Over to underbark'!$A$47:$A$48,'Over to underbark'!E$47:E$48)*Z544</f>
        <v>55.788898052745004</v>
      </c>
      <c r="AE544">
        <f>LOOKUP($A544,'Over to underbark'!$A$47:$A$48,'Over to underbark'!E$47:E$48)*AA544</f>
        <v>12.957189597000001</v>
      </c>
      <c r="AF544">
        <f>LOOKUP($A544,'Over to underbark'!$A$47:$A$48,'Over to underbark'!E$47:E$48)*AB544</f>
        <v>28.867172384655007</v>
      </c>
      <c r="AG544">
        <f>LOOKUP($A544,'Over to underbark'!$A$47:$A$48,'Over to underbark'!E$47:E$48)*AC544</f>
        <v>31.56985996560001</v>
      </c>
      <c r="AH544" t="b">
        <f t="shared" si="126"/>
        <v>1</v>
      </c>
      <c r="AI544" t="b">
        <f t="shared" si="135"/>
        <v>1</v>
      </c>
      <c r="AJ544">
        <f>LOOKUP(A544,'Over to underbark'!$A$47:$A$48,'Over to underbark'!E$47:E$48)*M544</f>
        <v>143.5368</v>
      </c>
      <c r="AK544" s="22">
        <f>LOOKUP(A544,'Over to underbark'!$A$47:$A$48,'Over to underbark'!$B$47:$B$48)*AJ544</f>
        <v>45.931775999999999</v>
      </c>
      <c r="AL544" s="22">
        <f>LOOKUP(A544,'Over to underbark'!$A$47:$A$48,'Over to underbark'!C$47:C$48)*AJ544</f>
        <v>70.333032000000003</v>
      </c>
      <c r="AM544" s="22">
        <f t="shared" si="127"/>
        <v>189.46857599999998</v>
      </c>
      <c r="AN544" s="36">
        <v>574.15</v>
      </c>
      <c r="AO544" s="23">
        <f t="shared" si="128"/>
        <v>378.93715199999997</v>
      </c>
      <c r="AQ544">
        <f t="shared" si="129"/>
        <v>0.68181818181818199</v>
      </c>
    </row>
    <row r="545" spans="1:43" x14ac:dyDescent="0.35">
      <c r="A545" t="s">
        <v>43</v>
      </c>
      <c r="B545">
        <v>8</v>
      </c>
      <c r="C545">
        <v>2</v>
      </c>
      <c r="D545" t="s">
        <v>42</v>
      </c>
      <c r="E545">
        <v>2</v>
      </c>
      <c r="F545">
        <v>1</v>
      </c>
      <c r="G545" s="12">
        <v>60</v>
      </c>
      <c r="H545" s="12">
        <v>18.64</v>
      </c>
      <c r="I545" s="12">
        <v>1581</v>
      </c>
      <c r="J545" s="12">
        <v>21.33</v>
      </c>
      <c r="K545" s="12">
        <v>56.494</v>
      </c>
      <c r="L545" s="12">
        <v>0.28100000000000003</v>
      </c>
      <c r="M545" s="19">
        <v>443.5</v>
      </c>
      <c r="N545" s="12">
        <v>4.17</v>
      </c>
      <c r="O545" s="13">
        <v>7.3920000000000003</v>
      </c>
      <c r="P545" s="14">
        <v>60</v>
      </c>
      <c r="Q545" s="14">
        <v>21.33</v>
      </c>
      <c r="R545" s="14">
        <v>220.68</v>
      </c>
      <c r="S545" s="14">
        <v>222.82</v>
      </c>
      <c r="T545" s="10" t="b">
        <f t="shared" si="130"/>
        <v>1</v>
      </c>
      <c r="U545" s="10" t="b">
        <f t="shared" si="131"/>
        <v>1</v>
      </c>
      <c r="V545" s="11">
        <f>VLOOKUP(IF(J545&lt;10, 10, IF(J545&gt;50,50,J545)),'Over to underbark'!$A$3:$C$43,IF(A545="Scots pine",3,IF(A545="Sitka spruce",2, "error")),TRUE)/100</f>
        <v>0.9</v>
      </c>
      <c r="W545">
        <f t="shared" si="132"/>
        <v>178.75080000000003</v>
      </c>
      <c r="X545">
        <f t="shared" si="133"/>
        <v>180.48420000000002</v>
      </c>
      <c r="Y545">
        <f t="shared" si="134"/>
        <v>39.914999999999992</v>
      </c>
      <c r="Z545">
        <f t="shared" si="122"/>
        <v>171.62437698000002</v>
      </c>
      <c r="AA545">
        <f t="shared" si="123"/>
        <v>39.620087999999996</v>
      </c>
      <c r="AB545">
        <f t="shared" si="124"/>
        <v>88.278256619999993</v>
      </c>
      <c r="AC545">
        <f t="shared" si="125"/>
        <v>99.627278400000009</v>
      </c>
      <c r="AD545">
        <f>LOOKUP($A545,'Over to underbark'!$A$47:$A$48,'Over to underbark'!E$47:E$48)*Z545</f>
        <v>56.636044403400007</v>
      </c>
      <c r="AE545">
        <f>LOOKUP($A545,'Over to underbark'!$A$47:$A$48,'Over to underbark'!E$47:E$48)*AA545</f>
        <v>13.07462904</v>
      </c>
      <c r="AF545">
        <f>LOOKUP($A545,'Over to underbark'!$A$47:$A$48,'Over to underbark'!E$47:E$48)*AB545</f>
        <v>29.131824684599998</v>
      </c>
      <c r="AG545">
        <f>LOOKUP($A545,'Over to underbark'!$A$47:$A$48,'Over to underbark'!E$47:E$48)*AC545</f>
        <v>32.877001872000001</v>
      </c>
      <c r="AH545" t="b">
        <f t="shared" si="126"/>
        <v>1</v>
      </c>
      <c r="AI545" t="b">
        <f t="shared" si="135"/>
        <v>1</v>
      </c>
      <c r="AJ545">
        <f>LOOKUP(A545,'Over to underbark'!$A$47:$A$48,'Over to underbark'!E$47:E$48)*M545</f>
        <v>146.35500000000002</v>
      </c>
      <c r="AK545" s="22">
        <f>LOOKUP(A545,'Over to underbark'!$A$47:$A$48,'Over to underbark'!$B$47:$B$48)*AJ545</f>
        <v>46.833600000000004</v>
      </c>
      <c r="AL545" s="22">
        <f>LOOKUP(A545,'Over to underbark'!$A$47:$A$48,'Over to underbark'!C$47:C$48)*AJ545</f>
        <v>71.713950000000011</v>
      </c>
      <c r="AM545" s="22">
        <f t="shared" si="127"/>
        <v>193.18860000000001</v>
      </c>
      <c r="AN545" s="36">
        <v>585.41999999999996</v>
      </c>
      <c r="AO545" s="23">
        <f t="shared" si="128"/>
        <v>386.37720000000002</v>
      </c>
      <c r="AQ545">
        <f t="shared" si="129"/>
        <v>0.68181818181818188</v>
      </c>
    </row>
    <row r="546" spans="1:43" x14ac:dyDescent="0.35">
      <c r="A546" t="s">
        <v>43</v>
      </c>
      <c r="B546">
        <v>8</v>
      </c>
      <c r="C546">
        <v>2</v>
      </c>
      <c r="D546" t="s">
        <v>42</v>
      </c>
      <c r="E546">
        <v>2</v>
      </c>
      <c r="F546">
        <v>1</v>
      </c>
      <c r="G546" s="12">
        <v>61</v>
      </c>
      <c r="H546" s="12">
        <v>18.827999999999999</v>
      </c>
      <c r="I546" s="12">
        <v>1564</v>
      </c>
      <c r="J546" s="12">
        <v>21.507000000000001</v>
      </c>
      <c r="K546" s="12">
        <v>56.816000000000003</v>
      </c>
      <c r="L546" s="12">
        <v>0.28799999999999998</v>
      </c>
      <c r="M546" s="19">
        <v>450.56</v>
      </c>
      <c r="N546" s="12">
        <v>4.4050000000000002</v>
      </c>
      <c r="O546" s="13">
        <v>7.3860000000000001</v>
      </c>
      <c r="P546" s="14">
        <v>61</v>
      </c>
      <c r="Q546" s="14">
        <v>21.507000000000001</v>
      </c>
      <c r="R546" s="14">
        <v>220.178</v>
      </c>
      <c r="S546" s="14">
        <v>230.38200000000001</v>
      </c>
      <c r="T546" s="10" t="b">
        <f t="shared" si="130"/>
        <v>1</v>
      </c>
      <c r="U546" s="10" t="b">
        <f t="shared" si="131"/>
        <v>1</v>
      </c>
      <c r="V546" s="11">
        <f>VLOOKUP(IF(J546&lt;10, 10, IF(J546&gt;50,50,J546)),'Over to underbark'!$A$3:$C$43,IF(A546="Scots pine",3,IF(A546="Sitka spruce",2, "error")),TRUE)/100</f>
        <v>0.9</v>
      </c>
      <c r="W546">
        <f t="shared" si="132"/>
        <v>178.34417999999999</v>
      </c>
      <c r="X546">
        <f t="shared" si="133"/>
        <v>186.60942000000003</v>
      </c>
      <c r="Y546">
        <f t="shared" si="134"/>
        <v>40.550399999999996</v>
      </c>
      <c r="Z546">
        <f t="shared" si="122"/>
        <v>173.708125083</v>
      </c>
      <c r="AA546">
        <f t="shared" si="123"/>
        <v>39.893059799999996</v>
      </c>
      <c r="AB546">
        <f t="shared" si="124"/>
        <v>88.894415276999993</v>
      </c>
      <c r="AC546">
        <f t="shared" si="125"/>
        <v>103.00839984000002</v>
      </c>
      <c r="AD546">
        <f>LOOKUP($A546,'Over to underbark'!$A$47:$A$48,'Over to underbark'!E$47:E$48)*Z546</f>
        <v>57.323681277390001</v>
      </c>
      <c r="AE546">
        <f>LOOKUP($A546,'Over to underbark'!$A$47:$A$48,'Over to underbark'!E$47:E$48)*AA546</f>
        <v>13.164709733999999</v>
      </c>
      <c r="AF546">
        <f>LOOKUP($A546,'Over to underbark'!$A$47:$A$48,'Over to underbark'!E$47:E$48)*AB546</f>
        <v>29.33515704141</v>
      </c>
      <c r="AG546">
        <f>LOOKUP($A546,'Over to underbark'!$A$47:$A$48,'Over to underbark'!E$47:E$48)*AC546</f>
        <v>33.992771947200012</v>
      </c>
      <c r="AH546" t="b">
        <f t="shared" si="126"/>
        <v>1</v>
      </c>
      <c r="AI546" t="b">
        <f t="shared" si="135"/>
        <v>1</v>
      </c>
      <c r="AJ546">
        <f>LOOKUP(A546,'Over to underbark'!$A$47:$A$48,'Over to underbark'!E$47:E$48)*M546</f>
        <v>148.6848</v>
      </c>
      <c r="AK546" s="22">
        <f>LOOKUP(A546,'Over to underbark'!$A$47:$A$48,'Over to underbark'!$B$47:$B$48)*AJ546</f>
        <v>47.579135999999998</v>
      </c>
      <c r="AL546" s="22">
        <f>LOOKUP(A546,'Over to underbark'!$A$47:$A$48,'Over to underbark'!C$47:C$48)*AJ546</f>
        <v>72.855552000000003</v>
      </c>
      <c r="AM546" s="22">
        <f t="shared" si="127"/>
        <v>196.263936</v>
      </c>
      <c r="AN546" s="36">
        <v>594.74</v>
      </c>
      <c r="AO546" s="23">
        <f t="shared" si="128"/>
        <v>392.527872</v>
      </c>
      <c r="AQ546">
        <f t="shared" si="129"/>
        <v>0.68181818181818188</v>
      </c>
    </row>
    <row r="547" spans="1:43" x14ac:dyDescent="0.35">
      <c r="A547" t="s">
        <v>43</v>
      </c>
      <c r="B547">
        <v>8</v>
      </c>
      <c r="C547">
        <v>2</v>
      </c>
      <c r="D547" t="s">
        <v>42</v>
      </c>
      <c r="E547">
        <v>2</v>
      </c>
      <c r="F547">
        <v>1</v>
      </c>
      <c r="G547" s="12">
        <v>62</v>
      </c>
      <c r="H547" s="12">
        <v>19.015999999999998</v>
      </c>
      <c r="I547" s="12">
        <v>1547</v>
      </c>
      <c r="J547" s="12">
        <v>21.686</v>
      </c>
      <c r="K547" s="12">
        <v>57.137</v>
      </c>
      <c r="L547" s="12">
        <v>0.29599999999999999</v>
      </c>
      <c r="M547" s="19">
        <v>457.62</v>
      </c>
      <c r="N547" s="12">
        <v>4.6310000000000002</v>
      </c>
      <c r="O547" s="13">
        <v>7.3810000000000002</v>
      </c>
      <c r="P547" s="14">
        <v>62</v>
      </c>
      <c r="Q547" s="14">
        <v>21.686</v>
      </c>
      <c r="R547" s="14">
        <v>219.554</v>
      </c>
      <c r="S547" s="14">
        <v>238.066</v>
      </c>
      <c r="T547" s="10" t="b">
        <f t="shared" si="130"/>
        <v>1</v>
      </c>
      <c r="U547" s="10" t="b">
        <f t="shared" si="131"/>
        <v>1</v>
      </c>
      <c r="V547" s="11">
        <f>VLOOKUP(IF(J547&lt;10, 10, IF(J547&gt;50,50,J547)),'Over to underbark'!$A$3:$C$43,IF(A547="Scots pine",3,IF(A547="Sitka spruce",2, "error")),TRUE)/100</f>
        <v>0.9</v>
      </c>
      <c r="W547">
        <f t="shared" si="132"/>
        <v>177.83874</v>
      </c>
      <c r="X547">
        <f t="shared" si="133"/>
        <v>192.83346</v>
      </c>
      <c r="Y547">
        <f t="shared" si="134"/>
        <v>41.185799999999993</v>
      </c>
      <c r="Z547">
        <f t="shared" si="122"/>
        <v>175.77217341899998</v>
      </c>
      <c r="AA547">
        <f t="shared" si="123"/>
        <v>40.155161399999997</v>
      </c>
      <c r="AB547">
        <f t="shared" si="124"/>
        <v>89.486595260999991</v>
      </c>
      <c r="AC547">
        <f t="shared" si="125"/>
        <v>106.44406992</v>
      </c>
      <c r="AD547">
        <f>LOOKUP($A547,'Over to underbark'!$A$47:$A$48,'Over to underbark'!E$47:E$48)*Z547</f>
        <v>58.004817228269999</v>
      </c>
      <c r="AE547">
        <f>LOOKUP($A547,'Over to underbark'!$A$47:$A$48,'Over to underbark'!E$47:E$48)*AA547</f>
        <v>13.251203261999999</v>
      </c>
      <c r="AF547">
        <f>LOOKUP($A547,'Over to underbark'!$A$47:$A$48,'Over to underbark'!E$47:E$48)*AB547</f>
        <v>29.530576436129998</v>
      </c>
      <c r="AG547">
        <f>LOOKUP($A547,'Over to underbark'!$A$47:$A$48,'Over to underbark'!E$47:E$48)*AC547</f>
        <v>35.126543073600004</v>
      </c>
      <c r="AH547" t="b">
        <f t="shared" si="126"/>
        <v>1</v>
      </c>
      <c r="AI547" t="b">
        <f t="shared" si="135"/>
        <v>1</v>
      </c>
      <c r="AJ547">
        <f>LOOKUP(A547,'Over to underbark'!$A$47:$A$48,'Over to underbark'!E$47:E$48)*M547</f>
        <v>151.0146</v>
      </c>
      <c r="AK547" s="22">
        <f>LOOKUP(A547,'Over to underbark'!$A$47:$A$48,'Over to underbark'!$B$47:$B$48)*AJ547</f>
        <v>48.324672</v>
      </c>
      <c r="AL547" s="22">
        <f>LOOKUP(A547,'Over to underbark'!$A$47:$A$48,'Over to underbark'!C$47:C$48)*AJ547</f>
        <v>73.997153999999995</v>
      </c>
      <c r="AM547" s="22">
        <f t="shared" si="127"/>
        <v>199.33927199999999</v>
      </c>
      <c r="AN547" s="36">
        <v>604.05999999999995</v>
      </c>
      <c r="AO547" s="23">
        <f t="shared" si="128"/>
        <v>398.67854399999999</v>
      </c>
      <c r="AQ547">
        <f t="shared" si="129"/>
        <v>0.68181818181818188</v>
      </c>
    </row>
    <row r="548" spans="1:43" x14ac:dyDescent="0.35">
      <c r="A548" t="s">
        <v>43</v>
      </c>
      <c r="B548">
        <v>8</v>
      </c>
      <c r="C548">
        <v>2</v>
      </c>
      <c r="D548" t="s">
        <v>42</v>
      </c>
      <c r="E548">
        <v>2</v>
      </c>
      <c r="F548">
        <v>1</v>
      </c>
      <c r="G548" s="12">
        <v>63</v>
      </c>
      <c r="H548" s="12">
        <v>19.204000000000001</v>
      </c>
      <c r="I548" s="12">
        <v>1530</v>
      </c>
      <c r="J548" s="12">
        <v>21.867000000000001</v>
      </c>
      <c r="K548" s="12">
        <v>57.459000000000003</v>
      </c>
      <c r="L548" s="12">
        <v>0.30399999999999999</v>
      </c>
      <c r="M548" s="19">
        <v>464.68</v>
      </c>
      <c r="N548" s="12">
        <v>4.8490000000000002</v>
      </c>
      <c r="O548" s="13">
        <v>7.3760000000000003</v>
      </c>
      <c r="P548" s="14">
        <v>63</v>
      </c>
      <c r="Q548" s="14">
        <v>21.867000000000001</v>
      </c>
      <c r="R548" s="14">
        <v>218.809</v>
      </c>
      <c r="S548" s="14">
        <v>245.87100000000001</v>
      </c>
      <c r="T548" s="10" t="b">
        <f t="shared" si="130"/>
        <v>1</v>
      </c>
      <c r="U548" s="10" t="b">
        <f t="shared" si="131"/>
        <v>1</v>
      </c>
      <c r="V548" s="11">
        <f>VLOOKUP(IF(J548&lt;10, 10, IF(J548&gt;50,50,J548)),'Over to underbark'!$A$3:$C$43,IF(A548="Scots pine",3,IF(A548="Sitka spruce",2, "error")),TRUE)/100</f>
        <v>0.9</v>
      </c>
      <c r="W548">
        <f t="shared" si="132"/>
        <v>177.23528999999999</v>
      </c>
      <c r="X548">
        <f t="shared" si="133"/>
        <v>199.15551000000002</v>
      </c>
      <c r="Y548">
        <f t="shared" si="134"/>
        <v>41.82119999999999</v>
      </c>
      <c r="Z548">
        <f t="shared" si="122"/>
        <v>177.81668346149999</v>
      </c>
      <c r="AA548">
        <f t="shared" si="123"/>
        <v>40.406481899999996</v>
      </c>
      <c r="AB548">
        <f t="shared" si="124"/>
        <v>90.054993118500008</v>
      </c>
      <c r="AC548">
        <f t="shared" si="125"/>
        <v>109.93384152</v>
      </c>
      <c r="AD548">
        <f>LOOKUP($A548,'Over to underbark'!$A$47:$A$48,'Over to underbark'!E$47:E$48)*Z548</f>
        <v>58.679505542294997</v>
      </c>
      <c r="AE548">
        <f>LOOKUP($A548,'Over to underbark'!$A$47:$A$48,'Over to underbark'!E$47:E$48)*AA548</f>
        <v>13.334139026999999</v>
      </c>
      <c r="AF548">
        <f>LOOKUP($A548,'Over to underbark'!$A$47:$A$48,'Over to underbark'!E$47:E$48)*AB548</f>
        <v>29.718147729105002</v>
      </c>
      <c r="AG548">
        <f>LOOKUP($A548,'Over to underbark'!$A$47:$A$48,'Over to underbark'!E$47:E$48)*AC548</f>
        <v>36.278167701600005</v>
      </c>
      <c r="AH548" t="b">
        <f t="shared" si="126"/>
        <v>1</v>
      </c>
      <c r="AI548" t="b">
        <f t="shared" si="135"/>
        <v>1</v>
      </c>
      <c r="AJ548">
        <f>LOOKUP(A548,'Over to underbark'!$A$47:$A$48,'Over to underbark'!E$47:E$48)*M548</f>
        <v>153.34440000000001</v>
      </c>
      <c r="AK548" s="22">
        <f>LOOKUP(A548,'Over to underbark'!$A$47:$A$48,'Over to underbark'!$B$47:$B$48)*AJ548</f>
        <v>49.070208000000001</v>
      </c>
      <c r="AL548" s="22">
        <f>LOOKUP(A548,'Over to underbark'!$A$47:$A$48,'Over to underbark'!C$47:C$48)*AJ548</f>
        <v>75.138756000000001</v>
      </c>
      <c r="AM548" s="22">
        <f t="shared" si="127"/>
        <v>202.41460800000002</v>
      </c>
      <c r="AN548" s="36">
        <v>613.38</v>
      </c>
      <c r="AO548" s="23">
        <f t="shared" si="128"/>
        <v>404.82921600000003</v>
      </c>
      <c r="AQ548">
        <f t="shared" si="129"/>
        <v>0.68181818181818177</v>
      </c>
    </row>
    <row r="549" spans="1:43" x14ac:dyDescent="0.35">
      <c r="A549" t="s">
        <v>43</v>
      </c>
      <c r="B549">
        <v>8</v>
      </c>
      <c r="C549">
        <v>2</v>
      </c>
      <c r="D549" t="s">
        <v>42</v>
      </c>
      <c r="E549">
        <v>2</v>
      </c>
      <c r="F549">
        <v>1</v>
      </c>
      <c r="G549" s="12">
        <v>64</v>
      </c>
      <c r="H549" s="12">
        <v>19.391999999999999</v>
      </c>
      <c r="I549" s="12">
        <v>1513</v>
      </c>
      <c r="J549" s="12">
        <v>22.050999999999998</v>
      </c>
      <c r="K549" s="12">
        <v>57.78</v>
      </c>
      <c r="L549" s="12">
        <v>0.312</v>
      </c>
      <c r="M549" s="19">
        <v>471.74</v>
      </c>
      <c r="N549" s="12">
        <v>5.0599999999999996</v>
      </c>
      <c r="O549" s="13">
        <v>7.3710000000000004</v>
      </c>
      <c r="P549" s="14">
        <v>64</v>
      </c>
      <c r="Q549" s="14">
        <v>22.050999999999998</v>
      </c>
      <c r="R549" s="14">
        <v>217.92400000000001</v>
      </c>
      <c r="S549" s="14">
        <v>253.816</v>
      </c>
      <c r="T549" s="10" t="b">
        <f t="shared" si="130"/>
        <v>1</v>
      </c>
      <c r="U549" s="10" t="b">
        <f t="shared" si="131"/>
        <v>1</v>
      </c>
      <c r="V549" s="11">
        <f>VLOOKUP(IF(J549&lt;10, 10, IF(J549&gt;50,50,J549)),'Over to underbark'!$A$3:$C$43,IF(A549="Scots pine",3,IF(A549="Sitka spruce",2, "error")),TRUE)/100</f>
        <v>0.9</v>
      </c>
      <c r="W549">
        <f t="shared" si="132"/>
        <v>176.51844000000003</v>
      </c>
      <c r="X549">
        <f t="shared" si="133"/>
        <v>205.59096000000002</v>
      </c>
      <c r="Y549">
        <f t="shared" si="134"/>
        <v>42.456599999999995</v>
      </c>
      <c r="Z549">
        <f t="shared" si="122"/>
        <v>179.83858721400003</v>
      </c>
      <c r="AA549">
        <f t="shared" si="123"/>
        <v>40.645328399999997</v>
      </c>
      <c r="AB549">
        <f t="shared" si="124"/>
        <v>90.595874466000012</v>
      </c>
      <c r="AC549">
        <f t="shared" si="125"/>
        <v>113.48620992000001</v>
      </c>
      <c r="AD549">
        <f>LOOKUP($A549,'Over to underbark'!$A$47:$A$48,'Over to underbark'!E$47:E$48)*Z549</f>
        <v>59.346733780620013</v>
      </c>
      <c r="AE549">
        <f>LOOKUP($A549,'Over to underbark'!$A$47:$A$48,'Over to underbark'!E$47:E$48)*AA549</f>
        <v>13.412958372</v>
      </c>
      <c r="AF549">
        <f>LOOKUP($A549,'Over to underbark'!$A$47:$A$48,'Over to underbark'!E$47:E$48)*AB549</f>
        <v>29.896638573780006</v>
      </c>
      <c r="AG549">
        <f>LOOKUP($A549,'Over to underbark'!$A$47:$A$48,'Over to underbark'!E$47:E$48)*AC549</f>
        <v>37.450449273600007</v>
      </c>
      <c r="AH549" t="b">
        <f t="shared" si="126"/>
        <v>1</v>
      </c>
      <c r="AI549" t="b">
        <f t="shared" si="135"/>
        <v>1</v>
      </c>
      <c r="AJ549">
        <f>LOOKUP(A549,'Over to underbark'!$A$47:$A$48,'Over to underbark'!E$47:E$48)*M549</f>
        <v>155.67420000000001</v>
      </c>
      <c r="AK549" s="22">
        <f>LOOKUP(A549,'Over to underbark'!$A$47:$A$48,'Over to underbark'!$B$47:$B$48)*AJ549</f>
        <v>49.815744000000002</v>
      </c>
      <c r="AL549" s="22">
        <f>LOOKUP(A549,'Over to underbark'!$A$47:$A$48,'Over to underbark'!C$47:C$48)*AJ549</f>
        <v>76.280358000000007</v>
      </c>
      <c r="AM549" s="22">
        <f t="shared" si="127"/>
        <v>205.48994400000001</v>
      </c>
      <c r="AN549" s="36">
        <v>622.70000000000005</v>
      </c>
      <c r="AO549" s="23">
        <f t="shared" si="128"/>
        <v>410.97988800000002</v>
      </c>
      <c r="AQ549">
        <f t="shared" si="129"/>
        <v>0.68181818181818199</v>
      </c>
    </row>
    <row r="550" spans="1:43" x14ac:dyDescent="0.35">
      <c r="A550" t="s">
        <v>43</v>
      </c>
      <c r="B550">
        <v>8</v>
      </c>
      <c r="C550">
        <v>2</v>
      </c>
      <c r="D550" t="s">
        <v>42</v>
      </c>
      <c r="E550">
        <v>2</v>
      </c>
      <c r="F550">
        <v>1</v>
      </c>
      <c r="G550" s="12">
        <v>65</v>
      </c>
      <c r="H550" s="12">
        <v>19.579999999999998</v>
      </c>
      <c r="I550" s="12">
        <v>1497</v>
      </c>
      <c r="J550" s="12">
        <v>22.23</v>
      </c>
      <c r="K550" s="12">
        <v>58.101999999999997</v>
      </c>
      <c r="L550" s="12">
        <v>0.32</v>
      </c>
      <c r="M550" s="19">
        <v>478.8</v>
      </c>
      <c r="N550" s="12">
        <v>5.2629999999999999</v>
      </c>
      <c r="O550" s="13">
        <v>7.3659999999999997</v>
      </c>
      <c r="P550" s="14">
        <v>65</v>
      </c>
      <c r="Q550" s="14">
        <v>22.23</v>
      </c>
      <c r="R550" s="14">
        <v>217.08199999999999</v>
      </c>
      <c r="S550" s="14">
        <v>261.71800000000002</v>
      </c>
      <c r="T550" s="10" t="b">
        <f t="shared" si="130"/>
        <v>1</v>
      </c>
      <c r="U550" s="10" t="b">
        <f t="shared" si="131"/>
        <v>1</v>
      </c>
      <c r="V550" s="11">
        <f>VLOOKUP(IF(J550&lt;10, 10, IF(J550&gt;50,50,J550)),'Over to underbark'!$A$3:$C$43,IF(A550="Scots pine",3,IF(A550="Sitka spruce",2, "error")),TRUE)/100</f>
        <v>0.9</v>
      </c>
      <c r="W550">
        <f t="shared" si="132"/>
        <v>175.83642</v>
      </c>
      <c r="X550">
        <f t="shared" si="133"/>
        <v>211.99158000000003</v>
      </c>
      <c r="Y550">
        <f t="shared" si="134"/>
        <v>43.091999999999992</v>
      </c>
      <c r="Z550">
        <f t="shared" ref="Z550:Z613" si="136">(50%*Y550)+(46%*W550)+(15%*X550)+(43%*W550*10%)+(43%*W550*90%*5%)+(25%*X550*50%)+(60%*X550*8%)</f>
        <v>181.86743432700001</v>
      </c>
      <c r="AA550">
        <f t="shared" ref="AA550:AA613" si="137">(50%*Y550)+(11%*W550)</f>
        <v>40.888006199999992</v>
      </c>
      <c r="AB550">
        <f t="shared" ref="AB550:AB613" si="138">(43%*W550*90%*95%)+(25%*X550*50%)</f>
        <v>91.145207313</v>
      </c>
      <c r="AC550">
        <f t="shared" ref="AC550:AC613" si="139">60%*X550*92%</f>
        <v>117.01935216000001</v>
      </c>
      <c r="AD550">
        <f>LOOKUP($A550,'Over to underbark'!$A$47:$A$48,'Over to underbark'!E$47:E$48)*Z550</f>
        <v>60.016253327910007</v>
      </c>
      <c r="AE550">
        <f>LOOKUP($A550,'Over to underbark'!$A$47:$A$48,'Over to underbark'!E$47:E$48)*AA550</f>
        <v>13.493042045999998</v>
      </c>
      <c r="AF550">
        <f>LOOKUP($A550,'Over to underbark'!$A$47:$A$48,'Over to underbark'!E$47:E$48)*AB550</f>
        <v>30.07791841329</v>
      </c>
      <c r="AG550">
        <f>LOOKUP($A550,'Over to underbark'!$A$47:$A$48,'Over to underbark'!E$47:E$48)*AC550</f>
        <v>38.616386212800002</v>
      </c>
      <c r="AH550" t="b">
        <f t="shared" ref="AH550:AH613" si="140">SUM(W550:Y550)=SUM(Z550:AC550)</f>
        <v>1</v>
      </c>
      <c r="AI550" t="b">
        <f t="shared" si="135"/>
        <v>1</v>
      </c>
      <c r="AJ550">
        <f>LOOKUP(A550,'Over to underbark'!$A$47:$A$48,'Over to underbark'!E$47:E$48)*M550</f>
        <v>158.00400000000002</v>
      </c>
      <c r="AK550" s="22">
        <f>LOOKUP(A550,'Over to underbark'!$A$47:$A$48,'Over to underbark'!$B$47:$B$48)*AJ550</f>
        <v>50.561280000000011</v>
      </c>
      <c r="AL550" s="22">
        <f>LOOKUP(A550,'Over to underbark'!$A$47:$A$48,'Over to underbark'!C$47:C$48)*AJ550</f>
        <v>77.421960000000013</v>
      </c>
      <c r="AM550" s="22">
        <f t="shared" ref="AM550:AM613" si="141">AJ550+AK550</f>
        <v>208.56528000000003</v>
      </c>
      <c r="AN550" s="36">
        <v>632.02</v>
      </c>
      <c r="AO550" s="23">
        <f t="shared" ref="AO550:AO613" si="142">AM550*2</f>
        <v>417.13056000000006</v>
      </c>
      <c r="AQ550">
        <f t="shared" si="129"/>
        <v>0.68181818181818166</v>
      </c>
    </row>
    <row r="551" spans="1:43" x14ac:dyDescent="0.35">
      <c r="A551" t="s">
        <v>43</v>
      </c>
      <c r="B551">
        <v>8</v>
      </c>
      <c r="C551">
        <v>2</v>
      </c>
      <c r="D551" t="s">
        <v>42</v>
      </c>
      <c r="E551">
        <v>2</v>
      </c>
      <c r="F551">
        <v>1</v>
      </c>
      <c r="G551" s="12">
        <v>66</v>
      </c>
      <c r="H551" s="12">
        <v>19.736000000000001</v>
      </c>
      <c r="I551" s="12">
        <v>1483</v>
      </c>
      <c r="J551" s="12">
        <v>22.382000000000001</v>
      </c>
      <c r="K551" s="12">
        <v>58.35</v>
      </c>
      <c r="L551" s="12">
        <v>0.32700000000000001</v>
      </c>
      <c r="M551" s="19">
        <v>484.54</v>
      </c>
      <c r="N551" s="12">
        <v>5.4960000000000004</v>
      </c>
      <c r="O551" s="13">
        <v>7.3419999999999996</v>
      </c>
      <c r="P551" s="14">
        <v>66</v>
      </c>
      <c r="Q551" s="14">
        <v>22.382000000000001</v>
      </c>
      <c r="R551" s="14">
        <v>216.202</v>
      </c>
      <c r="S551" s="14">
        <v>268.33800000000002</v>
      </c>
      <c r="T551" s="10" t="b">
        <f t="shared" si="130"/>
        <v>1</v>
      </c>
      <c r="U551" s="10" t="b">
        <f t="shared" si="131"/>
        <v>1</v>
      </c>
      <c r="V551" s="11">
        <f>VLOOKUP(IF(J551&lt;10, 10, IF(J551&gt;50,50,J551)),'Over to underbark'!$A$3:$C$43,IF(A551="Scots pine",3,IF(A551="Sitka spruce",2, "error")),TRUE)/100</f>
        <v>0.9</v>
      </c>
      <c r="W551">
        <f t="shared" si="132"/>
        <v>175.12362000000002</v>
      </c>
      <c r="X551">
        <f t="shared" si="133"/>
        <v>217.35378000000003</v>
      </c>
      <c r="Y551">
        <f t="shared" si="134"/>
        <v>43.608599999999988</v>
      </c>
      <c r="Z551">
        <f t="shared" si="136"/>
        <v>183.48539384700001</v>
      </c>
      <c r="AA551">
        <f t="shared" si="137"/>
        <v>41.067898199999995</v>
      </c>
      <c r="AB551">
        <f t="shared" si="138"/>
        <v>91.553421393000008</v>
      </c>
      <c r="AC551">
        <f t="shared" si="139"/>
        <v>119.97928656000002</v>
      </c>
      <c r="AD551">
        <f>LOOKUP($A551,'Over to underbark'!$A$47:$A$48,'Over to underbark'!E$47:E$48)*Z551</f>
        <v>60.550179969510005</v>
      </c>
      <c r="AE551">
        <f>LOOKUP($A551,'Over to underbark'!$A$47:$A$48,'Over to underbark'!E$47:E$48)*AA551</f>
        <v>13.552406405999999</v>
      </c>
      <c r="AF551">
        <f>LOOKUP($A551,'Over to underbark'!$A$47:$A$48,'Over to underbark'!E$47:E$48)*AB551</f>
        <v>30.212629059690006</v>
      </c>
      <c r="AG551">
        <f>LOOKUP($A551,'Over to underbark'!$A$47:$A$48,'Over to underbark'!E$47:E$48)*AC551</f>
        <v>39.593164564800006</v>
      </c>
      <c r="AH551" t="b">
        <f t="shared" si="140"/>
        <v>1</v>
      </c>
      <c r="AI551" t="b">
        <f t="shared" si="135"/>
        <v>1</v>
      </c>
      <c r="AJ551">
        <f>LOOKUP(A551,'Over to underbark'!$A$47:$A$48,'Over to underbark'!E$47:E$48)*M551</f>
        <v>159.8982</v>
      </c>
      <c r="AK551" s="22">
        <f>LOOKUP(A551,'Over to underbark'!$A$47:$A$48,'Over to underbark'!$B$47:$B$48)*AJ551</f>
        <v>51.167424000000004</v>
      </c>
      <c r="AL551" s="22">
        <f>LOOKUP(A551,'Over to underbark'!$A$47:$A$48,'Over to underbark'!C$47:C$48)*AJ551</f>
        <v>78.350117999999995</v>
      </c>
      <c r="AM551" s="22">
        <f t="shared" si="141"/>
        <v>211.06562400000001</v>
      </c>
      <c r="AN551" s="36">
        <v>639.59</v>
      </c>
      <c r="AO551" s="23">
        <f t="shared" si="142"/>
        <v>422.13124800000003</v>
      </c>
      <c r="AQ551">
        <f t="shared" si="129"/>
        <v>0.68181818181818188</v>
      </c>
    </row>
    <row r="552" spans="1:43" x14ac:dyDescent="0.35">
      <c r="A552" t="s">
        <v>43</v>
      </c>
      <c r="B552">
        <v>8</v>
      </c>
      <c r="C552">
        <v>2</v>
      </c>
      <c r="D552" t="s">
        <v>42</v>
      </c>
      <c r="E552">
        <v>2</v>
      </c>
      <c r="F552">
        <v>1</v>
      </c>
      <c r="G552" s="12">
        <v>67</v>
      </c>
      <c r="H552" s="12">
        <v>19.891999999999999</v>
      </c>
      <c r="I552" s="12">
        <v>1469</v>
      </c>
      <c r="J552" s="12">
        <v>22.536000000000001</v>
      </c>
      <c r="K552" s="12">
        <v>58.597000000000001</v>
      </c>
      <c r="L552" s="12">
        <v>0.33400000000000002</v>
      </c>
      <c r="M552" s="19">
        <v>490.28</v>
      </c>
      <c r="N552" s="12">
        <v>5.7229999999999999</v>
      </c>
      <c r="O552" s="13">
        <v>7.3179999999999996</v>
      </c>
      <c r="P552" s="14">
        <v>67</v>
      </c>
      <c r="Q552" s="14">
        <v>22.536000000000001</v>
      </c>
      <c r="R552" s="14">
        <v>215.233</v>
      </c>
      <c r="S552" s="14">
        <v>275.04700000000003</v>
      </c>
      <c r="T552" s="10" t="b">
        <f t="shared" si="130"/>
        <v>1</v>
      </c>
      <c r="U552" s="10" t="b">
        <f t="shared" si="131"/>
        <v>1</v>
      </c>
      <c r="V552" s="11">
        <f>VLOOKUP(IF(J552&lt;10, 10, IF(J552&gt;50,50,J552)),'Over to underbark'!$A$3:$C$43,IF(A552="Scots pine",3,IF(A552="Sitka spruce",2, "error")),TRUE)/100</f>
        <v>0.9</v>
      </c>
      <c r="W552">
        <f t="shared" si="132"/>
        <v>174.33873</v>
      </c>
      <c r="X552">
        <f t="shared" si="133"/>
        <v>222.78807000000003</v>
      </c>
      <c r="Y552">
        <f t="shared" si="134"/>
        <v>44.125199999999992</v>
      </c>
      <c r="Z552">
        <f t="shared" si="136"/>
        <v>185.08898222550002</v>
      </c>
      <c r="AA552">
        <f t="shared" si="137"/>
        <v>41.239860299999997</v>
      </c>
      <c r="AB552">
        <f t="shared" si="138"/>
        <v>91.944142834499999</v>
      </c>
      <c r="AC552">
        <f t="shared" si="139"/>
        <v>122.97901464</v>
      </c>
      <c r="AD552">
        <f>LOOKUP($A552,'Over to underbark'!$A$47:$A$48,'Over to underbark'!E$47:E$48)*Z552</f>
        <v>61.079364134415009</v>
      </c>
      <c r="AE552">
        <f>LOOKUP($A552,'Over to underbark'!$A$47:$A$48,'Over to underbark'!E$47:E$48)*AA552</f>
        <v>13.609153898999999</v>
      </c>
      <c r="AF552">
        <f>LOOKUP($A552,'Over to underbark'!$A$47:$A$48,'Over to underbark'!E$47:E$48)*AB552</f>
        <v>30.341567135385002</v>
      </c>
      <c r="AG552">
        <f>LOOKUP($A552,'Over to underbark'!$A$47:$A$48,'Over to underbark'!E$47:E$48)*AC552</f>
        <v>40.583074831200001</v>
      </c>
      <c r="AH552" t="b">
        <f t="shared" si="140"/>
        <v>1</v>
      </c>
      <c r="AI552" t="b">
        <f t="shared" si="135"/>
        <v>1</v>
      </c>
      <c r="AJ552">
        <f>LOOKUP(A552,'Over to underbark'!$A$47:$A$48,'Over to underbark'!E$47:E$48)*M552</f>
        <v>161.79239999999999</v>
      </c>
      <c r="AK552" s="22">
        <f>LOOKUP(A552,'Over to underbark'!$A$47:$A$48,'Over to underbark'!$B$47:$B$48)*AJ552</f>
        <v>51.773567999999997</v>
      </c>
      <c r="AL552" s="22">
        <f>LOOKUP(A552,'Over to underbark'!$A$47:$A$48,'Over to underbark'!C$47:C$48)*AJ552</f>
        <v>79.278275999999991</v>
      </c>
      <c r="AM552" s="22">
        <f t="shared" si="141"/>
        <v>213.565968</v>
      </c>
      <c r="AN552" s="36">
        <v>647.16999999999996</v>
      </c>
      <c r="AO552" s="23">
        <f t="shared" si="142"/>
        <v>427.131936</v>
      </c>
      <c r="AQ552">
        <f t="shared" si="129"/>
        <v>0.68181818181818188</v>
      </c>
    </row>
    <row r="553" spans="1:43" x14ac:dyDescent="0.35">
      <c r="A553" t="s">
        <v>43</v>
      </c>
      <c r="B553">
        <v>8</v>
      </c>
      <c r="C553">
        <v>2</v>
      </c>
      <c r="D553" t="s">
        <v>42</v>
      </c>
      <c r="E553">
        <v>2</v>
      </c>
      <c r="F553">
        <v>1</v>
      </c>
      <c r="G553" s="12">
        <v>68</v>
      </c>
      <c r="H553" s="12">
        <v>20.047999999999998</v>
      </c>
      <c r="I553" s="12">
        <v>1455</v>
      </c>
      <c r="J553" s="12">
        <v>22.692</v>
      </c>
      <c r="K553" s="12">
        <v>58.844999999999999</v>
      </c>
      <c r="L553" s="12">
        <v>0.34100000000000003</v>
      </c>
      <c r="M553" s="19">
        <v>496.02</v>
      </c>
      <c r="N553" s="12">
        <v>5.9429999999999996</v>
      </c>
      <c r="O553" s="13">
        <v>7.2939999999999996</v>
      </c>
      <c r="P553" s="14">
        <v>68</v>
      </c>
      <c r="Q553" s="14">
        <v>22.692</v>
      </c>
      <c r="R553" s="14">
        <v>214.17699999999999</v>
      </c>
      <c r="S553" s="14">
        <v>281.84300000000002</v>
      </c>
      <c r="T553" s="10" t="b">
        <f t="shared" si="130"/>
        <v>1</v>
      </c>
      <c r="U553" s="10" t="b">
        <f t="shared" si="131"/>
        <v>1</v>
      </c>
      <c r="V553" s="11">
        <f>VLOOKUP(IF(J553&lt;10, 10, IF(J553&gt;50,50,J553)),'Over to underbark'!$A$3:$C$43,IF(A553="Scots pine",3,IF(A553="Sitka spruce",2, "error")),TRUE)/100</f>
        <v>0.9</v>
      </c>
      <c r="W553">
        <f t="shared" si="132"/>
        <v>173.48337000000001</v>
      </c>
      <c r="X553">
        <f t="shared" si="133"/>
        <v>228.29283000000001</v>
      </c>
      <c r="Y553">
        <f t="shared" si="134"/>
        <v>44.641799999999989</v>
      </c>
      <c r="Z553">
        <f t="shared" si="136"/>
        <v>186.67852240949998</v>
      </c>
      <c r="AA553">
        <f t="shared" si="137"/>
        <v>41.404070699999991</v>
      </c>
      <c r="AB553">
        <f t="shared" si="138"/>
        <v>92.317764730500002</v>
      </c>
      <c r="AC553">
        <f t="shared" si="139"/>
        <v>126.01764215999999</v>
      </c>
      <c r="AD553">
        <f>LOOKUP($A553,'Over to underbark'!$A$47:$A$48,'Over to underbark'!E$47:E$48)*Z553</f>
        <v>61.603912395134998</v>
      </c>
      <c r="AE553">
        <f>LOOKUP($A553,'Over to underbark'!$A$47:$A$48,'Over to underbark'!E$47:E$48)*AA553</f>
        <v>13.663343330999998</v>
      </c>
      <c r="AF553">
        <f>LOOKUP($A553,'Over to underbark'!$A$47:$A$48,'Over to underbark'!E$47:E$48)*AB553</f>
        <v>30.464862361065002</v>
      </c>
      <c r="AG553">
        <f>LOOKUP($A553,'Over to underbark'!$A$47:$A$48,'Over to underbark'!E$47:E$48)*AC553</f>
        <v>41.5858219128</v>
      </c>
      <c r="AH553" t="b">
        <f t="shared" si="140"/>
        <v>1</v>
      </c>
      <c r="AI553" t="b">
        <f t="shared" si="135"/>
        <v>1</v>
      </c>
      <c r="AJ553">
        <f>LOOKUP(A553,'Over to underbark'!$A$47:$A$48,'Over to underbark'!E$47:E$48)*M553</f>
        <v>163.6866</v>
      </c>
      <c r="AK553" s="22">
        <f>LOOKUP(A553,'Over to underbark'!$A$47:$A$48,'Over to underbark'!$B$47:$B$48)*AJ553</f>
        <v>52.379711999999998</v>
      </c>
      <c r="AL553" s="22">
        <f>LOOKUP(A553,'Over to underbark'!$A$47:$A$48,'Over to underbark'!C$47:C$48)*AJ553</f>
        <v>80.206434000000002</v>
      </c>
      <c r="AM553" s="22">
        <f t="shared" si="141"/>
        <v>216.06631199999998</v>
      </c>
      <c r="AN553" s="36">
        <v>654.75</v>
      </c>
      <c r="AO553" s="23">
        <f t="shared" si="142"/>
        <v>432.13262399999996</v>
      </c>
      <c r="AQ553">
        <f t="shared" si="129"/>
        <v>0.68181818181818188</v>
      </c>
    </row>
    <row r="554" spans="1:43" x14ac:dyDescent="0.35">
      <c r="A554" t="s">
        <v>43</v>
      </c>
      <c r="B554">
        <v>8</v>
      </c>
      <c r="C554">
        <v>2</v>
      </c>
      <c r="D554" t="s">
        <v>42</v>
      </c>
      <c r="E554">
        <v>2</v>
      </c>
      <c r="F554">
        <v>1</v>
      </c>
      <c r="G554" s="12">
        <v>69</v>
      </c>
      <c r="H554" s="12">
        <v>20.204000000000001</v>
      </c>
      <c r="I554" s="12">
        <v>1441</v>
      </c>
      <c r="J554" s="12">
        <v>22.85</v>
      </c>
      <c r="K554" s="12">
        <v>59.091999999999999</v>
      </c>
      <c r="L554" s="12">
        <v>0.34799999999999998</v>
      </c>
      <c r="M554" s="19">
        <v>501.76</v>
      </c>
      <c r="N554" s="12">
        <v>6.157</v>
      </c>
      <c r="O554" s="13">
        <v>7.2720000000000002</v>
      </c>
      <c r="P554" s="14">
        <v>69</v>
      </c>
      <c r="Q554" s="14">
        <v>22.85</v>
      </c>
      <c r="R554" s="14">
        <v>213.036</v>
      </c>
      <c r="S554" s="14">
        <v>288.72399999999999</v>
      </c>
      <c r="T554" s="10" t="b">
        <f t="shared" si="130"/>
        <v>1</v>
      </c>
      <c r="U554" s="10" t="b">
        <f t="shared" si="131"/>
        <v>1</v>
      </c>
      <c r="V554" s="11">
        <f>VLOOKUP(IF(J554&lt;10, 10, IF(J554&gt;50,50,J554)),'Over to underbark'!$A$3:$C$43,IF(A554="Scots pine",3,IF(A554="Sitka spruce",2, "error")),TRUE)/100</f>
        <v>0.9</v>
      </c>
      <c r="W554">
        <f t="shared" si="132"/>
        <v>172.55916000000002</v>
      </c>
      <c r="X554">
        <f t="shared" si="133"/>
        <v>233.86644000000001</v>
      </c>
      <c r="Y554">
        <f t="shared" si="134"/>
        <v>45.158399999999993</v>
      </c>
      <c r="Z554">
        <f t="shared" si="136"/>
        <v>188.25433734600003</v>
      </c>
      <c r="AA554">
        <f t="shared" si="137"/>
        <v>41.560707600000001</v>
      </c>
      <c r="AB554">
        <f t="shared" si="138"/>
        <v>92.674680174000002</v>
      </c>
      <c r="AC554">
        <f t="shared" si="139"/>
        <v>129.09427488</v>
      </c>
      <c r="AD554">
        <f>LOOKUP($A554,'Over to underbark'!$A$47:$A$48,'Over to underbark'!E$47:E$48)*Z554</f>
        <v>62.123931324180013</v>
      </c>
      <c r="AE554">
        <f>LOOKUP($A554,'Over to underbark'!$A$47:$A$48,'Over to underbark'!E$47:E$48)*AA554</f>
        <v>13.715033508000001</v>
      </c>
      <c r="AF554">
        <f>LOOKUP($A554,'Over to underbark'!$A$47:$A$48,'Over to underbark'!E$47:E$48)*AB554</f>
        <v>30.582644457420002</v>
      </c>
      <c r="AG554">
        <f>LOOKUP($A554,'Over to underbark'!$A$47:$A$48,'Over to underbark'!E$47:E$48)*AC554</f>
        <v>42.6011107104</v>
      </c>
      <c r="AH554" t="b">
        <f t="shared" si="140"/>
        <v>1</v>
      </c>
      <c r="AI554" t="b">
        <f t="shared" si="135"/>
        <v>1</v>
      </c>
      <c r="AJ554">
        <f>LOOKUP(A554,'Over to underbark'!$A$47:$A$48,'Over to underbark'!E$47:E$48)*M554</f>
        <v>165.58080000000001</v>
      </c>
      <c r="AK554" s="22">
        <f>LOOKUP(A554,'Over to underbark'!$A$47:$A$48,'Over to underbark'!$B$47:$B$48)*AJ554</f>
        <v>52.985856000000005</v>
      </c>
      <c r="AL554" s="22">
        <f>LOOKUP(A554,'Over to underbark'!$A$47:$A$48,'Over to underbark'!C$47:C$48)*AJ554</f>
        <v>81.134591999999998</v>
      </c>
      <c r="AM554" s="22">
        <f t="shared" si="141"/>
        <v>218.56665600000002</v>
      </c>
      <c r="AN554" s="36">
        <v>662.32</v>
      </c>
      <c r="AO554" s="23">
        <f t="shared" si="142"/>
        <v>437.13331200000005</v>
      </c>
      <c r="AQ554">
        <f t="shared" si="129"/>
        <v>0.68181818181818188</v>
      </c>
    </row>
    <row r="555" spans="1:43" x14ac:dyDescent="0.35">
      <c r="A555" t="s">
        <v>43</v>
      </c>
      <c r="B555">
        <v>8</v>
      </c>
      <c r="C555">
        <v>2</v>
      </c>
      <c r="D555" t="s">
        <v>42</v>
      </c>
      <c r="E555">
        <v>2</v>
      </c>
      <c r="F555">
        <v>1</v>
      </c>
      <c r="G555" s="12">
        <v>70</v>
      </c>
      <c r="H555" s="12">
        <v>20.36</v>
      </c>
      <c r="I555" s="12">
        <v>1427</v>
      </c>
      <c r="J555" s="12">
        <v>23.01</v>
      </c>
      <c r="K555" s="12">
        <v>59.34</v>
      </c>
      <c r="L555" s="12">
        <v>0.35599999999999998</v>
      </c>
      <c r="M555" s="19">
        <v>507.5</v>
      </c>
      <c r="N555" s="12">
        <v>6.3650000000000002</v>
      </c>
      <c r="O555" s="13">
        <v>7.25</v>
      </c>
      <c r="P555" s="14">
        <v>70</v>
      </c>
      <c r="Q555" s="14">
        <v>23.01</v>
      </c>
      <c r="R555" s="14">
        <v>211.81100000000001</v>
      </c>
      <c r="S555" s="14">
        <v>295.68900000000002</v>
      </c>
      <c r="T555" s="10" t="b">
        <f t="shared" si="130"/>
        <v>1</v>
      </c>
      <c r="U555" s="10" t="b">
        <f t="shared" si="131"/>
        <v>1</v>
      </c>
      <c r="V555" s="11">
        <f>VLOOKUP(IF(J555&lt;10, 10, IF(J555&gt;50,50,J555)),'Over to underbark'!$A$3:$C$43,IF(A555="Scots pine",3,IF(A555="Sitka spruce",2, "error")),TRUE)/100</f>
        <v>0.9</v>
      </c>
      <c r="W555">
        <f t="shared" si="132"/>
        <v>171.56691000000004</v>
      </c>
      <c r="X555">
        <f t="shared" si="133"/>
        <v>239.50809000000004</v>
      </c>
      <c r="Y555">
        <f t="shared" si="134"/>
        <v>45.67499999999999</v>
      </c>
      <c r="Z555">
        <f t="shared" si="136"/>
        <v>189.81658850850002</v>
      </c>
      <c r="AA555">
        <f t="shared" si="137"/>
        <v>41.7098601</v>
      </c>
      <c r="AB555">
        <f t="shared" si="138"/>
        <v>93.015085711500006</v>
      </c>
      <c r="AC555">
        <f t="shared" si="139"/>
        <v>132.20846568000002</v>
      </c>
      <c r="AD555">
        <f>LOOKUP($A555,'Over to underbark'!$A$47:$A$48,'Over to underbark'!E$47:E$48)*Z555</f>
        <v>62.639474207805009</v>
      </c>
      <c r="AE555">
        <f>LOOKUP($A555,'Over to underbark'!$A$47:$A$48,'Over to underbark'!E$47:E$48)*AA555</f>
        <v>13.764253833000001</v>
      </c>
      <c r="AF555">
        <f>LOOKUP($A555,'Over to underbark'!$A$47:$A$48,'Over to underbark'!E$47:E$48)*AB555</f>
        <v>30.694978284795003</v>
      </c>
      <c r="AG555">
        <f>LOOKUP($A555,'Over to underbark'!$A$47:$A$48,'Over to underbark'!E$47:E$48)*AC555</f>
        <v>43.628793674400008</v>
      </c>
      <c r="AH555" t="b">
        <f t="shared" si="140"/>
        <v>1</v>
      </c>
      <c r="AI555" t="b">
        <f t="shared" si="135"/>
        <v>1</v>
      </c>
      <c r="AJ555">
        <f>LOOKUP(A555,'Over to underbark'!$A$47:$A$48,'Over to underbark'!E$47:E$48)*M555</f>
        <v>167.47499999999999</v>
      </c>
      <c r="AK555" s="22">
        <f>LOOKUP(A555,'Over to underbark'!$A$47:$A$48,'Over to underbark'!$B$47:$B$48)*AJ555</f>
        <v>53.591999999999999</v>
      </c>
      <c r="AL555" s="22">
        <f>LOOKUP(A555,'Over to underbark'!$A$47:$A$48,'Over to underbark'!C$47:C$48)*AJ555</f>
        <v>82.062749999999994</v>
      </c>
      <c r="AM555" s="22">
        <f t="shared" si="141"/>
        <v>221.06700000000001</v>
      </c>
      <c r="AN555" s="36">
        <v>669.9</v>
      </c>
      <c r="AO555" s="23">
        <f t="shared" si="142"/>
        <v>442.13400000000001</v>
      </c>
      <c r="AQ555">
        <f t="shared" si="129"/>
        <v>0.68181818181818188</v>
      </c>
    </row>
    <row r="556" spans="1:43" x14ac:dyDescent="0.35">
      <c r="A556" t="s">
        <v>43</v>
      </c>
      <c r="B556">
        <v>8</v>
      </c>
      <c r="C556">
        <v>2</v>
      </c>
      <c r="D556" t="s">
        <v>42</v>
      </c>
      <c r="E556">
        <v>2</v>
      </c>
      <c r="F556">
        <v>1</v>
      </c>
      <c r="G556" s="12">
        <v>71</v>
      </c>
      <c r="H556" s="12">
        <v>20.501999999999999</v>
      </c>
      <c r="I556" s="12">
        <v>1414</v>
      </c>
      <c r="J556" s="12">
        <v>23.15</v>
      </c>
      <c r="K556" s="12">
        <v>59.518999999999998</v>
      </c>
      <c r="L556" s="12">
        <v>0.36199999999999999</v>
      </c>
      <c r="M556" s="19">
        <v>512.34</v>
      </c>
      <c r="N556" s="12">
        <v>6.5960000000000001</v>
      </c>
      <c r="O556" s="13">
        <v>7.2160000000000002</v>
      </c>
      <c r="P556" s="14">
        <v>71</v>
      </c>
      <c r="Q556" s="14">
        <v>23.15</v>
      </c>
      <c r="R556" s="14">
        <v>210.63499999999999</v>
      </c>
      <c r="S556" s="14">
        <v>301.70499999999998</v>
      </c>
      <c r="T556" s="10" t="b">
        <f t="shared" si="130"/>
        <v>1</v>
      </c>
      <c r="U556" s="10" t="b">
        <f t="shared" si="131"/>
        <v>1</v>
      </c>
      <c r="V556" s="11">
        <f>VLOOKUP(IF(J556&lt;10, 10, IF(J556&gt;50,50,J556)),'Over to underbark'!$A$3:$C$43,IF(A556="Scots pine",3,IF(A556="Sitka spruce",2, "error")),TRUE)/100</f>
        <v>0.9</v>
      </c>
      <c r="W556">
        <f t="shared" si="132"/>
        <v>170.61435</v>
      </c>
      <c r="X556">
        <f t="shared" si="133"/>
        <v>244.38104999999999</v>
      </c>
      <c r="Y556">
        <f t="shared" si="134"/>
        <v>46.110599999999984</v>
      </c>
      <c r="Z556">
        <f t="shared" si="136"/>
        <v>191.11078487249998</v>
      </c>
      <c r="AA556">
        <f t="shared" si="137"/>
        <v>41.822878499999987</v>
      </c>
      <c r="AB556">
        <f t="shared" si="138"/>
        <v>93.273997027500002</v>
      </c>
      <c r="AC556">
        <f t="shared" si="139"/>
        <v>134.89833959999999</v>
      </c>
      <c r="AD556">
        <f>LOOKUP($A556,'Over to underbark'!$A$47:$A$48,'Over to underbark'!E$47:E$48)*Z556</f>
        <v>63.066559007924994</v>
      </c>
      <c r="AE556">
        <f>LOOKUP($A556,'Over to underbark'!$A$47:$A$48,'Over to underbark'!E$47:E$48)*AA556</f>
        <v>13.801549904999996</v>
      </c>
      <c r="AF556">
        <f>LOOKUP($A556,'Over to underbark'!$A$47:$A$48,'Over to underbark'!E$47:E$48)*AB556</f>
        <v>30.780419019075001</v>
      </c>
      <c r="AG556">
        <f>LOOKUP($A556,'Over to underbark'!$A$47:$A$48,'Over to underbark'!E$47:E$48)*AC556</f>
        <v>44.516452068</v>
      </c>
      <c r="AH556" t="b">
        <f t="shared" si="140"/>
        <v>1</v>
      </c>
      <c r="AI556" t="b">
        <f t="shared" si="135"/>
        <v>1</v>
      </c>
      <c r="AJ556">
        <f>LOOKUP(A556,'Over to underbark'!$A$47:$A$48,'Over to underbark'!E$47:E$48)*M556</f>
        <v>169.07220000000001</v>
      </c>
      <c r="AK556" s="22">
        <f>LOOKUP(A556,'Over to underbark'!$A$47:$A$48,'Over to underbark'!$B$47:$B$48)*AJ556</f>
        <v>54.103104000000002</v>
      </c>
      <c r="AL556" s="22">
        <f>LOOKUP(A556,'Over to underbark'!$A$47:$A$48,'Over to underbark'!C$47:C$48)*AJ556</f>
        <v>82.845377999999997</v>
      </c>
      <c r="AM556" s="22">
        <f t="shared" si="141"/>
        <v>223.17530400000001</v>
      </c>
      <c r="AN556" s="36">
        <v>676.29</v>
      </c>
      <c r="AO556" s="23">
        <f t="shared" si="142"/>
        <v>446.35060800000002</v>
      </c>
      <c r="AQ556">
        <f t="shared" si="129"/>
        <v>0.68181818181818177</v>
      </c>
    </row>
    <row r="557" spans="1:43" x14ac:dyDescent="0.35">
      <c r="A557" t="s">
        <v>43</v>
      </c>
      <c r="B557">
        <v>8</v>
      </c>
      <c r="C557">
        <v>2</v>
      </c>
      <c r="D557" t="s">
        <v>42</v>
      </c>
      <c r="E557">
        <v>2</v>
      </c>
      <c r="F557">
        <v>1</v>
      </c>
      <c r="G557" s="12">
        <v>72</v>
      </c>
      <c r="H557" s="12">
        <v>20.643999999999998</v>
      </c>
      <c r="I557" s="12">
        <v>1401</v>
      </c>
      <c r="J557" s="12">
        <v>23.292999999999999</v>
      </c>
      <c r="K557" s="12">
        <v>59.698999999999998</v>
      </c>
      <c r="L557" s="12">
        <v>0.36899999999999999</v>
      </c>
      <c r="M557" s="19">
        <v>517.17999999999995</v>
      </c>
      <c r="N557" s="12">
        <v>6.8209999999999997</v>
      </c>
      <c r="O557" s="13">
        <v>7.1829999999999998</v>
      </c>
      <c r="P557" s="14">
        <v>72</v>
      </c>
      <c r="Q557" s="14">
        <v>23.292999999999999</v>
      </c>
      <c r="R557" s="14">
        <v>209.36600000000001</v>
      </c>
      <c r="S557" s="14">
        <v>307.81400000000002</v>
      </c>
      <c r="T557" s="10" t="b">
        <f t="shared" si="130"/>
        <v>1</v>
      </c>
      <c r="U557" s="10" t="b">
        <f t="shared" si="131"/>
        <v>1</v>
      </c>
      <c r="V557" s="11">
        <f>VLOOKUP(IF(J557&lt;10, 10, IF(J557&gt;50,50,J557)),'Over to underbark'!$A$3:$C$43,IF(A557="Scots pine",3,IF(A557="Sitka spruce",2, "error")),TRUE)/100</f>
        <v>0.9</v>
      </c>
      <c r="W557">
        <f t="shared" si="132"/>
        <v>169.58646000000002</v>
      </c>
      <c r="X557">
        <f t="shared" si="133"/>
        <v>249.32934</v>
      </c>
      <c r="Y557">
        <f t="shared" si="134"/>
        <v>46.546199999999992</v>
      </c>
      <c r="Z557">
        <f t="shared" si="136"/>
        <v>192.38996420099997</v>
      </c>
      <c r="AA557">
        <f t="shared" si="137"/>
        <v>41.927610599999994</v>
      </c>
      <c r="AB557">
        <f t="shared" si="138"/>
        <v>93.514629518999996</v>
      </c>
      <c r="AC557">
        <f t="shared" si="139"/>
        <v>137.62979568</v>
      </c>
      <c r="AD557">
        <f>LOOKUP($A557,'Over to underbark'!$A$47:$A$48,'Over to underbark'!E$47:E$48)*Z557</f>
        <v>63.488688186329995</v>
      </c>
      <c r="AE557">
        <f>LOOKUP($A557,'Over to underbark'!$A$47:$A$48,'Over to underbark'!E$47:E$48)*AA557</f>
        <v>13.836111497999999</v>
      </c>
      <c r="AF557">
        <f>LOOKUP($A557,'Over to underbark'!$A$47:$A$48,'Over to underbark'!E$47:E$48)*AB557</f>
        <v>30.859827741269999</v>
      </c>
      <c r="AG557">
        <f>LOOKUP($A557,'Over to underbark'!$A$47:$A$48,'Over to underbark'!E$47:E$48)*AC557</f>
        <v>45.417832574400002</v>
      </c>
      <c r="AH557" t="b">
        <f t="shared" si="140"/>
        <v>1</v>
      </c>
      <c r="AI557" t="b">
        <f t="shared" si="135"/>
        <v>1</v>
      </c>
      <c r="AJ557">
        <f>LOOKUP(A557,'Over to underbark'!$A$47:$A$48,'Over to underbark'!E$47:E$48)*M557</f>
        <v>170.6694</v>
      </c>
      <c r="AK557" s="22">
        <f>LOOKUP(A557,'Over to underbark'!$A$47:$A$48,'Over to underbark'!$B$47:$B$48)*AJ557</f>
        <v>54.614207999999998</v>
      </c>
      <c r="AL557" s="22">
        <f>LOOKUP(A557,'Over to underbark'!$A$47:$A$48,'Over to underbark'!C$47:C$48)*AJ557</f>
        <v>83.628005999999999</v>
      </c>
      <c r="AM557" s="22">
        <f t="shared" si="141"/>
        <v>225.28360799999999</v>
      </c>
      <c r="AN557" s="36">
        <v>682.68</v>
      </c>
      <c r="AO557" s="23">
        <f t="shared" si="142"/>
        <v>450.56721599999997</v>
      </c>
      <c r="AQ557">
        <f t="shared" si="129"/>
        <v>0.68181818181818177</v>
      </c>
    </row>
    <row r="558" spans="1:43" x14ac:dyDescent="0.35">
      <c r="A558" t="s">
        <v>43</v>
      </c>
      <c r="B558">
        <v>8</v>
      </c>
      <c r="C558">
        <v>2</v>
      </c>
      <c r="D558" t="s">
        <v>42</v>
      </c>
      <c r="E558">
        <v>2</v>
      </c>
      <c r="F558">
        <v>1</v>
      </c>
      <c r="G558" s="12">
        <v>73</v>
      </c>
      <c r="H558" s="12">
        <v>20.786000000000001</v>
      </c>
      <c r="I558" s="12">
        <v>1388</v>
      </c>
      <c r="J558" s="12">
        <v>23.437000000000001</v>
      </c>
      <c r="K558" s="12">
        <v>59.878</v>
      </c>
      <c r="L558" s="12">
        <v>0.376</v>
      </c>
      <c r="M558" s="19">
        <v>522.02</v>
      </c>
      <c r="N558" s="12">
        <v>7.0410000000000004</v>
      </c>
      <c r="O558" s="13">
        <v>7.1509999999999998</v>
      </c>
      <c r="P558" s="14">
        <v>73</v>
      </c>
      <c r="Q558" s="14">
        <v>23.437000000000001</v>
      </c>
      <c r="R558" s="14">
        <v>208.05199999999999</v>
      </c>
      <c r="S558" s="14">
        <v>313.96800000000002</v>
      </c>
      <c r="T558" s="10" t="b">
        <f t="shared" si="130"/>
        <v>1</v>
      </c>
      <c r="U558" s="10" t="b">
        <f t="shared" si="131"/>
        <v>1</v>
      </c>
      <c r="V558" s="11">
        <f>VLOOKUP(IF(J558&lt;10, 10, IF(J558&gt;50,50,J558)),'Over to underbark'!$A$3:$C$43,IF(A558="Scots pine",3,IF(A558="Sitka spruce",2, "error")),TRUE)/100</f>
        <v>0.9</v>
      </c>
      <c r="W558">
        <f t="shared" si="132"/>
        <v>168.52212</v>
      </c>
      <c r="X558">
        <f t="shared" si="133"/>
        <v>254.31408000000005</v>
      </c>
      <c r="Y558">
        <f t="shared" si="134"/>
        <v>46.981799999999986</v>
      </c>
      <c r="Z558">
        <f t="shared" si="136"/>
        <v>193.66187722199999</v>
      </c>
      <c r="AA558">
        <f t="shared" si="137"/>
        <v>42.028333199999992</v>
      </c>
      <c r="AB558">
        <f t="shared" si="138"/>
        <v>93.746417418000007</v>
      </c>
      <c r="AC558">
        <f t="shared" si="139"/>
        <v>140.38137216000004</v>
      </c>
      <c r="AD558">
        <f>LOOKUP($A558,'Over to underbark'!$A$47:$A$48,'Over to underbark'!E$47:E$48)*Z558</f>
        <v>63.908419483259998</v>
      </c>
      <c r="AE558">
        <f>LOOKUP($A558,'Over to underbark'!$A$47:$A$48,'Over to underbark'!E$47:E$48)*AA558</f>
        <v>13.869349955999997</v>
      </c>
      <c r="AF558">
        <f>LOOKUP($A558,'Over to underbark'!$A$47:$A$48,'Over to underbark'!E$47:E$48)*AB558</f>
        <v>30.936317747940002</v>
      </c>
      <c r="AG558">
        <f>LOOKUP($A558,'Over to underbark'!$A$47:$A$48,'Over to underbark'!E$47:E$48)*AC558</f>
        <v>46.325852812800015</v>
      </c>
      <c r="AH558" t="b">
        <f t="shared" si="140"/>
        <v>1</v>
      </c>
      <c r="AI558" t="b">
        <f t="shared" si="135"/>
        <v>1</v>
      </c>
      <c r="AJ558">
        <f>LOOKUP(A558,'Over to underbark'!$A$47:$A$48,'Over to underbark'!E$47:E$48)*M558</f>
        <v>172.26660000000001</v>
      </c>
      <c r="AK558" s="22">
        <f>LOOKUP(A558,'Over to underbark'!$A$47:$A$48,'Over to underbark'!$B$47:$B$48)*AJ558</f>
        <v>55.125312000000008</v>
      </c>
      <c r="AL558" s="22">
        <f>LOOKUP(A558,'Over to underbark'!$A$47:$A$48,'Over to underbark'!C$47:C$48)*AJ558</f>
        <v>84.410634000000002</v>
      </c>
      <c r="AM558" s="22">
        <f t="shared" si="141"/>
        <v>227.39191200000002</v>
      </c>
      <c r="AN558" s="36">
        <v>689.07</v>
      </c>
      <c r="AO558" s="23">
        <f t="shared" si="142"/>
        <v>454.78382400000004</v>
      </c>
      <c r="AQ558">
        <f t="shared" si="129"/>
        <v>0.68181818181818177</v>
      </c>
    </row>
    <row r="559" spans="1:43" x14ac:dyDescent="0.35">
      <c r="A559" t="s">
        <v>43</v>
      </c>
      <c r="B559">
        <v>8</v>
      </c>
      <c r="C559">
        <v>2</v>
      </c>
      <c r="D559" t="s">
        <v>42</v>
      </c>
      <c r="E559">
        <v>2</v>
      </c>
      <c r="F559">
        <v>1</v>
      </c>
      <c r="G559" s="12">
        <v>74</v>
      </c>
      <c r="H559" s="12">
        <v>20.928000000000001</v>
      </c>
      <c r="I559" s="12">
        <v>1375</v>
      </c>
      <c r="J559" s="12">
        <v>23.582000000000001</v>
      </c>
      <c r="K559" s="12">
        <v>60.057000000000002</v>
      </c>
      <c r="L559" s="12">
        <v>0.38300000000000001</v>
      </c>
      <c r="M559" s="19">
        <v>526.86</v>
      </c>
      <c r="N559" s="12">
        <v>7.2560000000000002</v>
      </c>
      <c r="O559" s="13">
        <v>7.12</v>
      </c>
      <c r="P559" s="14">
        <v>74</v>
      </c>
      <c r="Q559" s="14">
        <v>23.582000000000001</v>
      </c>
      <c r="R559" s="14">
        <v>206.69300000000001</v>
      </c>
      <c r="S559" s="14">
        <v>320.16699999999997</v>
      </c>
      <c r="T559" s="10" t="b">
        <f t="shared" si="130"/>
        <v>1</v>
      </c>
      <c r="U559" s="10" t="b">
        <f t="shared" si="131"/>
        <v>1</v>
      </c>
      <c r="V559" s="11">
        <f>VLOOKUP(IF(J559&lt;10, 10, IF(J559&gt;50,50,J559)),'Over to underbark'!$A$3:$C$43,IF(A559="Scots pine",3,IF(A559="Sitka spruce",2, "error")),TRUE)/100</f>
        <v>0.9</v>
      </c>
      <c r="W559">
        <f t="shared" si="132"/>
        <v>167.42133000000001</v>
      </c>
      <c r="X559">
        <f t="shared" si="133"/>
        <v>259.33526999999998</v>
      </c>
      <c r="Y559">
        <f t="shared" si="134"/>
        <v>47.417399999999994</v>
      </c>
      <c r="Z559">
        <f t="shared" si="136"/>
        <v>194.9265239355</v>
      </c>
      <c r="AA559">
        <f t="shared" si="137"/>
        <v>42.125046299999994</v>
      </c>
      <c r="AB559">
        <f t="shared" si="138"/>
        <v>93.969360724500007</v>
      </c>
      <c r="AC559">
        <f t="shared" si="139"/>
        <v>143.15306903999999</v>
      </c>
      <c r="AD559">
        <f>LOOKUP($A559,'Over to underbark'!$A$47:$A$48,'Over to underbark'!E$47:E$48)*Z559</f>
        <v>64.32575289871501</v>
      </c>
      <c r="AE559">
        <f>LOOKUP($A559,'Over to underbark'!$A$47:$A$48,'Over to underbark'!E$47:E$48)*AA559</f>
        <v>13.901265278999999</v>
      </c>
      <c r="AF559">
        <f>LOOKUP($A559,'Over to underbark'!$A$47:$A$48,'Over to underbark'!E$47:E$48)*AB559</f>
        <v>31.009889039085003</v>
      </c>
      <c r="AG559">
        <f>LOOKUP($A559,'Over to underbark'!$A$47:$A$48,'Over to underbark'!E$47:E$48)*AC559</f>
        <v>47.240512783199996</v>
      </c>
      <c r="AH559" t="b">
        <f t="shared" si="140"/>
        <v>1</v>
      </c>
      <c r="AI559" t="b">
        <f t="shared" si="135"/>
        <v>1</v>
      </c>
      <c r="AJ559">
        <f>LOOKUP(A559,'Over to underbark'!$A$47:$A$48,'Over to underbark'!E$47:E$48)*M559</f>
        <v>173.86380000000003</v>
      </c>
      <c r="AK559" s="22">
        <f>LOOKUP(A559,'Over to underbark'!$A$47:$A$48,'Over to underbark'!$B$47:$B$48)*AJ559</f>
        <v>55.636416000000011</v>
      </c>
      <c r="AL559" s="22">
        <f>LOOKUP(A559,'Over to underbark'!$A$47:$A$48,'Over to underbark'!C$47:C$48)*AJ559</f>
        <v>85.193262000000004</v>
      </c>
      <c r="AM559" s="22">
        <f t="shared" si="141"/>
        <v>229.50021600000002</v>
      </c>
      <c r="AN559" s="36">
        <v>695.46</v>
      </c>
      <c r="AO559" s="23">
        <f t="shared" si="142"/>
        <v>459.00043200000005</v>
      </c>
      <c r="AQ559">
        <f t="shared" si="129"/>
        <v>0.68181818181818177</v>
      </c>
    </row>
    <row r="560" spans="1:43" x14ac:dyDescent="0.35">
      <c r="A560" t="s">
        <v>43</v>
      </c>
      <c r="B560">
        <v>8</v>
      </c>
      <c r="C560">
        <v>2</v>
      </c>
      <c r="D560" t="s">
        <v>42</v>
      </c>
      <c r="E560">
        <v>2</v>
      </c>
      <c r="F560">
        <v>1</v>
      </c>
      <c r="G560" s="12">
        <v>75</v>
      </c>
      <c r="H560" s="12">
        <v>21.07</v>
      </c>
      <c r="I560" s="12">
        <v>1362</v>
      </c>
      <c r="J560" s="12">
        <v>23.73</v>
      </c>
      <c r="K560" s="12">
        <v>60.237000000000002</v>
      </c>
      <c r="L560" s="12">
        <v>0.39</v>
      </c>
      <c r="M560" s="19">
        <v>531.70000000000005</v>
      </c>
      <c r="N560" s="12">
        <v>7.4660000000000002</v>
      </c>
      <c r="O560" s="13">
        <v>7.0890000000000004</v>
      </c>
      <c r="P560" s="14">
        <v>75</v>
      </c>
      <c r="Q560" s="14">
        <v>23.73</v>
      </c>
      <c r="R560" s="14">
        <v>205.24700000000001</v>
      </c>
      <c r="S560" s="14">
        <v>326.45299999999997</v>
      </c>
      <c r="T560" s="10" t="b">
        <f t="shared" si="130"/>
        <v>1</v>
      </c>
      <c r="U560" s="10" t="b">
        <f t="shared" si="131"/>
        <v>1</v>
      </c>
      <c r="V560" s="11">
        <f>VLOOKUP(IF(J560&lt;10, 10, IF(J560&gt;50,50,J560)),'Over to underbark'!$A$3:$C$43,IF(A560="Scots pine",3,IF(A560="Sitka spruce",2, "error")),TRUE)/100</f>
        <v>0.9</v>
      </c>
      <c r="W560">
        <f t="shared" si="132"/>
        <v>166.25007000000002</v>
      </c>
      <c r="X560">
        <f t="shared" si="133"/>
        <v>264.42693000000003</v>
      </c>
      <c r="Y560">
        <f t="shared" si="134"/>
        <v>47.852999999999994</v>
      </c>
      <c r="Z560">
        <f t="shared" si="136"/>
        <v>196.17712245450005</v>
      </c>
      <c r="AA560">
        <f t="shared" si="137"/>
        <v>42.214007699999996</v>
      </c>
      <c r="AB560">
        <f t="shared" si="138"/>
        <v>94.175204485500018</v>
      </c>
      <c r="AC560">
        <f t="shared" si="139"/>
        <v>145.96366536000002</v>
      </c>
      <c r="AD560">
        <f>LOOKUP($A560,'Over to underbark'!$A$47:$A$48,'Over to underbark'!E$47:E$48)*Z560</f>
        <v>64.73845040998502</v>
      </c>
      <c r="AE560">
        <f>LOOKUP($A560,'Over to underbark'!$A$47:$A$48,'Over to underbark'!E$47:E$48)*AA560</f>
        <v>13.930622541</v>
      </c>
      <c r="AF560">
        <f>LOOKUP($A560,'Over to underbark'!$A$47:$A$48,'Over to underbark'!E$47:E$48)*AB560</f>
        <v>31.077817480215007</v>
      </c>
      <c r="AG560">
        <f>LOOKUP($A560,'Over to underbark'!$A$47:$A$48,'Over to underbark'!E$47:E$48)*AC560</f>
        <v>48.168009568800009</v>
      </c>
      <c r="AH560" t="b">
        <f t="shared" si="140"/>
        <v>1</v>
      </c>
      <c r="AI560" t="b">
        <f t="shared" si="135"/>
        <v>1</v>
      </c>
      <c r="AJ560">
        <f>LOOKUP(A560,'Over to underbark'!$A$47:$A$48,'Over to underbark'!E$47:E$48)*M560</f>
        <v>175.46100000000001</v>
      </c>
      <c r="AK560" s="22">
        <f>LOOKUP(A560,'Over to underbark'!$A$47:$A$48,'Over to underbark'!$B$47:$B$48)*AJ560</f>
        <v>56.147520000000007</v>
      </c>
      <c r="AL560" s="22">
        <f>LOOKUP(A560,'Over to underbark'!$A$47:$A$48,'Over to underbark'!C$47:C$48)*AJ560</f>
        <v>85.975890000000007</v>
      </c>
      <c r="AM560" s="22">
        <f t="shared" si="141"/>
        <v>231.60852000000003</v>
      </c>
      <c r="AN560" s="36">
        <v>701.84</v>
      </c>
      <c r="AO560" s="23">
        <f t="shared" si="142"/>
        <v>463.21704000000005</v>
      </c>
      <c r="AQ560">
        <f t="shared" si="129"/>
        <v>0.68181818181818199</v>
      </c>
    </row>
    <row r="561" spans="1:43" x14ac:dyDescent="0.35">
      <c r="A561" t="s">
        <v>43</v>
      </c>
      <c r="B561">
        <v>8</v>
      </c>
      <c r="C561">
        <v>2</v>
      </c>
      <c r="D561" t="s">
        <v>42</v>
      </c>
      <c r="E561">
        <v>2</v>
      </c>
      <c r="F561">
        <v>1</v>
      </c>
      <c r="G561" s="12">
        <v>76</v>
      </c>
      <c r="H561" s="12">
        <v>21.19</v>
      </c>
      <c r="I561" s="12">
        <v>1351</v>
      </c>
      <c r="J561" s="12">
        <v>23.864999999999998</v>
      </c>
      <c r="K561" s="12">
        <v>60.43</v>
      </c>
      <c r="L561" s="12">
        <v>0.39600000000000002</v>
      </c>
      <c r="M561" s="19">
        <v>535.62</v>
      </c>
      <c r="N561" s="12">
        <v>7.6989999999999998</v>
      </c>
      <c r="O561" s="13">
        <v>7.048</v>
      </c>
      <c r="P561" s="14">
        <v>76</v>
      </c>
      <c r="Q561" s="14">
        <v>23.864999999999998</v>
      </c>
      <c r="R561" s="14">
        <v>203.72200000000001</v>
      </c>
      <c r="S561" s="14">
        <v>331.89800000000002</v>
      </c>
      <c r="T561" s="10" t="b">
        <f t="shared" si="130"/>
        <v>1</v>
      </c>
      <c r="U561" s="10" t="b">
        <f t="shared" si="131"/>
        <v>1</v>
      </c>
      <c r="V561" s="11">
        <f>VLOOKUP(IF(J561&lt;10, 10, IF(J561&gt;50,50,J561)),'Over to underbark'!$A$3:$C$43,IF(A561="Scots pine",3,IF(A561="Sitka spruce",2, "error")),TRUE)/100</f>
        <v>0.9</v>
      </c>
      <c r="W561">
        <f t="shared" si="132"/>
        <v>165.01482000000001</v>
      </c>
      <c r="X561">
        <f t="shared" si="133"/>
        <v>268.83738000000005</v>
      </c>
      <c r="Y561">
        <f t="shared" si="134"/>
        <v>48.205799999999989</v>
      </c>
      <c r="Z561">
        <f t="shared" si="136"/>
        <v>197.13286496700002</v>
      </c>
      <c r="AA561">
        <f t="shared" si="137"/>
        <v>42.254530199999998</v>
      </c>
      <c r="AB561">
        <f t="shared" si="138"/>
        <v>94.272371073000016</v>
      </c>
      <c r="AC561">
        <f t="shared" si="139"/>
        <v>148.39823376000004</v>
      </c>
      <c r="AD561">
        <f>LOOKUP($A561,'Over to underbark'!$A$47:$A$48,'Over to underbark'!E$47:E$48)*Z561</f>
        <v>65.053845439110006</v>
      </c>
      <c r="AE561">
        <f>LOOKUP($A561,'Over to underbark'!$A$47:$A$48,'Over to underbark'!E$47:E$48)*AA561</f>
        <v>13.943994966</v>
      </c>
      <c r="AF561">
        <f>LOOKUP($A561,'Over to underbark'!$A$47:$A$48,'Over to underbark'!E$47:E$48)*AB561</f>
        <v>31.109882454090005</v>
      </c>
      <c r="AG561">
        <f>LOOKUP($A561,'Over to underbark'!$A$47:$A$48,'Over to underbark'!E$47:E$48)*AC561</f>
        <v>48.971417140800014</v>
      </c>
      <c r="AH561" t="b">
        <f t="shared" si="140"/>
        <v>1</v>
      </c>
      <c r="AI561" t="b">
        <f t="shared" si="135"/>
        <v>1</v>
      </c>
      <c r="AJ561">
        <f>LOOKUP(A561,'Over to underbark'!$A$47:$A$48,'Over to underbark'!E$47:E$48)*M561</f>
        <v>176.75460000000001</v>
      </c>
      <c r="AK561" s="22">
        <f>LOOKUP(A561,'Over to underbark'!$A$47:$A$48,'Over to underbark'!$B$47:$B$48)*AJ561</f>
        <v>56.561472000000002</v>
      </c>
      <c r="AL561" s="22">
        <f>LOOKUP(A561,'Over to underbark'!$A$47:$A$48,'Over to underbark'!C$47:C$48)*AJ561</f>
        <v>86.609754000000009</v>
      </c>
      <c r="AM561" s="22">
        <f t="shared" si="141"/>
        <v>233.31607200000002</v>
      </c>
      <c r="AN561" s="36">
        <v>707.02</v>
      </c>
      <c r="AO561" s="23">
        <f t="shared" si="142"/>
        <v>466.63214400000004</v>
      </c>
      <c r="AQ561">
        <f t="shared" si="129"/>
        <v>0.68181818181818188</v>
      </c>
    </row>
    <row r="562" spans="1:43" x14ac:dyDescent="0.35">
      <c r="A562" t="s">
        <v>43</v>
      </c>
      <c r="B562">
        <v>8</v>
      </c>
      <c r="C562">
        <v>2</v>
      </c>
      <c r="D562" t="s">
        <v>42</v>
      </c>
      <c r="E562">
        <v>2</v>
      </c>
      <c r="F562">
        <v>1</v>
      </c>
      <c r="G562" s="12">
        <v>77</v>
      </c>
      <c r="H562" s="12">
        <v>21.31</v>
      </c>
      <c r="I562" s="12">
        <v>1341</v>
      </c>
      <c r="J562" s="12">
        <v>23.992000000000001</v>
      </c>
      <c r="K562" s="12">
        <v>60.624000000000002</v>
      </c>
      <c r="L562" s="12">
        <v>0.40200000000000002</v>
      </c>
      <c r="M562" s="19">
        <v>539.54</v>
      </c>
      <c r="N562" s="12">
        <v>7.9279999999999999</v>
      </c>
      <c r="O562" s="13">
        <v>7.0069999999999997</v>
      </c>
      <c r="P562" s="14">
        <v>77</v>
      </c>
      <c r="Q562" s="14">
        <v>23.992000000000001</v>
      </c>
      <c r="R562" s="14">
        <v>202.36600000000001</v>
      </c>
      <c r="S562" s="14">
        <v>337.17399999999998</v>
      </c>
      <c r="T562" s="10" t="b">
        <f t="shared" si="130"/>
        <v>1</v>
      </c>
      <c r="U562" s="10" t="b">
        <f t="shared" si="131"/>
        <v>1</v>
      </c>
      <c r="V562" s="11">
        <f>VLOOKUP(IF(J562&lt;10, 10, IF(J562&gt;50,50,J562)),'Over to underbark'!$A$3:$C$43,IF(A562="Scots pine",3,IF(A562="Sitka spruce",2, "error")),TRUE)/100</f>
        <v>0.9</v>
      </c>
      <c r="W562">
        <f t="shared" si="132"/>
        <v>163.91646</v>
      </c>
      <c r="X562">
        <f t="shared" si="133"/>
        <v>273.11093999999997</v>
      </c>
      <c r="Y562">
        <f t="shared" si="134"/>
        <v>48.558599999999984</v>
      </c>
      <c r="Z562">
        <f t="shared" si="136"/>
        <v>198.11589650099995</v>
      </c>
      <c r="AA562">
        <f t="shared" si="137"/>
        <v>42.310110599999987</v>
      </c>
      <c r="AB562">
        <f t="shared" si="138"/>
        <v>94.402754018999985</v>
      </c>
      <c r="AC562">
        <f t="shared" si="139"/>
        <v>150.75723887999999</v>
      </c>
      <c r="AD562">
        <f>LOOKUP($A562,'Over to underbark'!$A$47:$A$48,'Over to underbark'!E$47:E$48)*Z562</f>
        <v>65.378245845329985</v>
      </c>
      <c r="AE562">
        <f>LOOKUP($A562,'Over to underbark'!$A$47:$A$48,'Over to underbark'!E$47:E$48)*AA562</f>
        <v>13.962336497999997</v>
      </c>
      <c r="AF562">
        <f>LOOKUP($A562,'Over to underbark'!$A$47:$A$48,'Over to underbark'!E$47:E$48)*AB562</f>
        <v>31.152908826269996</v>
      </c>
      <c r="AG562">
        <f>LOOKUP($A562,'Over to underbark'!$A$47:$A$48,'Over to underbark'!E$47:E$48)*AC562</f>
        <v>49.749888830399996</v>
      </c>
      <c r="AH562" t="b">
        <f t="shared" si="140"/>
        <v>1</v>
      </c>
      <c r="AI562" t="b">
        <f t="shared" si="135"/>
        <v>1</v>
      </c>
      <c r="AJ562">
        <f>LOOKUP(A562,'Over to underbark'!$A$47:$A$48,'Over to underbark'!E$47:E$48)*M562</f>
        <v>178.04820000000001</v>
      </c>
      <c r="AK562" s="22">
        <f>LOOKUP(A562,'Over to underbark'!$A$47:$A$48,'Over to underbark'!$B$47:$B$48)*AJ562</f>
        <v>56.975424000000004</v>
      </c>
      <c r="AL562" s="22">
        <f>LOOKUP(A562,'Over to underbark'!$A$47:$A$48,'Over to underbark'!C$47:C$48)*AJ562</f>
        <v>87.243617999999998</v>
      </c>
      <c r="AM562" s="22">
        <f t="shared" si="141"/>
        <v>235.02362400000001</v>
      </c>
      <c r="AN562" s="36">
        <v>712.19</v>
      </c>
      <c r="AO562" s="23">
        <f t="shared" si="142"/>
        <v>470.04724800000002</v>
      </c>
      <c r="AQ562">
        <f t="shared" si="129"/>
        <v>0.68181818181818166</v>
      </c>
    </row>
    <row r="563" spans="1:43" x14ac:dyDescent="0.35">
      <c r="A563" t="s">
        <v>43</v>
      </c>
      <c r="B563">
        <v>8</v>
      </c>
      <c r="C563">
        <v>2</v>
      </c>
      <c r="D563" t="s">
        <v>42</v>
      </c>
      <c r="E563">
        <v>2</v>
      </c>
      <c r="F563">
        <v>1</v>
      </c>
      <c r="G563" s="12">
        <v>78</v>
      </c>
      <c r="H563" s="12">
        <v>21.43</v>
      </c>
      <c r="I563" s="12">
        <v>1330</v>
      </c>
      <c r="J563" s="12">
        <v>24.129000000000001</v>
      </c>
      <c r="K563" s="12">
        <v>60.817999999999998</v>
      </c>
      <c r="L563" s="12">
        <v>0.40899999999999997</v>
      </c>
      <c r="M563" s="19">
        <v>543.46</v>
      </c>
      <c r="N563" s="12">
        <v>8.1530000000000005</v>
      </c>
      <c r="O563" s="13">
        <v>6.9669999999999996</v>
      </c>
      <c r="P563" s="14">
        <v>78</v>
      </c>
      <c r="Q563" s="14">
        <v>24.129000000000001</v>
      </c>
      <c r="R563" s="14">
        <v>200.77699999999999</v>
      </c>
      <c r="S563" s="14">
        <v>342.68299999999999</v>
      </c>
      <c r="T563" s="10" t="b">
        <f t="shared" si="130"/>
        <v>1</v>
      </c>
      <c r="U563" s="10" t="b">
        <f t="shared" si="131"/>
        <v>1</v>
      </c>
      <c r="V563" s="11">
        <f>VLOOKUP(IF(J563&lt;10, 10, IF(J563&gt;50,50,J563)),'Over to underbark'!$A$3:$C$43,IF(A563="Scots pine",3,IF(A563="Sitka spruce",2, "error")),TRUE)/100</f>
        <v>0.9</v>
      </c>
      <c r="W563">
        <f t="shared" si="132"/>
        <v>162.62936999999999</v>
      </c>
      <c r="X563">
        <f t="shared" si="133"/>
        <v>277.57322999999997</v>
      </c>
      <c r="Y563">
        <f t="shared" si="134"/>
        <v>48.911399999999993</v>
      </c>
      <c r="Z563">
        <f t="shared" si="136"/>
        <v>199.06130470949998</v>
      </c>
      <c r="AA563">
        <f t="shared" si="137"/>
        <v>42.344930699999992</v>
      </c>
      <c r="AB563">
        <f t="shared" si="138"/>
        <v>94.487341630499984</v>
      </c>
      <c r="AC563">
        <f t="shared" si="139"/>
        <v>153.22042295999998</v>
      </c>
      <c r="AD563">
        <f>LOOKUP($A563,'Over to underbark'!$A$47:$A$48,'Over to underbark'!E$47:E$48)*Z563</f>
        <v>65.690230554134999</v>
      </c>
      <c r="AE563">
        <f>LOOKUP($A563,'Over to underbark'!$A$47:$A$48,'Over to underbark'!E$47:E$48)*AA563</f>
        <v>13.973827130999998</v>
      </c>
      <c r="AF563">
        <f>LOOKUP($A563,'Over to underbark'!$A$47:$A$48,'Over to underbark'!E$47:E$48)*AB563</f>
        <v>31.180822738064997</v>
      </c>
      <c r="AG563">
        <f>LOOKUP($A563,'Over to underbark'!$A$47:$A$48,'Over to underbark'!E$47:E$48)*AC563</f>
        <v>50.562739576799999</v>
      </c>
      <c r="AH563" t="b">
        <f t="shared" si="140"/>
        <v>1</v>
      </c>
      <c r="AI563" t="b">
        <f t="shared" si="135"/>
        <v>1</v>
      </c>
      <c r="AJ563">
        <f>LOOKUP(A563,'Over to underbark'!$A$47:$A$48,'Over to underbark'!E$47:E$48)*M563</f>
        <v>179.34180000000001</v>
      </c>
      <c r="AK563" s="22">
        <f>LOOKUP(A563,'Over to underbark'!$A$47:$A$48,'Over to underbark'!$B$47:$B$48)*AJ563</f>
        <v>57.389376000000006</v>
      </c>
      <c r="AL563" s="22">
        <f>LOOKUP(A563,'Over to underbark'!$A$47:$A$48,'Over to underbark'!C$47:C$48)*AJ563</f>
        <v>87.877482000000001</v>
      </c>
      <c r="AM563" s="22">
        <f t="shared" si="141"/>
        <v>236.731176</v>
      </c>
      <c r="AN563" s="36">
        <v>717.37</v>
      </c>
      <c r="AO563" s="23">
        <f t="shared" si="142"/>
        <v>473.46235200000001</v>
      </c>
      <c r="AQ563">
        <f t="shared" si="129"/>
        <v>0.68181818181818177</v>
      </c>
    </row>
    <row r="564" spans="1:43" x14ac:dyDescent="0.35">
      <c r="A564" t="s">
        <v>43</v>
      </c>
      <c r="B564">
        <v>8</v>
      </c>
      <c r="C564">
        <v>2</v>
      </c>
      <c r="D564" t="s">
        <v>42</v>
      </c>
      <c r="E564">
        <v>2</v>
      </c>
      <c r="F564">
        <v>1</v>
      </c>
      <c r="G564" s="12">
        <v>79</v>
      </c>
      <c r="H564" s="12">
        <v>21.55</v>
      </c>
      <c r="I564" s="12">
        <v>1320</v>
      </c>
      <c r="J564" s="12">
        <v>24.259</v>
      </c>
      <c r="K564" s="12">
        <v>61.011000000000003</v>
      </c>
      <c r="L564" s="12">
        <v>0.41499999999999998</v>
      </c>
      <c r="M564" s="19">
        <v>547.38</v>
      </c>
      <c r="N564" s="12">
        <v>8.3729999999999993</v>
      </c>
      <c r="O564" s="13">
        <v>6.9290000000000003</v>
      </c>
      <c r="P564" s="14">
        <v>79</v>
      </c>
      <c r="Q564" s="14">
        <v>24.259</v>
      </c>
      <c r="R564" s="14">
        <v>199.33500000000001</v>
      </c>
      <c r="S564" s="14">
        <v>348.04500000000002</v>
      </c>
      <c r="T564" s="10" t="b">
        <f t="shared" si="130"/>
        <v>1</v>
      </c>
      <c r="U564" s="10" t="b">
        <f t="shared" si="131"/>
        <v>1</v>
      </c>
      <c r="V564" s="11">
        <f>VLOOKUP(IF(J564&lt;10, 10, IF(J564&gt;50,50,J564)),'Over to underbark'!$A$3:$C$43,IF(A564="Scots pine",3,IF(A564="Sitka spruce",2, "error")),TRUE)/100</f>
        <v>0.9</v>
      </c>
      <c r="W564">
        <f t="shared" si="132"/>
        <v>161.46135000000001</v>
      </c>
      <c r="X564">
        <f t="shared" si="133"/>
        <v>281.91645</v>
      </c>
      <c r="Y564">
        <f t="shared" si="134"/>
        <v>49.264199999999988</v>
      </c>
      <c r="Z564">
        <f t="shared" si="136"/>
        <v>200.03044952249999</v>
      </c>
      <c r="AA564">
        <f t="shared" si="137"/>
        <v>42.392848499999999</v>
      </c>
      <c r="AB564">
        <f t="shared" si="138"/>
        <v>94.6008215775</v>
      </c>
      <c r="AC564">
        <f t="shared" si="139"/>
        <v>155.61788039999999</v>
      </c>
      <c r="AD564">
        <f>LOOKUP($A564,'Over to underbark'!$A$47:$A$48,'Over to underbark'!E$47:E$48)*Z564</f>
        <v>66.010048342424994</v>
      </c>
      <c r="AE564">
        <f>LOOKUP($A564,'Over to underbark'!$A$47:$A$48,'Over to underbark'!E$47:E$48)*AA564</f>
        <v>13.989640005</v>
      </c>
      <c r="AF564">
        <f>LOOKUP($A564,'Over to underbark'!$A$47:$A$48,'Over to underbark'!E$47:E$48)*AB564</f>
        <v>31.218271120575</v>
      </c>
      <c r="AG564">
        <f>LOOKUP($A564,'Over to underbark'!$A$47:$A$48,'Over to underbark'!E$47:E$48)*AC564</f>
        <v>51.353900531999997</v>
      </c>
      <c r="AH564" t="b">
        <f t="shared" si="140"/>
        <v>1</v>
      </c>
      <c r="AI564" t="b">
        <f t="shared" si="135"/>
        <v>1</v>
      </c>
      <c r="AJ564">
        <f>LOOKUP(A564,'Over to underbark'!$A$47:$A$48,'Over to underbark'!E$47:E$48)*M564</f>
        <v>180.6354</v>
      </c>
      <c r="AK564" s="22">
        <f>LOOKUP(A564,'Over to underbark'!$A$47:$A$48,'Over to underbark'!$B$47:$B$48)*AJ564</f>
        <v>57.803328</v>
      </c>
      <c r="AL564" s="22">
        <f>LOOKUP(A564,'Over to underbark'!$A$47:$A$48,'Over to underbark'!C$47:C$48)*AJ564</f>
        <v>88.511346000000003</v>
      </c>
      <c r="AM564" s="22">
        <f t="shared" si="141"/>
        <v>238.438728</v>
      </c>
      <c r="AN564" s="36">
        <v>722.54</v>
      </c>
      <c r="AO564" s="23">
        <f t="shared" si="142"/>
        <v>476.877456</v>
      </c>
      <c r="AQ564">
        <f t="shared" si="129"/>
        <v>0.68181818181818177</v>
      </c>
    </row>
    <row r="565" spans="1:43" x14ac:dyDescent="0.35">
      <c r="A565" t="s">
        <v>43</v>
      </c>
      <c r="B565">
        <v>8</v>
      </c>
      <c r="C565">
        <v>2</v>
      </c>
      <c r="D565" t="s">
        <v>42</v>
      </c>
      <c r="E565">
        <v>2</v>
      </c>
      <c r="F565">
        <v>1</v>
      </c>
      <c r="G565" s="12">
        <v>80</v>
      </c>
      <c r="H565" s="12">
        <v>21.67</v>
      </c>
      <c r="I565" s="12">
        <v>1310</v>
      </c>
      <c r="J565" s="12">
        <v>24.39</v>
      </c>
      <c r="K565" s="12">
        <v>61.204999999999998</v>
      </c>
      <c r="L565" s="12">
        <v>0.42099999999999999</v>
      </c>
      <c r="M565" s="19">
        <v>551.29999999999995</v>
      </c>
      <c r="N565" s="12">
        <v>8.5890000000000004</v>
      </c>
      <c r="O565" s="13">
        <v>6.891</v>
      </c>
      <c r="P565" s="14">
        <v>80</v>
      </c>
      <c r="Q565" s="14">
        <v>24.39</v>
      </c>
      <c r="R565" s="14">
        <v>197.863</v>
      </c>
      <c r="S565" s="14">
        <v>353.43700000000001</v>
      </c>
      <c r="T565" s="10" t="b">
        <f t="shared" si="130"/>
        <v>1</v>
      </c>
      <c r="U565" s="10" t="b">
        <f t="shared" si="131"/>
        <v>1</v>
      </c>
      <c r="V565" s="11">
        <f>VLOOKUP(IF(J565&lt;10, 10, IF(J565&gt;50,50,J565)),'Over to underbark'!$A$3:$C$43,IF(A565="Scots pine",3,IF(A565="Sitka spruce",2, "error")),TRUE)/100</f>
        <v>0.9</v>
      </c>
      <c r="W565">
        <f t="shared" si="132"/>
        <v>160.26903000000001</v>
      </c>
      <c r="X565">
        <f t="shared" si="133"/>
        <v>286.28397000000001</v>
      </c>
      <c r="Y565">
        <f t="shared" si="134"/>
        <v>49.616999999999983</v>
      </c>
      <c r="Z565">
        <f t="shared" si="136"/>
        <v>200.99475013050002</v>
      </c>
      <c r="AA565">
        <f t="shared" si="137"/>
        <v>42.438093299999991</v>
      </c>
      <c r="AB565">
        <f t="shared" si="138"/>
        <v>94.708405129499994</v>
      </c>
      <c r="AC565">
        <f t="shared" si="139"/>
        <v>158.02875144000001</v>
      </c>
      <c r="AD565">
        <f>LOOKUP($A565,'Over to underbark'!$A$47:$A$48,'Over to underbark'!E$47:E$48)*Z565</f>
        <v>66.32826754306501</v>
      </c>
      <c r="AE565">
        <f>LOOKUP($A565,'Over to underbark'!$A$47:$A$48,'Over to underbark'!E$47:E$48)*AA565</f>
        <v>14.004570788999997</v>
      </c>
      <c r="AF565">
        <f>LOOKUP($A565,'Over to underbark'!$A$47:$A$48,'Over to underbark'!E$47:E$48)*AB565</f>
        <v>31.253773692734999</v>
      </c>
      <c r="AG565">
        <f>LOOKUP($A565,'Over to underbark'!$A$47:$A$48,'Over to underbark'!E$47:E$48)*AC565</f>
        <v>52.149487975200003</v>
      </c>
      <c r="AH565" t="b">
        <f t="shared" si="140"/>
        <v>1</v>
      </c>
      <c r="AI565" t="b">
        <f t="shared" si="135"/>
        <v>1</v>
      </c>
      <c r="AJ565">
        <f>LOOKUP(A565,'Over to underbark'!$A$47:$A$48,'Over to underbark'!E$47:E$48)*M565</f>
        <v>181.929</v>
      </c>
      <c r="AK565" s="22">
        <f>LOOKUP(A565,'Over to underbark'!$A$47:$A$48,'Over to underbark'!$B$47:$B$48)*AJ565</f>
        <v>58.217280000000002</v>
      </c>
      <c r="AL565" s="22">
        <f>LOOKUP(A565,'Over to underbark'!$A$47:$A$48,'Over to underbark'!C$47:C$48)*AJ565</f>
        <v>89.145210000000006</v>
      </c>
      <c r="AM565" s="22">
        <f t="shared" si="141"/>
        <v>240.14627999999999</v>
      </c>
      <c r="AN565" s="36">
        <v>727.72</v>
      </c>
      <c r="AO565" s="23">
        <f t="shared" si="142"/>
        <v>480.29255999999998</v>
      </c>
      <c r="AQ565">
        <f t="shared" si="129"/>
        <v>0.68181818181818199</v>
      </c>
    </row>
    <row r="566" spans="1:43" x14ac:dyDescent="0.35">
      <c r="A566" t="s">
        <v>43</v>
      </c>
      <c r="B566">
        <v>10</v>
      </c>
      <c r="C566">
        <v>2</v>
      </c>
      <c r="D566" t="s">
        <v>42</v>
      </c>
      <c r="E566">
        <v>2</v>
      </c>
      <c r="F566">
        <v>1</v>
      </c>
      <c r="G566" s="12">
        <v>22</v>
      </c>
      <c r="H566" s="12">
        <v>7.1</v>
      </c>
      <c r="I566" s="12">
        <v>2315</v>
      </c>
      <c r="J566" s="12">
        <v>11.15</v>
      </c>
      <c r="K566" s="12">
        <v>22.603999999999999</v>
      </c>
      <c r="L566" s="12">
        <v>2.5999999999999999E-2</v>
      </c>
      <c r="M566" s="19">
        <v>60.8</v>
      </c>
      <c r="N566" s="12">
        <v>0</v>
      </c>
      <c r="O566" s="13">
        <v>2.7639999999999998</v>
      </c>
      <c r="P566" s="14">
        <v>22</v>
      </c>
      <c r="Q566" s="14">
        <v>11.15</v>
      </c>
      <c r="R566" s="14">
        <v>60.8</v>
      </c>
      <c r="S566" s="14">
        <v>0</v>
      </c>
      <c r="T566" s="10" t="b">
        <f t="shared" si="130"/>
        <v>1</v>
      </c>
      <c r="U566" s="10" t="b">
        <f t="shared" si="131"/>
        <v>1</v>
      </c>
      <c r="V566" s="11">
        <f>VLOOKUP(IF(J566&lt;10, 10, IF(J566&gt;50,50,J566)),'Over to underbark'!$A$3:$C$43,IF(A566="Scots pine",3,IF(A566="Sitka spruce",2, "error")),TRUE)/100</f>
        <v>0.82</v>
      </c>
      <c r="W566">
        <f t="shared" si="132"/>
        <v>44.870399999999997</v>
      </c>
      <c r="X566">
        <f t="shared" si="133"/>
        <v>0</v>
      </c>
      <c r="Y566">
        <f t="shared" si="134"/>
        <v>9.8496000000000024</v>
      </c>
      <c r="Z566">
        <f t="shared" si="136"/>
        <v>28.362853440000002</v>
      </c>
      <c r="AA566">
        <f t="shared" si="137"/>
        <v>9.8605440000000009</v>
      </c>
      <c r="AB566">
        <f t="shared" si="138"/>
        <v>16.496602559999999</v>
      </c>
      <c r="AC566">
        <f t="shared" si="139"/>
        <v>0</v>
      </c>
      <c r="AD566">
        <f>LOOKUP($A566,'Over to underbark'!$A$47:$A$48,'Over to underbark'!E$47:E$48)*Z566</f>
        <v>9.3597416352000007</v>
      </c>
      <c r="AE566">
        <f>LOOKUP($A566,'Over to underbark'!$A$47:$A$48,'Over to underbark'!E$47:E$48)*AA566</f>
        <v>3.2539795200000006</v>
      </c>
      <c r="AF566">
        <f>LOOKUP($A566,'Over to underbark'!$A$47:$A$48,'Over to underbark'!E$47:E$48)*AB566</f>
        <v>5.4438788448000004</v>
      </c>
      <c r="AG566">
        <f>LOOKUP($A566,'Over to underbark'!$A$47:$A$48,'Over to underbark'!E$47:E$48)*AC566</f>
        <v>0</v>
      </c>
      <c r="AH566" t="b">
        <f t="shared" si="140"/>
        <v>1</v>
      </c>
      <c r="AI566" t="b">
        <f t="shared" si="135"/>
        <v>1</v>
      </c>
      <c r="AJ566">
        <f>LOOKUP(A566,'Over to underbark'!$A$47:$A$48,'Over to underbark'!E$47:E$48)*M566</f>
        <v>20.064</v>
      </c>
      <c r="AK566" s="22">
        <f>LOOKUP(A566,'Over to underbark'!$A$47:$A$48,'Over to underbark'!$B$47:$B$48)*AJ566</f>
        <v>6.4204800000000004</v>
      </c>
      <c r="AL566" s="22">
        <f>LOOKUP(A566,'Over to underbark'!$A$47:$A$48,'Over to underbark'!C$47:C$48)*AJ566</f>
        <v>9.8313600000000001</v>
      </c>
      <c r="AM566" s="22">
        <f t="shared" si="141"/>
        <v>26.484480000000001</v>
      </c>
      <c r="AN566" s="36">
        <v>80.260000000000005</v>
      </c>
      <c r="AO566" s="23">
        <f t="shared" si="142"/>
        <v>52.968960000000003</v>
      </c>
      <c r="AQ566">
        <f t="shared" si="129"/>
        <v>0.68181818181818177</v>
      </c>
    </row>
    <row r="567" spans="1:43" x14ac:dyDescent="0.35">
      <c r="A567" t="s">
        <v>43</v>
      </c>
      <c r="B567">
        <v>10</v>
      </c>
      <c r="C567">
        <v>2</v>
      </c>
      <c r="D567" t="s">
        <v>42</v>
      </c>
      <c r="E567">
        <v>2</v>
      </c>
      <c r="F567">
        <v>1</v>
      </c>
      <c r="G567" s="12">
        <v>23</v>
      </c>
      <c r="H567" s="12">
        <v>7.5819999999999999</v>
      </c>
      <c r="I567" s="12">
        <v>2304</v>
      </c>
      <c r="J567" s="12">
        <v>11.661</v>
      </c>
      <c r="K567" s="12">
        <v>24.603999999999999</v>
      </c>
      <c r="L567" s="12">
        <v>3.2000000000000001E-2</v>
      </c>
      <c r="M567" s="19">
        <v>72.599999999999994</v>
      </c>
      <c r="N567" s="12">
        <v>0</v>
      </c>
      <c r="O567" s="13">
        <v>3.157</v>
      </c>
      <c r="P567" s="14">
        <v>23</v>
      </c>
      <c r="Q567" s="14">
        <v>11.661</v>
      </c>
      <c r="R567" s="14">
        <v>72.599999999999994</v>
      </c>
      <c r="S567" s="14">
        <v>0</v>
      </c>
      <c r="T567" s="10" t="b">
        <f t="shared" si="130"/>
        <v>1</v>
      </c>
      <c r="U567" s="10" t="b">
        <f t="shared" si="131"/>
        <v>1</v>
      </c>
      <c r="V567" s="11">
        <f>VLOOKUP(IF(J567&lt;10, 10, IF(J567&gt;50,50,J567)),'Over to underbark'!$A$3:$C$43,IF(A567="Scots pine",3,IF(A567="Sitka spruce",2, "error")),TRUE)/100</f>
        <v>0.82</v>
      </c>
      <c r="W567">
        <f t="shared" si="132"/>
        <v>53.578800000000001</v>
      </c>
      <c r="X567">
        <f t="shared" si="133"/>
        <v>0</v>
      </c>
      <c r="Y567">
        <f t="shared" si="134"/>
        <v>11.761200000000004</v>
      </c>
      <c r="Z567">
        <f t="shared" si="136"/>
        <v>33.86748618</v>
      </c>
      <c r="AA567">
        <f t="shared" si="137"/>
        <v>11.774268000000003</v>
      </c>
      <c r="AB567">
        <f t="shared" si="138"/>
        <v>19.69824582</v>
      </c>
      <c r="AC567">
        <f t="shared" si="139"/>
        <v>0</v>
      </c>
      <c r="AD567">
        <f>LOOKUP($A567,'Over to underbark'!$A$47:$A$48,'Over to underbark'!E$47:E$48)*Z567</f>
        <v>11.176270439400001</v>
      </c>
      <c r="AE567">
        <f>LOOKUP($A567,'Over to underbark'!$A$47:$A$48,'Over to underbark'!E$47:E$48)*AA567</f>
        <v>3.8855084400000011</v>
      </c>
      <c r="AF567">
        <f>LOOKUP($A567,'Over to underbark'!$A$47:$A$48,'Over to underbark'!E$47:E$48)*AB567</f>
        <v>6.5004211206000004</v>
      </c>
      <c r="AG567">
        <f>LOOKUP($A567,'Over to underbark'!$A$47:$A$48,'Over to underbark'!E$47:E$48)*AC567</f>
        <v>0</v>
      </c>
      <c r="AH567" t="b">
        <f t="shared" si="140"/>
        <v>1</v>
      </c>
      <c r="AI567" t="b">
        <f t="shared" si="135"/>
        <v>1</v>
      </c>
      <c r="AJ567">
        <f>LOOKUP(A567,'Over to underbark'!$A$47:$A$48,'Over to underbark'!E$47:E$48)*M567</f>
        <v>23.957999999999998</v>
      </c>
      <c r="AK567" s="22">
        <f>LOOKUP(A567,'Over to underbark'!$A$47:$A$48,'Over to underbark'!$B$47:$B$48)*AJ567</f>
        <v>7.6665599999999996</v>
      </c>
      <c r="AL567" s="22">
        <f>LOOKUP(A567,'Over to underbark'!$A$47:$A$48,'Over to underbark'!C$47:C$48)*AJ567</f>
        <v>11.739419999999999</v>
      </c>
      <c r="AM567" s="22">
        <f t="shared" si="141"/>
        <v>31.624559999999999</v>
      </c>
      <c r="AN567" s="36">
        <v>95.83</v>
      </c>
      <c r="AO567" s="23">
        <f t="shared" si="142"/>
        <v>63.249119999999998</v>
      </c>
      <c r="AQ567">
        <f t="shared" si="129"/>
        <v>0.68181818181818199</v>
      </c>
    </row>
    <row r="568" spans="1:43" x14ac:dyDescent="0.35">
      <c r="A568" t="s">
        <v>43</v>
      </c>
      <c r="B568">
        <v>10</v>
      </c>
      <c r="C568">
        <v>2</v>
      </c>
      <c r="D568" t="s">
        <v>42</v>
      </c>
      <c r="E568">
        <v>2</v>
      </c>
      <c r="F568">
        <v>1</v>
      </c>
      <c r="G568" s="12">
        <v>24</v>
      </c>
      <c r="H568" s="12">
        <v>8.0640000000000001</v>
      </c>
      <c r="I568" s="12">
        <v>2293</v>
      </c>
      <c r="J568" s="12">
        <v>12.154</v>
      </c>
      <c r="K568" s="12">
        <v>26.603999999999999</v>
      </c>
      <c r="L568" s="12">
        <v>3.6999999999999998E-2</v>
      </c>
      <c r="M568" s="19">
        <v>84.4</v>
      </c>
      <c r="N568" s="12">
        <v>0</v>
      </c>
      <c r="O568" s="13">
        <v>3.5169999999999999</v>
      </c>
      <c r="P568" s="14">
        <v>24</v>
      </c>
      <c r="Q568" s="14">
        <v>12.154</v>
      </c>
      <c r="R568" s="14">
        <v>84.4</v>
      </c>
      <c r="S568" s="14">
        <v>0</v>
      </c>
      <c r="T568" s="10" t="b">
        <f t="shared" si="130"/>
        <v>1</v>
      </c>
      <c r="U568" s="10" t="b">
        <f t="shared" si="131"/>
        <v>1</v>
      </c>
      <c r="V568" s="11">
        <f>VLOOKUP(IF(J568&lt;10, 10, IF(J568&gt;50,50,J568)),'Over to underbark'!$A$3:$C$43,IF(A568="Scots pine",3,IF(A568="Sitka spruce",2, "error")),TRUE)/100</f>
        <v>0.87</v>
      </c>
      <c r="W568">
        <f t="shared" si="132"/>
        <v>66.0852</v>
      </c>
      <c r="X568">
        <f t="shared" si="133"/>
        <v>0</v>
      </c>
      <c r="Y568">
        <f t="shared" si="134"/>
        <v>9.8748000000000022</v>
      </c>
      <c r="Z568">
        <f t="shared" si="136"/>
        <v>39.457004220000002</v>
      </c>
      <c r="AA568">
        <f t="shared" si="137"/>
        <v>12.206772000000001</v>
      </c>
      <c r="AB568">
        <f t="shared" si="138"/>
        <v>24.296223779999998</v>
      </c>
      <c r="AC568">
        <f t="shared" si="139"/>
        <v>0</v>
      </c>
      <c r="AD568">
        <f>LOOKUP($A568,'Over to underbark'!$A$47:$A$48,'Over to underbark'!E$47:E$48)*Z568</f>
        <v>13.020811392600001</v>
      </c>
      <c r="AE568">
        <f>LOOKUP($A568,'Over to underbark'!$A$47:$A$48,'Over to underbark'!E$47:E$48)*AA568</f>
        <v>4.0282347600000001</v>
      </c>
      <c r="AF568">
        <f>LOOKUP($A568,'Over to underbark'!$A$47:$A$48,'Over to underbark'!E$47:E$48)*AB568</f>
        <v>8.0177538473999999</v>
      </c>
      <c r="AG568">
        <f>LOOKUP($A568,'Over to underbark'!$A$47:$A$48,'Over to underbark'!E$47:E$48)*AC568</f>
        <v>0</v>
      </c>
      <c r="AH568" t="b">
        <f t="shared" si="140"/>
        <v>1</v>
      </c>
      <c r="AI568" t="b">
        <f t="shared" si="135"/>
        <v>1</v>
      </c>
      <c r="AJ568">
        <f>LOOKUP(A568,'Over to underbark'!$A$47:$A$48,'Over to underbark'!E$47:E$48)*M568</f>
        <v>27.852000000000004</v>
      </c>
      <c r="AK568" s="22">
        <f>LOOKUP(A568,'Over to underbark'!$A$47:$A$48,'Over to underbark'!$B$47:$B$48)*AJ568</f>
        <v>8.9126400000000015</v>
      </c>
      <c r="AL568" s="22">
        <f>LOOKUP(A568,'Over to underbark'!$A$47:$A$48,'Over to underbark'!C$47:C$48)*AJ568</f>
        <v>13.647480000000002</v>
      </c>
      <c r="AM568" s="22">
        <f t="shared" si="141"/>
        <v>36.764640000000007</v>
      </c>
      <c r="AN568" s="36">
        <v>111.41</v>
      </c>
      <c r="AO568" s="23">
        <f t="shared" si="142"/>
        <v>73.529280000000014</v>
      </c>
      <c r="AQ568">
        <f t="shared" si="129"/>
        <v>0.68181818181818166</v>
      </c>
    </row>
    <row r="569" spans="1:43" x14ac:dyDescent="0.35">
      <c r="A569" t="s">
        <v>43</v>
      </c>
      <c r="B569">
        <v>10</v>
      </c>
      <c r="C569">
        <v>2</v>
      </c>
      <c r="D569" t="s">
        <v>42</v>
      </c>
      <c r="E569">
        <v>2</v>
      </c>
      <c r="F569">
        <v>1</v>
      </c>
      <c r="G569" s="12">
        <v>25</v>
      </c>
      <c r="H569" s="12">
        <v>8.5459999999999994</v>
      </c>
      <c r="I569" s="12">
        <v>2282</v>
      </c>
      <c r="J569" s="12">
        <v>12.632999999999999</v>
      </c>
      <c r="K569" s="12">
        <v>28.603999999999999</v>
      </c>
      <c r="L569" s="12">
        <v>4.2000000000000003E-2</v>
      </c>
      <c r="M569" s="19">
        <v>96.2</v>
      </c>
      <c r="N569" s="12">
        <v>0</v>
      </c>
      <c r="O569" s="13">
        <v>3.8479999999999999</v>
      </c>
      <c r="P569" s="14">
        <v>25</v>
      </c>
      <c r="Q569" s="14">
        <v>12.632999999999999</v>
      </c>
      <c r="R569" s="14">
        <v>96.2</v>
      </c>
      <c r="S569" s="14">
        <v>0</v>
      </c>
      <c r="T569" s="10" t="b">
        <f t="shared" si="130"/>
        <v>1</v>
      </c>
      <c r="U569" s="10" t="b">
        <f t="shared" si="131"/>
        <v>1</v>
      </c>
      <c r="V569" s="11">
        <f>VLOOKUP(IF(J569&lt;10, 10, IF(J569&gt;50,50,J569)),'Over to underbark'!$A$3:$C$43,IF(A569="Scots pine",3,IF(A569="Sitka spruce",2, "error")),TRUE)/100</f>
        <v>0.87</v>
      </c>
      <c r="W569">
        <f t="shared" si="132"/>
        <v>75.324600000000004</v>
      </c>
      <c r="X569">
        <f t="shared" si="133"/>
        <v>0</v>
      </c>
      <c r="Y569">
        <f t="shared" si="134"/>
        <v>11.2554</v>
      </c>
      <c r="Z569">
        <f t="shared" si="136"/>
        <v>44.973504810000009</v>
      </c>
      <c r="AA569">
        <f t="shared" si="137"/>
        <v>13.913406000000002</v>
      </c>
      <c r="AB569">
        <f t="shared" si="138"/>
        <v>27.693089190000002</v>
      </c>
      <c r="AC569">
        <f t="shared" si="139"/>
        <v>0</v>
      </c>
      <c r="AD569">
        <f>LOOKUP($A569,'Over to underbark'!$A$47:$A$48,'Over to underbark'!E$47:E$48)*Z569</f>
        <v>14.841256587300004</v>
      </c>
      <c r="AE569">
        <f>LOOKUP($A569,'Over to underbark'!$A$47:$A$48,'Over to underbark'!E$47:E$48)*AA569</f>
        <v>4.591423980000001</v>
      </c>
      <c r="AF569">
        <f>LOOKUP($A569,'Over to underbark'!$A$47:$A$48,'Over to underbark'!E$47:E$48)*AB569</f>
        <v>9.1387194327000003</v>
      </c>
      <c r="AG569">
        <f>LOOKUP($A569,'Over to underbark'!$A$47:$A$48,'Over to underbark'!E$47:E$48)*AC569</f>
        <v>0</v>
      </c>
      <c r="AH569" t="b">
        <f t="shared" si="140"/>
        <v>1</v>
      </c>
      <c r="AI569" t="b">
        <f t="shared" si="135"/>
        <v>1</v>
      </c>
      <c r="AJ569">
        <f>LOOKUP(A569,'Over to underbark'!$A$47:$A$48,'Over to underbark'!E$47:E$48)*M569</f>
        <v>31.746000000000002</v>
      </c>
      <c r="AK569" s="22">
        <f>LOOKUP(A569,'Over to underbark'!$A$47:$A$48,'Over to underbark'!$B$47:$B$48)*AJ569</f>
        <v>10.158720000000001</v>
      </c>
      <c r="AL569" s="22">
        <f>LOOKUP(A569,'Over to underbark'!$A$47:$A$48,'Over to underbark'!C$47:C$48)*AJ569</f>
        <v>15.555540000000001</v>
      </c>
      <c r="AM569" s="22">
        <f t="shared" si="141"/>
        <v>41.904720000000005</v>
      </c>
      <c r="AN569" s="36">
        <v>126.98</v>
      </c>
      <c r="AO569" s="23">
        <f t="shared" si="142"/>
        <v>83.809440000000009</v>
      </c>
      <c r="AQ569">
        <f t="shared" si="129"/>
        <v>0.68181818181818188</v>
      </c>
    </row>
    <row r="570" spans="1:43" x14ac:dyDescent="0.35">
      <c r="A570" t="s">
        <v>43</v>
      </c>
      <c r="B570">
        <v>10</v>
      </c>
      <c r="C570">
        <v>2</v>
      </c>
      <c r="D570" t="s">
        <v>42</v>
      </c>
      <c r="E570">
        <v>2</v>
      </c>
      <c r="F570">
        <v>1</v>
      </c>
      <c r="G570" s="12">
        <v>26</v>
      </c>
      <c r="H570" s="12">
        <v>9.0280000000000005</v>
      </c>
      <c r="I570" s="12">
        <v>2271</v>
      </c>
      <c r="J570" s="12">
        <v>13.099</v>
      </c>
      <c r="K570" s="12">
        <v>30.603999999999999</v>
      </c>
      <c r="L570" s="12">
        <v>4.8000000000000001E-2</v>
      </c>
      <c r="M570" s="19">
        <v>108</v>
      </c>
      <c r="N570" s="12">
        <v>0</v>
      </c>
      <c r="O570" s="13">
        <v>4.1539999999999999</v>
      </c>
      <c r="P570" s="14">
        <v>26</v>
      </c>
      <c r="Q570" s="14">
        <v>13.099</v>
      </c>
      <c r="R570" s="14">
        <v>105.545</v>
      </c>
      <c r="S570" s="14">
        <v>2.4550000000000001</v>
      </c>
      <c r="T570" s="10" t="b">
        <f t="shared" si="130"/>
        <v>1</v>
      </c>
      <c r="U570" s="10" t="b">
        <f t="shared" si="131"/>
        <v>1</v>
      </c>
      <c r="V570" s="11">
        <f>VLOOKUP(IF(J570&lt;10, 10, IF(J570&gt;50,50,J570)),'Over to underbark'!$A$3:$C$43,IF(A570="Scots pine",3,IF(A570="Sitka spruce",2, "error")),TRUE)/100</f>
        <v>0.89</v>
      </c>
      <c r="W570">
        <f t="shared" si="132"/>
        <v>84.541544999999999</v>
      </c>
      <c r="X570">
        <f t="shared" si="133"/>
        <v>1.9664550000000003</v>
      </c>
      <c r="Y570">
        <f t="shared" si="134"/>
        <v>10.691999999999998</v>
      </c>
      <c r="Z570">
        <f t="shared" si="136"/>
        <v>50.141440995749988</v>
      </c>
      <c r="AA570">
        <f t="shared" si="137"/>
        <v>14.645569949999999</v>
      </c>
      <c r="AB570">
        <f t="shared" si="138"/>
        <v>31.327505894249999</v>
      </c>
      <c r="AC570">
        <f t="shared" si="139"/>
        <v>1.0854831600000001</v>
      </c>
      <c r="AD570">
        <f>LOOKUP($A570,'Over to underbark'!$A$47:$A$48,'Over to underbark'!E$47:E$48)*Z570</f>
        <v>16.546675528597497</v>
      </c>
      <c r="AE570">
        <f>LOOKUP($A570,'Over to underbark'!$A$47:$A$48,'Over to underbark'!E$47:E$48)*AA570</f>
        <v>4.8330380835</v>
      </c>
      <c r="AF570">
        <f>LOOKUP($A570,'Over to underbark'!$A$47:$A$48,'Over to underbark'!E$47:E$48)*AB570</f>
        <v>10.3380769451025</v>
      </c>
      <c r="AG570">
        <f>LOOKUP($A570,'Over to underbark'!$A$47:$A$48,'Over to underbark'!E$47:E$48)*AC570</f>
        <v>0.35820944280000006</v>
      </c>
      <c r="AH570" t="b">
        <f t="shared" si="140"/>
        <v>1</v>
      </c>
      <c r="AI570" t="b">
        <f t="shared" si="135"/>
        <v>1</v>
      </c>
      <c r="AJ570">
        <f>LOOKUP(A570,'Over to underbark'!$A$47:$A$48,'Over to underbark'!E$47:E$48)*M570</f>
        <v>35.64</v>
      </c>
      <c r="AK570" s="22">
        <f>LOOKUP(A570,'Over to underbark'!$A$47:$A$48,'Over to underbark'!$B$47:$B$48)*AJ570</f>
        <v>11.4048</v>
      </c>
      <c r="AL570" s="22">
        <f>LOOKUP(A570,'Over to underbark'!$A$47:$A$48,'Over to underbark'!C$47:C$48)*AJ570</f>
        <v>17.4636</v>
      </c>
      <c r="AM570" s="22">
        <f t="shared" si="141"/>
        <v>47.044800000000002</v>
      </c>
      <c r="AN570" s="36">
        <v>142.56</v>
      </c>
      <c r="AO570" s="23">
        <f t="shared" si="142"/>
        <v>94.089600000000004</v>
      </c>
      <c r="AQ570">
        <f t="shared" si="129"/>
        <v>0.68181818181818177</v>
      </c>
    </row>
    <row r="571" spans="1:43" x14ac:dyDescent="0.35">
      <c r="A571" t="s">
        <v>43</v>
      </c>
      <c r="B571">
        <v>10</v>
      </c>
      <c r="C571">
        <v>2</v>
      </c>
      <c r="D571" t="s">
        <v>42</v>
      </c>
      <c r="E571">
        <v>2</v>
      </c>
      <c r="F571">
        <v>1</v>
      </c>
      <c r="G571" s="12">
        <v>27</v>
      </c>
      <c r="H571" s="12">
        <v>9.51</v>
      </c>
      <c r="I571" s="12">
        <v>2261</v>
      </c>
      <c r="J571" s="12">
        <v>13.55</v>
      </c>
      <c r="K571" s="12">
        <v>32.603999999999999</v>
      </c>
      <c r="L571" s="12">
        <v>5.2999999999999999E-2</v>
      </c>
      <c r="M571" s="19">
        <v>119.8</v>
      </c>
      <c r="N571" s="12">
        <v>0</v>
      </c>
      <c r="O571" s="13">
        <v>4.4370000000000003</v>
      </c>
      <c r="P571" s="14">
        <v>27</v>
      </c>
      <c r="Q571" s="14">
        <v>13.55</v>
      </c>
      <c r="R571" s="14">
        <v>114.001</v>
      </c>
      <c r="S571" s="14">
        <v>5.7990000000000004</v>
      </c>
      <c r="T571" s="10" t="b">
        <f t="shared" si="130"/>
        <v>1</v>
      </c>
      <c r="U571" s="10" t="b">
        <f t="shared" si="131"/>
        <v>1</v>
      </c>
      <c r="V571" s="11">
        <f>VLOOKUP(IF(J571&lt;10, 10, IF(J571&gt;50,50,J571)),'Over to underbark'!$A$3:$C$43,IF(A571="Scots pine",3,IF(A571="Sitka spruce",2, "error")),TRUE)/100</f>
        <v>0.89</v>
      </c>
      <c r="W571">
        <f t="shared" si="132"/>
        <v>91.314801000000017</v>
      </c>
      <c r="X571">
        <f t="shared" si="133"/>
        <v>4.6449990000000003</v>
      </c>
      <c r="Y571">
        <f t="shared" si="134"/>
        <v>11.860199999999999</v>
      </c>
      <c r="Z571">
        <f t="shared" si="136"/>
        <v>55.128720979350007</v>
      </c>
      <c r="AA571">
        <f t="shared" si="137"/>
        <v>15.974728110000001</v>
      </c>
      <c r="AB571">
        <f t="shared" si="138"/>
        <v>34.152511462650004</v>
      </c>
      <c r="AC571">
        <f t="shared" si="139"/>
        <v>2.5640394479999999</v>
      </c>
      <c r="AD571">
        <f>LOOKUP($A571,'Over to underbark'!$A$47:$A$48,'Over to underbark'!E$47:E$48)*Z571</f>
        <v>18.192477923185503</v>
      </c>
      <c r="AE571">
        <f>LOOKUP($A571,'Over to underbark'!$A$47:$A$48,'Over to underbark'!E$47:E$48)*AA571</f>
        <v>5.2716602763000004</v>
      </c>
      <c r="AF571">
        <f>LOOKUP($A571,'Over to underbark'!$A$47:$A$48,'Over to underbark'!E$47:E$48)*AB571</f>
        <v>11.270328782674502</v>
      </c>
      <c r="AG571">
        <f>LOOKUP($A571,'Over to underbark'!$A$47:$A$48,'Over to underbark'!E$47:E$48)*AC571</f>
        <v>0.84613301784000006</v>
      </c>
      <c r="AH571" t="b">
        <f t="shared" si="140"/>
        <v>1</v>
      </c>
      <c r="AI571" t="b">
        <f t="shared" si="135"/>
        <v>1</v>
      </c>
      <c r="AJ571">
        <f>LOOKUP(A571,'Over to underbark'!$A$47:$A$48,'Over to underbark'!E$47:E$48)*M571</f>
        <v>39.533999999999999</v>
      </c>
      <c r="AK571" s="22">
        <f>LOOKUP(A571,'Over to underbark'!$A$47:$A$48,'Over to underbark'!$B$47:$B$48)*AJ571</f>
        <v>12.650880000000001</v>
      </c>
      <c r="AL571" s="22">
        <f>LOOKUP(A571,'Over to underbark'!$A$47:$A$48,'Over to underbark'!C$47:C$48)*AJ571</f>
        <v>19.371659999999999</v>
      </c>
      <c r="AM571" s="22">
        <f t="shared" si="141"/>
        <v>52.18488</v>
      </c>
      <c r="AN571" s="36">
        <v>158.13999999999999</v>
      </c>
      <c r="AO571" s="23">
        <f t="shared" si="142"/>
        <v>104.36976</v>
      </c>
      <c r="AQ571">
        <f t="shared" si="129"/>
        <v>0.68181818181818199</v>
      </c>
    </row>
    <row r="572" spans="1:43" x14ac:dyDescent="0.35">
      <c r="A572" t="s">
        <v>43</v>
      </c>
      <c r="B572">
        <v>10</v>
      </c>
      <c r="C572">
        <v>2</v>
      </c>
      <c r="D572" t="s">
        <v>42</v>
      </c>
      <c r="E572">
        <v>2</v>
      </c>
      <c r="F572">
        <v>1</v>
      </c>
      <c r="G572" s="12">
        <v>28</v>
      </c>
      <c r="H572" s="12">
        <v>9.968</v>
      </c>
      <c r="I572" s="12">
        <v>2243</v>
      </c>
      <c r="J572" s="12">
        <v>13.941000000000001</v>
      </c>
      <c r="K572" s="12">
        <v>34.238</v>
      </c>
      <c r="L572" s="12">
        <v>0.06</v>
      </c>
      <c r="M572" s="19">
        <v>133.80000000000001</v>
      </c>
      <c r="N572" s="12">
        <v>0.13400000000000001</v>
      </c>
      <c r="O572" s="13">
        <v>4.7789999999999999</v>
      </c>
      <c r="P572" s="14">
        <v>28</v>
      </c>
      <c r="Q572" s="14">
        <v>13.941000000000001</v>
      </c>
      <c r="R572" s="14">
        <v>124.27800000000001</v>
      </c>
      <c r="S572" s="14">
        <v>9.5220000000000002</v>
      </c>
      <c r="T572" s="10" t="b">
        <f t="shared" si="130"/>
        <v>1</v>
      </c>
      <c r="U572" s="10" t="b">
        <f t="shared" si="131"/>
        <v>1</v>
      </c>
      <c r="V572" s="11">
        <f>VLOOKUP(IF(J572&lt;10, 10, IF(J572&gt;50,50,J572)),'Over to underbark'!$A$3:$C$43,IF(A572="Scots pine",3,IF(A572="Sitka spruce",2, "error")),TRUE)/100</f>
        <v>0.89</v>
      </c>
      <c r="W572">
        <f t="shared" si="132"/>
        <v>99.546678</v>
      </c>
      <c r="X572">
        <f t="shared" si="133"/>
        <v>7.6271220000000008</v>
      </c>
      <c r="Y572">
        <f t="shared" si="134"/>
        <v>13.2462</v>
      </c>
      <c r="Z572">
        <f t="shared" si="136"/>
        <v>61.084867659300002</v>
      </c>
      <c r="AA572">
        <f t="shared" si="137"/>
        <v>17.573234580000001</v>
      </c>
      <c r="AB572">
        <f t="shared" si="138"/>
        <v>37.551726416699999</v>
      </c>
      <c r="AC572">
        <f t="shared" si="139"/>
        <v>4.2101713439999999</v>
      </c>
      <c r="AD572">
        <f>LOOKUP($A572,'Over to underbark'!$A$47:$A$48,'Over to underbark'!E$47:E$48)*Z572</f>
        <v>20.158006327569002</v>
      </c>
      <c r="AE572">
        <f>LOOKUP($A572,'Over to underbark'!$A$47:$A$48,'Over to underbark'!E$47:E$48)*AA572</f>
        <v>5.7991674114000009</v>
      </c>
      <c r="AF572">
        <f>LOOKUP($A572,'Over to underbark'!$A$47:$A$48,'Over to underbark'!E$47:E$48)*AB572</f>
        <v>12.392069717511001</v>
      </c>
      <c r="AG572">
        <f>LOOKUP($A572,'Over to underbark'!$A$47:$A$48,'Over to underbark'!E$47:E$48)*AC572</f>
        <v>1.3893565435199999</v>
      </c>
      <c r="AH572" t="b">
        <f t="shared" si="140"/>
        <v>1</v>
      </c>
      <c r="AI572" t="b">
        <f t="shared" si="135"/>
        <v>1</v>
      </c>
      <c r="AJ572">
        <f>LOOKUP(A572,'Over to underbark'!$A$47:$A$48,'Over to underbark'!E$47:E$48)*M572</f>
        <v>44.154000000000003</v>
      </c>
      <c r="AK572" s="22">
        <f>LOOKUP(A572,'Over to underbark'!$A$47:$A$48,'Over to underbark'!$B$47:$B$48)*AJ572</f>
        <v>14.129280000000001</v>
      </c>
      <c r="AL572" s="22">
        <f>LOOKUP(A572,'Over to underbark'!$A$47:$A$48,'Over to underbark'!C$47:C$48)*AJ572</f>
        <v>21.635460000000002</v>
      </c>
      <c r="AM572" s="22">
        <f t="shared" si="141"/>
        <v>58.283280000000005</v>
      </c>
      <c r="AN572" s="36">
        <v>176.62</v>
      </c>
      <c r="AO572" s="23">
        <f t="shared" si="142"/>
        <v>116.56656000000001</v>
      </c>
      <c r="AQ572">
        <f t="shared" si="129"/>
        <v>0.68181818181818188</v>
      </c>
    </row>
    <row r="573" spans="1:43" x14ac:dyDescent="0.35">
      <c r="A573" t="s">
        <v>43</v>
      </c>
      <c r="B573">
        <v>10</v>
      </c>
      <c r="C573">
        <v>2</v>
      </c>
      <c r="D573" t="s">
        <v>42</v>
      </c>
      <c r="E573">
        <v>2</v>
      </c>
      <c r="F573">
        <v>1</v>
      </c>
      <c r="G573" s="12">
        <v>29</v>
      </c>
      <c r="H573" s="12">
        <v>10.426</v>
      </c>
      <c r="I573" s="12">
        <v>2226</v>
      </c>
      <c r="J573" s="12">
        <v>14.324</v>
      </c>
      <c r="K573" s="12">
        <v>35.872999999999998</v>
      </c>
      <c r="L573" s="12">
        <v>6.6000000000000003E-2</v>
      </c>
      <c r="M573" s="19">
        <v>147.80000000000001</v>
      </c>
      <c r="N573" s="12">
        <v>0.24299999999999999</v>
      </c>
      <c r="O573" s="13">
        <v>5.0970000000000004</v>
      </c>
      <c r="P573" s="14">
        <v>29</v>
      </c>
      <c r="Q573" s="14">
        <v>14.324</v>
      </c>
      <c r="R573" s="14">
        <v>133.93</v>
      </c>
      <c r="S573" s="14">
        <v>13.87</v>
      </c>
      <c r="T573" s="10" t="b">
        <f t="shared" si="130"/>
        <v>1</v>
      </c>
      <c r="U573" s="10" t="b">
        <f t="shared" si="131"/>
        <v>1</v>
      </c>
      <c r="V573" s="11">
        <f>VLOOKUP(IF(J573&lt;10, 10, IF(J573&gt;50,50,J573)),'Over to underbark'!$A$3:$C$43,IF(A573="Scots pine",3,IF(A573="Sitka spruce",2, "error")),TRUE)/100</f>
        <v>0.9</v>
      </c>
      <c r="W573">
        <f t="shared" si="132"/>
        <v>108.48330000000001</v>
      </c>
      <c r="X573">
        <f t="shared" si="133"/>
        <v>11.234699999999998</v>
      </c>
      <c r="Y573">
        <f t="shared" si="134"/>
        <v>13.301999999999998</v>
      </c>
      <c r="Z573">
        <f t="shared" si="136"/>
        <v>66.946059854999987</v>
      </c>
      <c r="AA573">
        <f t="shared" si="137"/>
        <v>18.584163</v>
      </c>
      <c r="AB573">
        <f t="shared" si="138"/>
        <v>41.288222744999999</v>
      </c>
      <c r="AC573">
        <f t="shared" si="139"/>
        <v>6.2015543999999991</v>
      </c>
      <c r="AD573">
        <f>LOOKUP($A573,'Over to underbark'!$A$47:$A$48,'Over to underbark'!E$47:E$48)*Z573</f>
        <v>22.092199752149998</v>
      </c>
      <c r="AE573">
        <f>LOOKUP($A573,'Over to underbark'!$A$47:$A$48,'Over to underbark'!E$47:E$48)*AA573</f>
        <v>6.1327737900000008</v>
      </c>
      <c r="AF573">
        <f>LOOKUP($A573,'Over to underbark'!$A$47:$A$48,'Over to underbark'!E$47:E$48)*AB573</f>
        <v>13.625113505850001</v>
      </c>
      <c r="AG573">
        <f>LOOKUP($A573,'Over to underbark'!$A$47:$A$48,'Over to underbark'!E$47:E$48)*AC573</f>
        <v>2.0465129519999996</v>
      </c>
      <c r="AH573" t="b">
        <f t="shared" si="140"/>
        <v>1</v>
      </c>
      <c r="AI573" t="b">
        <f t="shared" si="135"/>
        <v>1</v>
      </c>
      <c r="AJ573">
        <f>LOOKUP(A573,'Over to underbark'!$A$47:$A$48,'Over to underbark'!E$47:E$48)*M573</f>
        <v>48.774000000000008</v>
      </c>
      <c r="AK573" s="22">
        <f>LOOKUP(A573,'Over to underbark'!$A$47:$A$48,'Over to underbark'!$B$47:$B$48)*AJ573</f>
        <v>15.607680000000004</v>
      </c>
      <c r="AL573" s="22">
        <f>LOOKUP(A573,'Over to underbark'!$A$47:$A$48,'Over to underbark'!C$47:C$48)*AJ573</f>
        <v>23.899260000000002</v>
      </c>
      <c r="AM573" s="22">
        <f t="shared" si="141"/>
        <v>64.381680000000017</v>
      </c>
      <c r="AN573" s="36">
        <v>195.1</v>
      </c>
      <c r="AO573" s="23">
        <f t="shared" si="142"/>
        <v>128.76336000000003</v>
      </c>
      <c r="AQ573">
        <f t="shared" si="129"/>
        <v>0.68181818181818166</v>
      </c>
    </row>
    <row r="574" spans="1:43" x14ac:dyDescent="0.35">
      <c r="A574" t="s">
        <v>43</v>
      </c>
      <c r="B574">
        <v>10</v>
      </c>
      <c r="C574">
        <v>2</v>
      </c>
      <c r="D574" t="s">
        <v>42</v>
      </c>
      <c r="E574">
        <v>2</v>
      </c>
      <c r="F574">
        <v>1</v>
      </c>
      <c r="G574" s="12">
        <v>30</v>
      </c>
      <c r="H574" s="12">
        <v>10.884</v>
      </c>
      <c r="I574" s="12">
        <v>2209</v>
      </c>
      <c r="J574" s="12">
        <v>14.702999999999999</v>
      </c>
      <c r="K574" s="12">
        <v>37.506999999999998</v>
      </c>
      <c r="L574" s="12">
        <v>7.2999999999999995E-2</v>
      </c>
      <c r="M574" s="19">
        <v>161.80000000000001</v>
      </c>
      <c r="N574" s="12">
        <v>0.33300000000000002</v>
      </c>
      <c r="O574" s="13">
        <v>5.3929999999999998</v>
      </c>
      <c r="P574" s="14">
        <v>30</v>
      </c>
      <c r="Q574" s="14">
        <v>14.702999999999999</v>
      </c>
      <c r="R574" s="14">
        <v>142.93799999999999</v>
      </c>
      <c r="S574" s="14">
        <v>18.861999999999998</v>
      </c>
      <c r="T574" s="10" t="b">
        <f t="shared" si="130"/>
        <v>1</v>
      </c>
      <c r="U574" s="10" t="b">
        <f t="shared" si="131"/>
        <v>1</v>
      </c>
      <c r="V574" s="11">
        <f>VLOOKUP(IF(J574&lt;10, 10, IF(J574&gt;50,50,J574)),'Over to underbark'!$A$3:$C$43,IF(A574="Scots pine",3,IF(A574="Sitka spruce",2, "error")),TRUE)/100</f>
        <v>0.9</v>
      </c>
      <c r="W574">
        <f t="shared" si="132"/>
        <v>115.77977999999999</v>
      </c>
      <c r="X574">
        <f t="shared" si="133"/>
        <v>15.278219999999999</v>
      </c>
      <c r="Y574">
        <f t="shared" si="134"/>
        <v>14.561999999999994</v>
      </c>
      <c r="Z574">
        <f t="shared" si="136"/>
        <v>72.693433142999993</v>
      </c>
      <c r="AA574">
        <f t="shared" si="137"/>
        <v>20.016775799999998</v>
      </c>
      <c r="AB574">
        <f t="shared" si="138"/>
        <v>44.476213616999985</v>
      </c>
      <c r="AC574">
        <f t="shared" si="139"/>
        <v>8.4335774399999988</v>
      </c>
      <c r="AD574">
        <f>LOOKUP($A574,'Over to underbark'!$A$47:$A$48,'Over to underbark'!E$47:E$48)*Z574</f>
        <v>23.988832937189997</v>
      </c>
      <c r="AE574">
        <f>LOOKUP($A574,'Over to underbark'!$A$47:$A$48,'Over to underbark'!E$47:E$48)*AA574</f>
        <v>6.6055360139999992</v>
      </c>
      <c r="AF574">
        <f>LOOKUP($A574,'Over to underbark'!$A$47:$A$48,'Over to underbark'!E$47:E$48)*AB574</f>
        <v>14.677150493609997</v>
      </c>
      <c r="AG574">
        <f>LOOKUP($A574,'Over to underbark'!$A$47:$A$48,'Over to underbark'!E$47:E$48)*AC574</f>
        <v>2.7830805551999998</v>
      </c>
      <c r="AH574" t="b">
        <f t="shared" si="140"/>
        <v>1</v>
      </c>
      <c r="AI574" t="b">
        <f t="shared" si="135"/>
        <v>1</v>
      </c>
      <c r="AJ574">
        <f>LOOKUP(A574,'Over to underbark'!$A$47:$A$48,'Over to underbark'!E$47:E$48)*M574</f>
        <v>53.394000000000005</v>
      </c>
      <c r="AK574" s="22">
        <f>LOOKUP(A574,'Over to underbark'!$A$47:$A$48,'Over to underbark'!$B$47:$B$48)*AJ574</f>
        <v>17.086080000000003</v>
      </c>
      <c r="AL574" s="22">
        <f>LOOKUP(A574,'Over to underbark'!$A$47:$A$48,'Over to underbark'!C$47:C$48)*AJ574</f>
        <v>26.163060000000002</v>
      </c>
      <c r="AM574" s="22">
        <f t="shared" si="141"/>
        <v>70.480080000000015</v>
      </c>
      <c r="AN574" s="36">
        <v>213.58</v>
      </c>
      <c r="AO574" s="23">
        <f t="shared" si="142"/>
        <v>140.96016000000003</v>
      </c>
      <c r="AQ574">
        <f t="shared" si="129"/>
        <v>0.68181818181818155</v>
      </c>
    </row>
    <row r="575" spans="1:43" x14ac:dyDescent="0.35">
      <c r="A575" t="s">
        <v>43</v>
      </c>
      <c r="B575">
        <v>10</v>
      </c>
      <c r="C575">
        <v>2</v>
      </c>
      <c r="D575" t="s">
        <v>42</v>
      </c>
      <c r="E575">
        <v>2</v>
      </c>
      <c r="F575">
        <v>1</v>
      </c>
      <c r="G575" s="12">
        <v>31</v>
      </c>
      <c r="H575" s="12">
        <v>11.342000000000001</v>
      </c>
      <c r="I575" s="12">
        <v>2192</v>
      </c>
      <c r="J575" s="12">
        <v>15.077999999999999</v>
      </c>
      <c r="K575" s="12">
        <v>39.142000000000003</v>
      </c>
      <c r="L575" s="12">
        <v>0.08</v>
      </c>
      <c r="M575" s="19">
        <v>175.8</v>
      </c>
      <c r="N575" s="12">
        <v>0.40799999999999997</v>
      </c>
      <c r="O575" s="13">
        <v>5.6710000000000003</v>
      </c>
      <c r="P575" s="14">
        <v>31</v>
      </c>
      <c r="Q575" s="14">
        <v>15.077999999999999</v>
      </c>
      <c r="R575" s="14">
        <v>151.31100000000001</v>
      </c>
      <c r="S575" s="14">
        <v>24.489000000000001</v>
      </c>
      <c r="T575" s="10" t="b">
        <f t="shared" si="130"/>
        <v>1</v>
      </c>
      <c r="U575" s="10" t="b">
        <f t="shared" si="131"/>
        <v>1</v>
      </c>
      <c r="V575" s="11">
        <f>VLOOKUP(IF(J575&lt;10, 10, IF(J575&gt;50,50,J575)),'Over to underbark'!$A$3:$C$43,IF(A575="Scots pine",3,IF(A575="Sitka spruce",2, "error")),TRUE)/100</f>
        <v>0.9</v>
      </c>
      <c r="W575">
        <f t="shared" si="132"/>
        <v>122.56191000000001</v>
      </c>
      <c r="X575">
        <f t="shared" si="133"/>
        <v>19.836090000000002</v>
      </c>
      <c r="Y575">
        <f t="shared" si="134"/>
        <v>15.821999999999999</v>
      </c>
      <c r="Z575">
        <f t="shared" si="136"/>
        <v>78.338270758500016</v>
      </c>
      <c r="AA575">
        <f t="shared" si="137"/>
        <v>21.392810099999998</v>
      </c>
      <c r="AB575">
        <f t="shared" si="138"/>
        <v>47.539397461500002</v>
      </c>
      <c r="AC575">
        <f t="shared" si="139"/>
        <v>10.949521680000002</v>
      </c>
      <c r="AD575">
        <f>LOOKUP($A575,'Over to underbark'!$A$47:$A$48,'Over to underbark'!E$47:E$48)*Z575</f>
        <v>25.851629350305007</v>
      </c>
      <c r="AE575">
        <f>LOOKUP($A575,'Over to underbark'!$A$47:$A$48,'Over to underbark'!E$47:E$48)*AA575</f>
        <v>7.0596273329999999</v>
      </c>
      <c r="AF575">
        <f>LOOKUP($A575,'Over to underbark'!$A$47:$A$48,'Over to underbark'!E$47:E$48)*AB575</f>
        <v>15.688001162295002</v>
      </c>
      <c r="AG575">
        <f>LOOKUP($A575,'Over to underbark'!$A$47:$A$48,'Over to underbark'!E$47:E$48)*AC575</f>
        <v>3.6133421544000006</v>
      </c>
      <c r="AH575" t="b">
        <f t="shared" si="140"/>
        <v>1</v>
      </c>
      <c r="AI575" t="b">
        <f t="shared" si="135"/>
        <v>1</v>
      </c>
      <c r="AJ575">
        <f>LOOKUP(A575,'Over to underbark'!$A$47:$A$48,'Over to underbark'!E$47:E$48)*M575</f>
        <v>58.01400000000001</v>
      </c>
      <c r="AK575" s="22">
        <f>LOOKUP(A575,'Over to underbark'!$A$47:$A$48,'Over to underbark'!$B$47:$B$48)*AJ575</f>
        <v>18.564480000000003</v>
      </c>
      <c r="AL575" s="22">
        <f>LOOKUP(A575,'Over to underbark'!$A$47:$A$48,'Over to underbark'!C$47:C$48)*AJ575</f>
        <v>28.426860000000005</v>
      </c>
      <c r="AM575" s="22">
        <f t="shared" si="141"/>
        <v>76.578480000000013</v>
      </c>
      <c r="AN575" s="36">
        <v>232.06</v>
      </c>
      <c r="AO575" s="23">
        <f t="shared" si="142"/>
        <v>153.15696000000003</v>
      </c>
      <c r="AQ575">
        <f t="shared" si="129"/>
        <v>0.68181818181818177</v>
      </c>
    </row>
    <row r="576" spans="1:43" x14ac:dyDescent="0.35">
      <c r="A576" t="s">
        <v>43</v>
      </c>
      <c r="B576">
        <v>10</v>
      </c>
      <c r="C576">
        <v>2</v>
      </c>
      <c r="D576" t="s">
        <v>42</v>
      </c>
      <c r="E576">
        <v>2</v>
      </c>
      <c r="F576">
        <v>1</v>
      </c>
      <c r="G576" s="12">
        <v>32</v>
      </c>
      <c r="H576" s="12">
        <v>11.8</v>
      </c>
      <c r="I576" s="12">
        <v>2175</v>
      </c>
      <c r="J576" s="12">
        <v>15.45</v>
      </c>
      <c r="K576" s="12">
        <v>40.776000000000003</v>
      </c>
      <c r="L576" s="12">
        <v>8.6999999999999994E-2</v>
      </c>
      <c r="M576" s="19">
        <v>189.8</v>
      </c>
      <c r="N576" s="12">
        <v>0.47199999999999998</v>
      </c>
      <c r="O576" s="13">
        <v>5.931</v>
      </c>
      <c r="P576" s="14">
        <v>32</v>
      </c>
      <c r="Q576" s="14">
        <v>15.45</v>
      </c>
      <c r="R576" s="14">
        <v>159.053</v>
      </c>
      <c r="S576" s="14">
        <v>30.747</v>
      </c>
      <c r="T576" s="10" t="b">
        <f t="shared" si="130"/>
        <v>1</v>
      </c>
      <c r="U576" s="10" t="b">
        <f t="shared" si="131"/>
        <v>1</v>
      </c>
      <c r="V576" s="11">
        <f>VLOOKUP(IF(J576&lt;10, 10, IF(J576&gt;50,50,J576)),'Over to underbark'!$A$3:$C$43,IF(A576="Scots pine",3,IF(A576="Sitka spruce",2, "error")),TRUE)/100</f>
        <v>0.9</v>
      </c>
      <c r="W576">
        <f t="shared" si="132"/>
        <v>128.83293</v>
      </c>
      <c r="X576">
        <f t="shared" si="133"/>
        <v>24.905070000000002</v>
      </c>
      <c r="Y576">
        <f t="shared" si="134"/>
        <v>17.081999999999997</v>
      </c>
      <c r="Z576">
        <f t="shared" si="136"/>
        <v>83.881218595500002</v>
      </c>
      <c r="AA576">
        <f t="shared" si="137"/>
        <v>22.7126223</v>
      </c>
      <c r="AB576">
        <f t="shared" si="138"/>
        <v>50.478560464499999</v>
      </c>
      <c r="AC576">
        <f t="shared" si="139"/>
        <v>13.747598640000001</v>
      </c>
      <c r="AD576">
        <f>LOOKUP($A576,'Over to underbark'!$A$47:$A$48,'Over to underbark'!E$47:E$48)*Z576</f>
        <v>27.680802136515002</v>
      </c>
      <c r="AE576">
        <f>LOOKUP($A576,'Over to underbark'!$A$47:$A$48,'Over to underbark'!E$47:E$48)*AA576</f>
        <v>7.4951653590000005</v>
      </c>
      <c r="AF576">
        <f>LOOKUP($A576,'Over to underbark'!$A$47:$A$48,'Over to underbark'!E$47:E$48)*AB576</f>
        <v>16.657924953285001</v>
      </c>
      <c r="AG576">
        <f>LOOKUP($A576,'Over to underbark'!$A$47:$A$48,'Over to underbark'!E$47:E$48)*AC576</f>
        <v>4.536707551200001</v>
      </c>
      <c r="AH576" t="b">
        <f t="shared" si="140"/>
        <v>1</v>
      </c>
      <c r="AI576" t="b">
        <f t="shared" si="135"/>
        <v>1</v>
      </c>
      <c r="AJ576">
        <f>LOOKUP(A576,'Over to underbark'!$A$47:$A$48,'Over to underbark'!E$47:E$48)*M576</f>
        <v>62.634000000000007</v>
      </c>
      <c r="AK576" s="22">
        <f>LOOKUP(A576,'Over to underbark'!$A$47:$A$48,'Over to underbark'!$B$47:$B$48)*AJ576</f>
        <v>20.042880000000004</v>
      </c>
      <c r="AL576" s="22">
        <f>LOOKUP(A576,'Over to underbark'!$A$47:$A$48,'Over to underbark'!C$47:C$48)*AJ576</f>
        <v>30.690660000000005</v>
      </c>
      <c r="AM576" s="22">
        <f t="shared" si="141"/>
        <v>82.676880000000011</v>
      </c>
      <c r="AN576" s="36">
        <v>250.54</v>
      </c>
      <c r="AO576" s="23">
        <f t="shared" si="142"/>
        <v>165.35376000000002</v>
      </c>
      <c r="AQ576">
        <f t="shared" si="129"/>
        <v>0.68181818181818177</v>
      </c>
    </row>
    <row r="577" spans="1:43" x14ac:dyDescent="0.35">
      <c r="A577" t="s">
        <v>43</v>
      </c>
      <c r="B577">
        <v>10</v>
      </c>
      <c r="C577">
        <v>2</v>
      </c>
      <c r="D577" t="s">
        <v>42</v>
      </c>
      <c r="E577">
        <v>2</v>
      </c>
      <c r="F577">
        <v>1</v>
      </c>
      <c r="G577" s="12">
        <v>33</v>
      </c>
      <c r="H577" s="12">
        <v>12.224</v>
      </c>
      <c r="I577" s="12">
        <v>2142</v>
      </c>
      <c r="J577" s="12">
        <v>15.803000000000001</v>
      </c>
      <c r="K577" s="12">
        <v>42.012999999999998</v>
      </c>
      <c r="L577" s="12">
        <v>9.6000000000000002E-2</v>
      </c>
      <c r="M577" s="19">
        <v>204.74</v>
      </c>
      <c r="N577" s="12">
        <v>0.66</v>
      </c>
      <c r="O577" s="13">
        <v>6.2039999999999997</v>
      </c>
      <c r="P577" s="14">
        <v>33</v>
      </c>
      <c r="Q577" s="14">
        <v>15.803000000000001</v>
      </c>
      <c r="R577" s="14">
        <v>167.14400000000001</v>
      </c>
      <c r="S577" s="14">
        <v>37.595999999999997</v>
      </c>
      <c r="T577" s="10" t="b">
        <f t="shared" si="130"/>
        <v>1</v>
      </c>
      <c r="U577" s="10" t="b">
        <f t="shared" si="131"/>
        <v>1</v>
      </c>
      <c r="V577" s="11">
        <f>VLOOKUP(IF(J577&lt;10, 10, IF(J577&gt;50,50,J577)),'Over to underbark'!$A$3:$C$43,IF(A577="Scots pine",3,IF(A577="Sitka spruce",2, "error")),TRUE)/100</f>
        <v>0.9</v>
      </c>
      <c r="W577">
        <f t="shared" si="132"/>
        <v>135.38664000000003</v>
      </c>
      <c r="X577">
        <f t="shared" si="133"/>
        <v>30.452759999999998</v>
      </c>
      <c r="Y577">
        <f t="shared" si="134"/>
        <v>18.426599999999997</v>
      </c>
      <c r="Z577">
        <f t="shared" si="136"/>
        <v>89.768752884000008</v>
      </c>
      <c r="AA577">
        <f t="shared" si="137"/>
        <v>24.105830400000002</v>
      </c>
      <c r="AB577">
        <f t="shared" si="138"/>
        <v>53.581493196000011</v>
      </c>
      <c r="AC577">
        <f t="shared" si="139"/>
        <v>16.809923519999998</v>
      </c>
      <c r="AD577">
        <f>LOOKUP($A577,'Over to underbark'!$A$47:$A$48,'Over to underbark'!E$47:E$48)*Z577</f>
        <v>29.623688451720003</v>
      </c>
      <c r="AE577">
        <f>LOOKUP($A577,'Over to underbark'!$A$47:$A$48,'Over to underbark'!E$47:E$48)*AA577</f>
        <v>7.954924032000001</v>
      </c>
      <c r="AF577">
        <f>LOOKUP($A577,'Over to underbark'!$A$47:$A$48,'Over to underbark'!E$47:E$48)*AB577</f>
        <v>17.681892754680003</v>
      </c>
      <c r="AG577">
        <f>LOOKUP($A577,'Over to underbark'!$A$47:$A$48,'Over to underbark'!E$47:E$48)*AC577</f>
        <v>5.5472747615999998</v>
      </c>
      <c r="AH577" t="b">
        <f t="shared" si="140"/>
        <v>1</v>
      </c>
      <c r="AI577" t="b">
        <f t="shared" si="135"/>
        <v>1</v>
      </c>
      <c r="AJ577">
        <f>LOOKUP(A577,'Over to underbark'!$A$47:$A$48,'Over to underbark'!E$47:E$48)*M577</f>
        <v>67.5642</v>
      </c>
      <c r="AK577" s="22">
        <f>LOOKUP(A577,'Over to underbark'!$A$47:$A$48,'Over to underbark'!$B$47:$B$48)*AJ577</f>
        <v>21.620543999999999</v>
      </c>
      <c r="AL577" s="22">
        <f>LOOKUP(A577,'Over to underbark'!$A$47:$A$48,'Over to underbark'!C$47:C$48)*AJ577</f>
        <v>33.106457999999996</v>
      </c>
      <c r="AM577" s="22">
        <f t="shared" si="141"/>
        <v>89.184743999999995</v>
      </c>
      <c r="AN577" s="36">
        <v>270.26</v>
      </c>
      <c r="AO577" s="23">
        <f t="shared" si="142"/>
        <v>178.36948799999999</v>
      </c>
      <c r="AQ577">
        <f t="shared" si="129"/>
        <v>0.68181818181818199</v>
      </c>
    </row>
    <row r="578" spans="1:43" x14ac:dyDescent="0.35">
      <c r="A578" t="s">
        <v>43</v>
      </c>
      <c r="B578">
        <v>10</v>
      </c>
      <c r="C578">
        <v>2</v>
      </c>
      <c r="D578" t="s">
        <v>42</v>
      </c>
      <c r="E578">
        <v>2</v>
      </c>
      <c r="F578">
        <v>1</v>
      </c>
      <c r="G578" s="12">
        <v>34</v>
      </c>
      <c r="H578" s="12">
        <v>12.648</v>
      </c>
      <c r="I578" s="12">
        <v>2110</v>
      </c>
      <c r="J578" s="12">
        <v>16.155000000000001</v>
      </c>
      <c r="K578" s="12">
        <v>43.249000000000002</v>
      </c>
      <c r="L578" s="12">
        <v>0.104</v>
      </c>
      <c r="M578" s="19">
        <v>219.68</v>
      </c>
      <c r="N578" s="12">
        <v>0.82199999999999995</v>
      </c>
      <c r="O578" s="13">
        <v>6.4610000000000003</v>
      </c>
      <c r="P578" s="14">
        <v>34</v>
      </c>
      <c r="Q578" s="14">
        <v>16.155000000000001</v>
      </c>
      <c r="R578" s="14">
        <v>174.59299999999999</v>
      </c>
      <c r="S578" s="14">
        <v>45.087000000000003</v>
      </c>
      <c r="T578" s="10" t="b">
        <f t="shared" si="130"/>
        <v>1</v>
      </c>
      <c r="U578" s="10" t="b">
        <f t="shared" si="131"/>
        <v>1</v>
      </c>
      <c r="V578" s="11">
        <f>VLOOKUP(IF(J578&lt;10, 10, IF(J578&gt;50,50,J578)),'Over to underbark'!$A$3:$C$43,IF(A578="Scots pine",3,IF(A578="Sitka spruce",2, "error")),TRUE)/100</f>
        <v>0.89</v>
      </c>
      <c r="W578">
        <f t="shared" si="132"/>
        <v>139.84899300000001</v>
      </c>
      <c r="X578">
        <f t="shared" si="133"/>
        <v>36.114687000000004</v>
      </c>
      <c r="Y578">
        <f t="shared" si="134"/>
        <v>21.74832</v>
      </c>
      <c r="Z578">
        <f t="shared" si="136"/>
        <v>95.589325394550016</v>
      </c>
      <c r="AA578">
        <f t="shared" si="137"/>
        <v>26.257549230000002</v>
      </c>
      <c r="AB578">
        <f t="shared" si="138"/>
        <v>55.929818151450007</v>
      </c>
      <c r="AC578">
        <f t="shared" si="139"/>
        <v>19.935307224000002</v>
      </c>
      <c r="AD578">
        <f>LOOKUP($A578,'Over to underbark'!$A$47:$A$48,'Over to underbark'!E$47:E$48)*Z578</f>
        <v>31.544477380201506</v>
      </c>
      <c r="AE578">
        <f>LOOKUP($A578,'Over to underbark'!$A$47:$A$48,'Over to underbark'!E$47:E$48)*AA578</f>
        <v>8.6649912459000014</v>
      </c>
      <c r="AF578">
        <f>LOOKUP($A578,'Over to underbark'!$A$47:$A$48,'Over to underbark'!E$47:E$48)*AB578</f>
        <v>18.456839989978505</v>
      </c>
      <c r="AG578">
        <f>LOOKUP($A578,'Over to underbark'!$A$47:$A$48,'Over to underbark'!E$47:E$48)*AC578</f>
        <v>6.5786513839200014</v>
      </c>
      <c r="AH578" t="b">
        <f t="shared" si="140"/>
        <v>1</v>
      </c>
      <c r="AI578" t="b">
        <f t="shared" si="135"/>
        <v>1</v>
      </c>
      <c r="AJ578">
        <f>LOOKUP(A578,'Over to underbark'!$A$47:$A$48,'Over to underbark'!E$47:E$48)*M578</f>
        <v>72.494399999999999</v>
      </c>
      <c r="AK578" s="22">
        <f>LOOKUP(A578,'Over to underbark'!$A$47:$A$48,'Over to underbark'!$B$47:$B$48)*AJ578</f>
        <v>23.198208000000001</v>
      </c>
      <c r="AL578" s="22">
        <f>LOOKUP(A578,'Over to underbark'!$A$47:$A$48,'Over to underbark'!C$47:C$48)*AJ578</f>
        <v>35.522255999999999</v>
      </c>
      <c r="AM578" s="22">
        <f t="shared" si="141"/>
        <v>95.692608000000007</v>
      </c>
      <c r="AN578" s="36">
        <v>289.98</v>
      </c>
      <c r="AO578" s="23">
        <f t="shared" si="142"/>
        <v>191.38521600000001</v>
      </c>
      <c r="AQ578">
        <f t="shared" si="129"/>
        <v>0.68181818181818199</v>
      </c>
    </row>
    <row r="579" spans="1:43" x14ac:dyDescent="0.35">
      <c r="A579" t="s">
        <v>43</v>
      </c>
      <c r="B579">
        <v>10</v>
      </c>
      <c r="C579">
        <v>2</v>
      </c>
      <c r="D579" t="s">
        <v>42</v>
      </c>
      <c r="E579">
        <v>2</v>
      </c>
      <c r="F579">
        <v>1</v>
      </c>
      <c r="G579" s="12">
        <v>35</v>
      </c>
      <c r="H579" s="12">
        <v>13.071999999999999</v>
      </c>
      <c r="I579" s="12">
        <v>2078</v>
      </c>
      <c r="J579" s="12">
        <v>16.510000000000002</v>
      </c>
      <c r="K579" s="12">
        <v>44.485999999999997</v>
      </c>
      <c r="L579" s="12">
        <v>0.113</v>
      </c>
      <c r="M579" s="19">
        <v>234.62</v>
      </c>
      <c r="N579" s="12">
        <v>0.96199999999999997</v>
      </c>
      <c r="O579" s="13">
        <v>6.7030000000000003</v>
      </c>
      <c r="P579" s="14">
        <v>35</v>
      </c>
      <c r="Q579" s="14">
        <v>16.510000000000002</v>
      </c>
      <c r="R579" s="14">
        <v>181.35499999999999</v>
      </c>
      <c r="S579" s="14">
        <v>53.265000000000001</v>
      </c>
      <c r="T579" s="10" t="b">
        <f t="shared" si="130"/>
        <v>1</v>
      </c>
      <c r="U579" s="10" t="b">
        <f t="shared" si="131"/>
        <v>1</v>
      </c>
      <c r="V579" s="11">
        <f>VLOOKUP(IF(J579&lt;10, 10, IF(J579&gt;50,50,J579)),'Over to underbark'!$A$3:$C$43,IF(A579="Scots pine",3,IF(A579="Sitka spruce",2, "error")),TRUE)/100</f>
        <v>0.89</v>
      </c>
      <c r="W579">
        <f t="shared" si="132"/>
        <v>145.265355</v>
      </c>
      <c r="X579">
        <f t="shared" si="133"/>
        <v>42.665265000000005</v>
      </c>
      <c r="Y579">
        <f t="shared" si="134"/>
        <v>23.22738</v>
      </c>
      <c r="Z579">
        <f t="shared" si="136"/>
        <v>101.27392877925</v>
      </c>
      <c r="AA579">
        <f t="shared" si="137"/>
        <v>27.592879050000001</v>
      </c>
      <c r="AB579">
        <f t="shared" si="138"/>
        <v>58.73996589075</v>
      </c>
      <c r="AC579">
        <f t="shared" si="139"/>
        <v>23.551226280000005</v>
      </c>
      <c r="AD579">
        <f>LOOKUP($A579,'Over to underbark'!$A$47:$A$48,'Over to underbark'!E$47:E$48)*Z579</f>
        <v>33.420396497152502</v>
      </c>
      <c r="AE579">
        <f>LOOKUP($A579,'Over to underbark'!$A$47:$A$48,'Over to underbark'!E$47:E$48)*AA579</f>
        <v>9.1056500865000007</v>
      </c>
      <c r="AF579">
        <f>LOOKUP($A579,'Over to underbark'!$A$47:$A$48,'Over to underbark'!E$47:E$48)*AB579</f>
        <v>19.384188743947501</v>
      </c>
      <c r="AG579">
        <f>LOOKUP($A579,'Over to underbark'!$A$47:$A$48,'Over to underbark'!E$47:E$48)*AC579</f>
        <v>7.7719046724000025</v>
      </c>
      <c r="AH579" t="b">
        <f t="shared" si="140"/>
        <v>1</v>
      </c>
      <c r="AI579" t="b">
        <f t="shared" si="135"/>
        <v>1</v>
      </c>
      <c r="AJ579">
        <f>LOOKUP(A579,'Over to underbark'!$A$47:$A$48,'Over to underbark'!E$47:E$48)*M579</f>
        <v>77.424599999999998</v>
      </c>
      <c r="AK579" s="22">
        <f>LOOKUP(A579,'Over to underbark'!$A$47:$A$48,'Over to underbark'!$B$47:$B$48)*AJ579</f>
        <v>24.775872</v>
      </c>
      <c r="AL579" s="22">
        <f>LOOKUP(A579,'Over to underbark'!$A$47:$A$48,'Over to underbark'!C$47:C$48)*AJ579</f>
        <v>37.938054000000001</v>
      </c>
      <c r="AM579" s="22">
        <f t="shared" si="141"/>
        <v>102.20047199999999</v>
      </c>
      <c r="AN579" s="36">
        <v>309.7</v>
      </c>
      <c r="AO579" s="23">
        <f t="shared" si="142"/>
        <v>204.40094399999998</v>
      </c>
      <c r="AQ579">
        <f t="shared" si="129"/>
        <v>0.68181818181818188</v>
      </c>
    </row>
    <row r="580" spans="1:43" x14ac:dyDescent="0.35">
      <c r="A580" t="s">
        <v>43</v>
      </c>
      <c r="B580">
        <v>10</v>
      </c>
      <c r="C580">
        <v>2</v>
      </c>
      <c r="D580" t="s">
        <v>42</v>
      </c>
      <c r="E580">
        <v>2</v>
      </c>
      <c r="F580">
        <v>1</v>
      </c>
      <c r="G580" s="12">
        <v>36</v>
      </c>
      <c r="H580" s="12">
        <v>13.496</v>
      </c>
      <c r="I580" s="12">
        <v>2046</v>
      </c>
      <c r="J580" s="12">
        <v>16.867999999999999</v>
      </c>
      <c r="K580" s="12">
        <v>45.722999999999999</v>
      </c>
      <c r="L580" s="12">
        <v>0.122</v>
      </c>
      <c r="M580" s="19">
        <v>249.56</v>
      </c>
      <c r="N580" s="12">
        <v>1.0860000000000001</v>
      </c>
      <c r="O580" s="13">
        <v>6.9320000000000004</v>
      </c>
      <c r="P580" s="14">
        <v>36</v>
      </c>
      <c r="Q580" s="14">
        <v>16.867999999999999</v>
      </c>
      <c r="R580" s="14">
        <v>187.435</v>
      </c>
      <c r="S580" s="14">
        <v>62.125</v>
      </c>
      <c r="T580" s="10" t="b">
        <f t="shared" si="130"/>
        <v>1</v>
      </c>
      <c r="U580" s="10" t="b">
        <f t="shared" si="131"/>
        <v>1</v>
      </c>
      <c r="V580" s="11">
        <f>VLOOKUP(IF(J580&lt;10, 10, IF(J580&gt;50,50,J580)),'Over to underbark'!$A$3:$C$43,IF(A580="Scots pine",3,IF(A580="Sitka spruce",2, "error")),TRUE)/100</f>
        <v>0.89</v>
      </c>
      <c r="W580">
        <f t="shared" si="132"/>
        <v>150.13543500000003</v>
      </c>
      <c r="X580">
        <f t="shared" si="133"/>
        <v>49.762125000000005</v>
      </c>
      <c r="Y580">
        <f t="shared" si="134"/>
        <v>24.706439999999997</v>
      </c>
      <c r="Z580">
        <f t="shared" si="136"/>
        <v>106.84963084725001</v>
      </c>
      <c r="AA580">
        <f t="shared" si="137"/>
        <v>28.868117850000004</v>
      </c>
      <c r="AB580">
        <f t="shared" si="138"/>
        <v>61.417558302750017</v>
      </c>
      <c r="AC580">
        <f t="shared" si="139"/>
        <v>27.468693000000002</v>
      </c>
      <c r="AD580">
        <f>LOOKUP($A580,'Over to underbark'!$A$47:$A$48,'Over to underbark'!E$47:E$48)*Z580</f>
        <v>35.260378179592507</v>
      </c>
      <c r="AE580">
        <f>LOOKUP($A580,'Over to underbark'!$A$47:$A$48,'Over to underbark'!E$47:E$48)*AA580</f>
        <v>9.5264788905000017</v>
      </c>
      <c r="AF580">
        <f>LOOKUP($A580,'Over to underbark'!$A$47:$A$48,'Over to underbark'!E$47:E$48)*AB580</f>
        <v>20.267794239907506</v>
      </c>
      <c r="AG580">
        <f>LOOKUP($A580,'Over to underbark'!$A$47:$A$48,'Over to underbark'!E$47:E$48)*AC580</f>
        <v>9.0646686900000013</v>
      </c>
      <c r="AH580" t="b">
        <f t="shared" si="140"/>
        <v>1</v>
      </c>
      <c r="AI580" t="b">
        <f t="shared" si="135"/>
        <v>1</v>
      </c>
      <c r="AJ580">
        <f>LOOKUP(A580,'Over to underbark'!$A$47:$A$48,'Over to underbark'!E$47:E$48)*M580</f>
        <v>82.354800000000012</v>
      </c>
      <c r="AK580" s="22">
        <f>LOOKUP(A580,'Over to underbark'!$A$47:$A$48,'Over to underbark'!$B$47:$B$48)*AJ580</f>
        <v>26.353536000000005</v>
      </c>
      <c r="AL580" s="22">
        <f>LOOKUP(A580,'Over to underbark'!$A$47:$A$48,'Over to underbark'!C$47:C$48)*AJ580</f>
        <v>40.353852000000003</v>
      </c>
      <c r="AM580" s="22">
        <f t="shared" si="141"/>
        <v>108.70833600000002</v>
      </c>
      <c r="AN580" s="36">
        <v>329.42</v>
      </c>
      <c r="AO580" s="23">
        <f t="shared" si="142"/>
        <v>217.41667200000003</v>
      </c>
      <c r="AQ580">
        <f t="shared" ref="AQ580:AQ643" si="143">(AD580+AE580+AF580+AG580)/AM580</f>
        <v>0.68181818181818188</v>
      </c>
    </row>
    <row r="581" spans="1:43" x14ac:dyDescent="0.35">
      <c r="A581" t="s">
        <v>43</v>
      </c>
      <c r="B581">
        <v>10</v>
      </c>
      <c r="C581">
        <v>2</v>
      </c>
      <c r="D581" t="s">
        <v>42</v>
      </c>
      <c r="E581">
        <v>2</v>
      </c>
      <c r="F581">
        <v>1</v>
      </c>
      <c r="G581" s="12">
        <v>37</v>
      </c>
      <c r="H581" s="12">
        <v>13.92</v>
      </c>
      <c r="I581" s="12">
        <v>2014</v>
      </c>
      <c r="J581" s="12">
        <v>17.23</v>
      </c>
      <c r="K581" s="12">
        <v>46.959000000000003</v>
      </c>
      <c r="L581" s="12">
        <v>0.13100000000000001</v>
      </c>
      <c r="M581" s="19">
        <v>264.5</v>
      </c>
      <c r="N581" s="12">
        <v>1.1950000000000001</v>
      </c>
      <c r="O581" s="13">
        <v>7.149</v>
      </c>
      <c r="P581" s="14">
        <v>37</v>
      </c>
      <c r="Q581" s="14">
        <v>17.23</v>
      </c>
      <c r="R581" s="14">
        <v>192.822</v>
      </c>
      <c r="S581" s="14">
        <v>71.677999999999997</v>
      </c>
      <c r="T581" s="10" t="b">
        <f t="shared" si="130"/>
        <v>1</v>
      </c>
      <c r="U581" s="10" t="b">
        <f t="shared" si="131"/>
        <v>1</v>
      </c>
      <c r="V581" s="11">
        <f>VLOOKUP(IF(J581&lt;10, 10, IF(J581&gt;50,50,J581)),'Over to underbark'!$A$3:$C$43,IF(A581="Scots pine",3,IF(A581="Sitka spruce",2, "error")),TRUE)/100</f>
        <v>0.9</v>
      </c>
      <c r="W581">
        <f t="shared" si="132"/>
        <v>156.18582000000001</v>
      </c>
      <c r="X581">
        <f t="shared" si="133"/>
        <v>58.059179999999998</v>
      </c>
      <c r="Y581">
        <f t="shared" si="134"/>
        <v>23.804999999999996</v>
      </c>
      <c r="Z581">
        <f t="shared" si="136"/>
        <v>112.23927821699999</v>
      </c>
      <c r="AA581">
        <f t="shared" si="137"/>
        <v>29.082940199999996</v>
      </c>
      <c r="AB581">
        <f t="shared" si="138"/>
        <v>64.679114222999999</v>
      </c>
      <c r="AC581">
        <f t="shared" si="139"/>
        <v>32.048667359999996</v>
      </c>
      <c r="AD581">
        <f>LOOKUP($A581,'Over to underbark'!$A$47:$A$48,'Over to underbark'!E$47:E$48)*Z581</f>
        <v>37.038961811610001</v>
      </c>
      <c r="AE581">
        <f>LOOKUP($A581,'Over to underbark'!$A$47:$A$48,'Over to underbark'!E$47:E$48)*AA581</f>
        <v>9.5973702659999987</v>
      </c>
      <c r="AF581">
        <f>LOOKUP($A581,'Over to underbark'!$A$47:$A$48,'Over to underbark'!E$47:E$48)*AB581</f>
        <v>21.344107693590001</v>
      </c>
      <c r="AG581">
        <f>LOOKUP($A581,'Over to underbark'!$A$47:$A$48,'Over to underbark'!E$47:E$48)*AC581</f>
        <v>10.576060228799999</v>
      </c>
      <c r="AH581" t="b">
        <f t="shared" si="140"/>
        <v>1</v>
      </c>
      <c r="AI581" t="b">
        <f t="shared" si="135"/>
        <v>1</v>
      </c>
      <c r="AJ581">
        <f>LOOKUP(A581,'Over to underbark'!$A$47:$A$48,'Over to underbark'!E$47:E$48)*M581</f>
        <v>87.285000000000011</v>
      </c>
      <c r="AK581" s="22">
        <f>LOOKUP(A581,'Over to underbark'!$A$47:$A$48,'Over to underbark'!$B$47:$B$48)*AJ581</f>
        <v>27.931200000000004</v>
      </c>
      <c r="AL581" s="22">
        <f>LOOKUP(A581,'Over to underbark'!$A$47:$A$48,'Over to underbark'!C$47:C$48)*AJ581</f>
        <v>42.769650000000006</v>
      </c>
      <c r="AM581" s="22">
        <f t="shared" si="141"/>
        <v>115.21620000000001</v>
      </c>
      <c r="AN581" s="36">
        <v>349.14</v>
      </c>
      <c r="AO581" s="23">
        <f t="shared" si="142"/>
        <v>230.43240000000003</v>
      </c>
      <c r="AQ581">
        <f t="shared" si="143"/>
        <v>0.68181818181818177</v>
      </c>
    </row>
    <row r="582" spans="1:43" x14ac:dyDescent="0.35">
      <c r="A582" t="s">
        <v>43</v>
      </c>
      <c r="B582">
        <v>10</v>
      </c>
      <c r="C582">
        <v>2</v>
      </c>
      <c r="D582" t="s">
        <v>42</v>
      </c>
      <c r="E582">
        <v>2</v>
      </c>
      <c r="F582">
        <v>1</v>
      </c>
      <c r="G582" s="12">
        <v>38</v>
      </c>
      <c r="H582" s="12">
        <v>14.308</v>
      </c>
      <c r="I582" s="12">
        <v>1979</v>
      </c>
      <c r="J582" s="12">
        <v>17.555</v>
      </c>
      <c r="K582" s="12">
        <v>47.902999999999999</v>
      </c>
      <c r="L582" s="12">
        <v>0.14099999999999999</v>
      </c>
      <c r="M582" s="19">
        <v>279.32</v>
      </c>
      <c r="N582" s="12">
        <v>1.4330000000000001</v>
      </c>
      <c r="O582" s="13">
        <v>7.351</v>
      </c>
      <c r="P582" s="14">
        <v>38</v>
      </c>
      <c r="Q582" s="14">
        <v>17.555</v>
      </c>
      <c r="R582" s="14">
        <v>198.13</v>
      </c>
      <c r="S582" s="14">
        <v>81.19</v>
      </c>
      <c r="T582" s="10" t="b">
        <f t="shared" si="130"/>
        <v>1</v>
      </c>
      <c r="U582" s="10" t="b">
        <f t="shared" si="131"/>
        <v>1</v>
      </c>
      <c r="V582" s="11">
        <f>VLOOKUP(IF(J582&lt;10, 10, IF(J582&gt;50,50,J582)),'Over to underbark'!$A$3:$C$43,IF(A582="Scots pine",3,IF(A582="Sitka spruce",2, "error")),TRUE)/100</f>
        <v>0.9</v>
      </c>
      <c r="W582">
        <f t="shared" si="132"/>
        <v>160.48530000000002</v>
      </c>
      <c r="X582">
        <f t="shared" si="133"/>
        <v>65.763900000000007</v>
      </c>
      <c r="Y582">
        <f t="shared" si="134"/>
        <v>25.138799999999996</v>
      </c>
      <c r="Z582">
        <f t="shared" si="136"/>
        <v>117.64063615500002</v>
      </c>
      <c r="AA582">
        <f t="shared" si="137"/>
        <v>30.222783</v>
      </c>
      <c r="AB582">
        <f t="shared" si="138"/>
        <v>67.222908045000011</v>
      </c>
      <c r="AC582">
        <f t="shared" si="139"/>
        <v>36.301672799999999</v>
      </c>
      <c r="AD582">
        <f>LOOKUP($A582,'Over to underbark'!$A$47:$A$48,'Over to underbark'!E$47:E$48)*Z582</f>
        <v>38.821409931150008</v>
      </c>
      <c r="AE582">
        <f>LOOKUP($A582,'Over to underbark'!$A$47:$A$48,'Over to underbark'!E$47:E$48)*AA582</f>
        <v>9.9735183900000006</v>
      </c>
      <c r="AF582">
        <f>LOOKUP($A582,'Over to underbark'!$A$47:$A$48,'Over to underbark'!E$47:E$48)*AB582</f>
        <v>22.183559654850004</v>
      </c>
      <c r="AG582">
        <f>LOOKUP($A582,'Over to underbark'!$A$47:$A$48,'Over to underbark'!E$47:E$48)*AC582</f>
        <v>11.979552024</v>
      </c>
      <c r="AH582" t="b">
        <f t="shared" si="140"/>
        <v>1</v>
      </c>
      <c r="AI582" t="b">
        <f t="shared" si="135"/>
        <v>1</v>
      </c>
      <c r="AJ582">
        <f>LOOKUP(A582,'Over to underbark'!$A$47:$A$48,'Over to underbark'!E$47:E$48)*M582</f>
        <v>92.175600000000003</v>
      </c>
      <c r="AK582" s="22">
        <f>LOOKUP(A582,'Over to underbark'!$A$47:$A$48,'Over to underbark'!$B$47:$B$48)*AJ582</f>
        <v>29.496192000000001</v>
      </c>
      <c r="AL582" s="22">
        <f>LOOKUP(A582,'Over to underbark'!$A$47:$A$48,'Over to underbark'!C$47:C$48)*AJ582</f>
        <v>45.166043999999999</v>
      </c>
      <c r="AM582" s="22">
        <f t="shared" si="141"/>
        <v>121.67179200000001</v>
      </c>
      <c r="AN582" s="36">
        <v>368.7</v>
      </c>
      <c r="AO582" s="23">
        <f t="shared" si="142"/>
        <v>243.34358400000002</v>
      </c>
      <c r="AQ582">
        <f t="shared" si="143"/>
        <v>0.68181818181818188</v>
      </c>
    </row>
    <row r="583" spans="1:43" x14ac:dyDescent="0.35">
      <c r="A583" t="s">
        <v>43</v>
      </c>
      <c r="B583">
        <v>10</v>
      </c>
      <c r="C583">
        <v>2</v>
      </c>
      <c r="D583" t="s">
        <v>42</v>
      </c>
      <c r="E583">
        <v>2</v>
      </c>
      <c r="F583">
        <v>1</v>
      </c>
      <c r="G583" s="12">
        <v>39</v>
      </c>
      <c r="H583" s="12">
        <v>14.696</v>
      </c>
      <c r="I583" s="12">
        <v>1944</v>
      </c>
      <c r="J583" s="12">
        <v>17.885999999999999</v>
      </c>
      <c r="K583" s="12">
        <v>48.845999999999997</v>
      </c>
      <c r="L583" s="12">
        <v>0.151</v>
      </c>
      <c r="M583" s="19">
        <v>294.14</v>
      </c>
      <c r="N583" s="12">
        <v>1.645</v>
      </c>
      <c r="O583" s="13">
        <v>7.5419999999999998</v>
      </c>
      <c r="P583" s="14">
        <v>39</v>
      </c>
      <c r="Q583" s="14">
        <v>17.885999999999999</v>
      </c>
      <c r="R583" s="14">
        <v>202.79300000000001</v>
      </c>
      <c r="S583" s="14">
        <v>91.346999999999994</v>
      </c>
      <c r="T583" s="10" t="b">
        <f t="shared" si="130"/>
        <v>1</v>
      </c>
      <c r="U583" s="10" t="b">
        <f t="shared" si="131"/>
        <v>1</v>
      </c>
      <c r="V583" s="11">
        <f>VLOOKUP(IF(J583&lt;10, 10, IF(J583&gt;50,50,J583)),'Over to underbark'!$A$3:$C$43,IF(A583="Scots pine",3,IF(A583="Sitka spruce",2, "error")),TRUE)/100</f>
        <v>0.9</v>
      </c>
      <c r="W583">
        <f t="shared" si="132"/>
        <v>164.26232999999999</v>
      </c>
      <c r="X583">
        <f t="shared" si="133"/>
        <v>73.991070000000008</v>
      </c>
      <c r="Y583">
        <f t="shared" si="134"/>
        <v>26.472599999999993</v>
      </c>
      <c r="Z583">
        <f t="shared" si="136"/>
        <v>122.93784368549998</v>
      </c>
      <c r="AA583">
        <f t="shared" si="137"/>
        <v>31.305156299999997</v>
      </c>
      <c r="AB583">
        <f t="shared" si="138"/>
        <v>69.639929374499985</v>
      </c>
      <c r="AC583">
        <f t="shared" si="139"/>
        <v>40.843070640000008</v>
      </c>
      <c r="AD583">
        <f>LOOKUP($A583,'Over to underbark'!$A$47:$A$48,'Over to underbark'!E$47:E$48)*Z583</f>
        <v>40.569488416214995</v>
      </c>
      <c r="AE583">
        <f>LOOKUP($A583,'Over to underbark'!$A$47:$A$48,'Over to underbark'!E$47:E$48)*AA583</f>
        <v>10.330701578999999</v>
      </c>
      <c r="AF583">
        <f>LOOKUP($A583,'Over to underbark'!$A$47:$A$48,'Over to underbark'!E$47:E$48)*AB583</f>
        <v>22.981176693584995</v>
      </c>
      <c r="AG583">
        <f>LOOKUP($A583,'Over to underbark'!$A$47:$A$48,'Over to underbark'!E$47:E$48)*AC583</f>
        <v>13.478213311200003</v>
      </c>
      <c r="AH583" t="b">
        <f t="shared" si="140"/>
        <v>1</v>
      </c>
      <c r="AI583" t="b">
        <f t="shared" si="135"/>
        <v>1</v>
      </c>
      <c r="AJ583">
        <f>LOOKUP(A583,'Over to underbark'!$A$47:$A$48,'Over to underbark'!E$47:E$48)*M583</f>
        <v>97.066199999999995</v>
      </c>
      <c r="AK583" s="22">
        <f>LOOKUP(A583,'Over to underbark'!$A$47:$A$48,'Over to underbark'!$B$47:$B$48)*AJ583</f>
        <v>31.061184000000001</v>
      </c>
      <c r="AL583" s="22">
        <f>LOOKUP(A583,'Over to underbark'!$A$47:$A$48,'Over to underbark'!C$47:C$48)*AJ583</f>
        <v>47.562437999999993</v>
      </c>
      <c r="AM583" s="22">
        <f t="shared" si="141"/>
        <v>128.12738400000001</v>
      </c>
      <c r="AN583" s="36">
        <v>388.26</v>
      </c>
      <c r="AO583" s="23">
        <f t="shared" si="142"/>
        <v>256.25476800000001</v>
      </c>
      <c r="AQ583">
        <f t="shared" si="143"/>
        <v>0.68181818181818177</v>
      </c>
    </row>
    <row r="584" spans="1:43" x14ac:dyDescent="0.35">
      <c r="A584" t="s">
        <v>43</v>
      </c>
      <c r="B584">
        <v>10</v>
      </c>
      <c r="C584">
        <v>2</v>
      </c>
      <c r="D584" t="s">
        <v>42</v>
      </c>
      <c r="E584">
        <v>2</v>
      </c>
      <c r="F584">
        <v>1</v>
      </c>
      <c r="G584" s="12">
        <v>40</v>
      </c>
      <c r="H584" s="12">
        <v>15.084</v>
      </c>
      <c r="I584" s="12">
        <v>1909</v>
      </c>
      <c r="J584" s="12">
        <v>18.222999999999999</v>
      </c>
      <c r="K584" s="12">
        <v>49.789000000000001</v>
      </c>
      <c r="L584" s="12">
        <v>0.16200000000000001</v>
      </c>
      <c r="M584" s="19">
        <v>308.95999999999998</v>
      </c>
      <c r="N584" s="12">
        <v>1.8360000000000001</v>
      </c>
      <c r="O584" s="13">
        <v>7.7240000000000002</v>
      </c>
      <c r="P584" s="14">
        <v>40</v>
      </c>
      <c r="Q584" s="14">
        <v>18.222999999999999</v>
      </c>
      <c r="R584" s="14">
        <v>206.81200000000001</v>
      </c>
      <c r="S584" s="14">
        <v>102.148</v>
      </c>
      <c r="T584" s="10" t="b">
        <f t="shared" si="130"/>
        <v>1</v>
      </c>
      <c r="U584" s="10" t="b">
        <f t="shared" si="131"/>
        <v>1</v>
      </c>
      <c r="V584" s="11">
        <f>VLOOKUP(IF(J584&lt;10, 10, IF(J584&gt;50,50,J584)),'Over to underbark'!$A$3:$C$43,IF(A584="Scots pine",3,IF(A584="Sitka spruce",2, "error")),TRUE)/100</f>
        <v>0.9</v>
      </c>
      <c r="W584">
        <f t="shared" si="132"/>
        <v>167.51772000000003</v>
      </c>
      <c r="X584">
        <f t="shared" si="133"/>
        <v>82.739879999999999</v>
      </c>
      <c r="Y584">
        <f t="shared" si="134"/>
        <v>27.806399999999996</v>
      </c>
      <c r="Z584">
        <f t="shared" si="136"/>
        <v>128.13106228200002</v>
      </c>
      <c r="AA584">
        <f t="shared" si="137"/>
        <v>32.330149200000001</v>
      </c>
      <c r="AB584">
        <f t="shared" si="138"/>
        <v>71.930374758000013</v>
      </c>
      <c r="AC584">
        <f t="shared" si="139"/>
        <v>45.672413759999998</v>
      </c>
      <c r="AD584">
        <f>LOOKUP($A584,'Over to underbark'!$A$47:$A$48,'Over to underbark'!E$47:E$48)*Z584</f>
        <v>42.283250553060007</v>
      </c>
      <c r="AE584">
        <f>LOOKUP($A584,'Over to underbark'!$A$47:$A$48,'Over to underbark'!E$47:E$48)*AA584</f>
        <v>10.668949236000001</v>
      </c>
      <c r="AF584">
        <f>LOOKUP($A584,'Over to underbark'!$A$47:$A$48,'Over to underbark'!E$47:E$48)*AB584</f>
        <v>23.737023670140005</v>
      </c>
      <c r="AG584">
        <f>LOOKUP($A584,'Over to underbark'!$A$47:$A$48,'Over to underbark'!E$47:E$48)*AC584</f>
        <v>15.071896540799999</v>
      </c>
      <c r="AH584" t="b">
        <f t="shared" si="140"/>
        <v>1</v>
      </c>
      <c r="AI584" t="b">
        <f t="shared" si="135"/>
        <v>1</v>
      </c>
      <c r="AJ584">
        <f>LOOKUP(A584,'Over to underbark'!$A$47:$A$48,'Over to underbark'!E$47:E$48)*M584</f>
        <v>101.9568</v>
      </c>
      <c r="AK584" s="22">
        <f>LOOKUP(A584,'Over to underbark'!$A$47:$A$48,'Over to underbark'!$B$47:$B$48)*AJ584</f>
        <v>32.626176000000001</v>
      </c>
      <c r="AL584" s="22">
        <f>LOOKUP(A584,'Over to underbark'!$A$47:$A$48,'Over to underbark'!C$47:C$48)*AJ584</f>
        <v>49.958832000000001</v>
      </c>
      <c r="AM584" s="22">
        <f t="shared" si="141"/>
        <v>134.582976</v>
      </c>
      <c r="AN584" s="36">
        <v>407.83</v>
      </c>
      <c r="AO584" s="23">
        <f t="shared" si="142"/>
        <v>269.165952</v>
      </c>
      <c r="AQ584">
        <f t="shared" si="143"/>
        <v>0.68181818181818188</v>
      </c>
    </row>
    <row r="585" spans="1:43" x14ac:dyDescent="0.35">
      <c r="A585" t="s">
        <v>43</v>
      </c>
      <c r="B585">
        <v>10</v>
      </c>
      <c r="C585">
        <v>2</v>
      </c>
      <c r="D585" t="s">
        <v>42</v>
      </c>
      <c r="E585">
        <v>2</v>
      </c>
      <c r="F585">
        <v>1</v>
      </c>
      <c r="G585" s="12">
        <v>41</v>
      </c>
      <c r="H585" s="12">
        <v>15.472</v>
      </c>
      <c r="I585" s="12">
        <v>1874</v>
      </c>
      <c r="J585" s="12">
        <v>18.565999999999999</v>
      </c>
      <c r="K585" s="12">
        <v>50.732999999999997</v>
      </c>
      <c r="L585" s="12">
        <v>0.17299999999999999</v>
      </c>
      <c r="M585" s="19">
        <v>323.77999999999997</v>
      </c>
      <c r="N585" s="12">
        <v>2.0099999999999998</v>
      </c>
      <c r="O585" s="13">
        <v>7.8970000000000002</v>
      </c>
      <c r="P585" s="14">
        <v>41</v>
      </c>
      <c r="Q585" s="14">
        <v>18.565999999999999</v>
      </c>
      <c r="R585" s="14">
        <v>210.19499999999999</v>
      </c>
      <c r="S585" s="14">
        <v>113.58499999999999</v>
      </c>
      <c r="T585" s="10" t="b">
        <f t="shared" si="130"/>
        <v>1</v>
      </c>
      <c r="U585" s="10" t="b">
        <f t="shared" si="131"/>
        <v>1</v>
      </c>
      <c r="V585" s="11">
        <f>VLOOKUP(IF(J585&lt;10, 10, IF(J585&gt;50,50,J585)),'Over to underbark'!$A$3:$C$43,IF(A585="Scots pine",3,IF(A585="Sitka spruce",2, "error")),TRUE)/100</f>
        <v>0.9</v>
      </c>
      <c r="W585">
        <f t="shared" si="132"/>
        <v>170.25794999999999</v>
      </c>
      <c r="X585">
        <f t="shared" si="133"/>
        <v>92.00385</v>
      </c>
      <c r="Y585">
        <f t="shared" si="134"/>
        <v>29.140199999999993</v>
      </c>
      <c r="Z585">
        <f t="shared" si="136"/>
        <v>133.22158373249999</v>
      </c>
      <c r="AA585">
        <f t="shared" si="137"/>
        <v>33.298474499999998</v>
      </c>
      <c r="AB585">
        <f t="shared" si="138"/>
        <v>74.09581656749998</v>
      </c>
      <c r="AC585">
        <f t="shared" si="139"/>
        <v>50.786125200000001</v>
      </c>
      <c r="AD585">
        <f>LOOKUP($A585,'Over to underbark'!$A$47:$A$48,'Over to underbark'!E$47:E$48)*Z585</f>
        <v>43.963122631725</v>
      </c>
      <c r="AE585">
        <f>LOOKUP($A585,'Over to underbark'!$A$47:$A$48,'Over to underbark'!E$47:E$48)*AA585</f>
        <v>10.988496585</v>
      </c>
      <c r="AF585">
        <f>LOOKUP($A585,'Over to underbark'!$A$47:$A$48,'Over to underbark'!E$47:E$48)*AB585</f>
        <v>24.451619467274995</v>
      </c>
      <c r="AG585">
        <f>LOOKUP($A585,'Over to underbark'!$A$47:$A$48,'Over to underbark'!E$47:E$48)*AC585</f>
        <v>16.759421316000001</v>
      </c>
      <c r="AH585" t="b">
        <f t="shared" si="140"/>
        <v>1</v>
      </c>
      <c r="AI585" t="b">
        <f t="shared" si="135"/>
        <v>1</v>
      </c>
      <c r="AJ585">
        <f>LOOKUP(A585,'Over to underbark'!$A$47:$A$48,'Over to underbark'!E$47:E$48)*M585</f>
        <v>106.84739999999999</v>
      </c>
      <c r="AK585" s="22">
        <f>LOOKUP(A585,'Over to underbark'!$A$47:$A$48,'Over to underbark'!$B$47:$B$48)*AJ585</f>
        <v>34.191167999999998</v>
      </c>
      <c r="AL585" s="22">
        <f>LOOKUP(A585,'Over to underbark'!$A$47:$A$48,'Over to underbark'!C$47:C$48)*AJ585</f>
        <v>52.355225999999995</v>
      </c>
      <c r="AM585" s="22">
        <f t="shared" si="141"/>
        <v>141.038568</v>
      </c>
      <c r="AN585" s="36">
        <v>427.39</v>
      </c>
      <c r="AO585" s="23">
        <f t="shared" si="142"/>
        <v>282.077136</v>
      </c>
      <c r="AQ585">
        <f t="shared" si="143"/>
        <v>0.68181818181818188</v>
      </c>
    </row>
    <row r="586" spans="1:43" x14ac:dyDescent="0.35">
      <c r="A586" t="s">
        <v>43</v>
      </c>
      <c r="B586">
        <v>10</v>
      </c>
      <c r="C586">
        <v>2</v>
      </c>
      <c r="D586" t="s">
        <v>42</v>
      </c>
      <c r="E586">
        <v>2</v>
      </c>
      <c r="F586">
        <v>1</v>
      </c>
      <c r="G586" s="12">
        <v>42</v>
      </c>
      <c r="H586" s="12">
        <v>15.86</v>
      </c>
      <c r="I586" s="12">
        <v>1840</v>
      </c>
      <c r="J586" s="12">
        <v>18.91</v>
      </c>
      <c r="K586" s="12">
        <v>51.676000000000002</v>
      </c>
      <c r="L586" s="12">
        <v>0.184</v>
      </c>
      <c r="M586" s="19">
        <v>338.6</v>
      </c>
      <c r="N586" s="12">
        <v>2.1669999999999998</v>
      </c>
      <c r="O586" s="13">
        <v>8.0619999999999994</v>
      </c>
      <c r="P586" s="14">
        <v>42</v>
      </c>
      <c r="Q586" s="14">
        <v>18.91</v>
      </c>
      <c r="R586" s="14">
        <v>213.04400000000001</v>
      </c>
      <c r="S586" s="14">
        <v>125.556</v>
      </c>
      <c r="T586" s="10" t="b">
        <f t="shared" si="130"/>
        <v>1</v>
      </c>
      <c r="U586" s="10" t="b">
        <f t="shared" si="131"/>
        <v>1</v>
      </c>
      <c r="V586" s="11">
        <f>VLOOKUP(IF(J586&lt;10, 10, IF(J586&gt;50,50,J586)),'Over to underbark'!$A$3:$C$43,IF(A586="Scots pine",3,IF(A586="Sitka spruce",2, "error")),TRUE)/100</f>
        <v>0.9</v>
      </c>
      <c r="W586">
        <f t="shared" si="132"/>
        <v>172.56564000000003</v>
      </c>
      <c r="X586">
        <f t="shared" si="133"/>
        <v>101.70036</v>
      </c>
      <c r="Y586">
        <f t="shared" si="134"/>
        <v>30.473999999999993</v>
      </c>
      <c r="Z586">
        <f t="shared" si="136"/>
        <v>138.22587833400002</v>
      </c>
      <c r="AA586">
        <f t="shared" si="137"/>
        <v>34.219220399999998</v>
      </c>
      <c r="AB586">
        <f t="shared" si="138"/>
        <v>76.156302546000006</v>
      </c>
      <c r="AC586">
        <f t="shared" si="139"/>
        <v>56.138598719999997</v>
      </c>
      <c r="AD586">
        <f>LOOKUP($A586,'Over to underbark'!$A$47:$A$48,'Over to underbark'!E$47:E$48)*Z586</f>
        <v>45.614539850220005</v>
      </c>
      <c r="AE586">
        <f>LOOKUP($A586,'Over to underbark'!$A$47:$A$48,'Over to underbark'!E$47:E$48)*AA586</f>
        <v>11.292342732</v>
      </c>
      <c r="AF586">
        <f>LOOKUP($A586,'Over to underbark'!$A$47:$A$48,'Over to underbark'!E$47:E$48)*AB586</f>
        <v>25.131579840180002</v>
      </c>
      <c r="AG586">
        <f>LOOKUP($A586,'Over to underbark'!$A$47:$A$48,'Over to underbark'!E$47:E$48)*AC586</f>
        <v>18.525737577600001</v>
      </c>
      <c r="AH586" t="b">
        <f t="shared" si="140"/>
        <v>1</v>
      </c>
      <c r="AI586" t="b">
        <f t="shared" si="135"/>
        <v>1</v>
      </c>
      <c r="AJ586">
        <f>LOOKUP(A586,'Over to underbark'!$A$47:$A$48,'Over to underbark'!E$47:E$48)*M586</f>
        <v>111.73800000000001</v>
      </c>
      <c r="AK586" s="22">
        <f>LOOKUP(A586,'Over to underbark'!$A$47:$A$48,'Over to underbark'!$B$47:$B$48)*AJ586</f>
        <v>35.756160000000008</v>
      </c>
      <c r="AL586" s="22">
        <f>LOOKUP(A586,'Over to underbark'!$A$47:$A$48,'Over to underbark'!C$47:C$48)*AJ586</f>
        <v>54.751620000000003</v>
      </c>
      <c r="AM586" s="22">
        <f t="shared" si="141"/>
        <v>147.49416000000002</v>
      </c>
      <c r="AN586" s="36">
        <v>446.95</v>
      </c>
      <c r="AO586" s="23">
        <f t="shared" si="142"/>
        <v>294.98832000000004</v>
      </c>
      <c r="AQ586">
        <f t="shared" si="143"/>
        <v>0.68181818181818177</v>
      </c>
    </row>
    <row r="587" spans="1:43" x14ac:dyDescent="0.35">
      <c r="A587" t="s">
        <v>43</v>
      </c>
      <c r="B587">
        <v>10</v>
      </c>
      <c r="C587">
        <v>2</v>
      </c>
      <c r="D587" t="s">
        <v>42</v>
      </c>
      <c r="E587">
        <v>2</v>
      </c>
      <c r="F587">
        <v>1</v>
      </c>
      <c r="G587" s="12">
        <v>43</v>
      </c>
      <c r="H587" s="12">
        <v>16.213999999999999</v>
      </c>
      <c r="I587" s="12">
        <v>1809</v>
      </c>
      <c r="J587" s="12">
        <v>19.207000000000001</v>
      </c>
      <c r="K587" s="12">
        <v>52.411999999999999</v>
      </c>
      <c r="L587" s="12">
        <v>0.19500000000000001</v>
      </c>
      <c r="M587" s="19">
        <v>352.38</v>
      </c>
      <c r="N587" s="12">
        <v>2.4470000000000001</v>
      </c>
      <c r="O587" s="13">
        <v>8.1950000000000003</v>
      </c>
      <c r="P587" s="14">
        <v>43</v>
      </c>
      <c r="Q587" s="14">
        <v>19.207000000000001</v>
      </c>
      <c r="R587" s="14">
        <v>215.71</v>
      </c>
      <c r="S587" s="14">
        <v>136.66999999999999</v>
      </c>
      <c r="T587" s="10" t="b">
        <f t="shared" ref="T587:T621" si="144">G587=P587</f>
        <v>1</v>
      </c>
      <c r="U587" s="10" t="b">
        <f t="shared" ref="U587:U621" si="145">J587=Q587</f>
        <v>1</v>
      </c>
      <c r="V587" s="11">
        <f>VLOOKUP(IF(J587&lt;10, 10, IF(J587&gt;50,50,J587)),'Over to underbark'!$A$3:$C$43,IF(A587="Scots pine",3,IF(A587="Sitka spruce",2, "error")),TRUE)/100</f>
        <v>0.9</v>
      </c>
      <c r="W587">
        <f t="shared" ref="W587:W621" si="146">R587*0.9*V587</f>
        <v>174.72510000000003</v>
      </c>
      <c r="X587">
        <f t="shared" ref="X587:X621" si="147">S587*0.9*V587</f>
        <v>110.70269999999999</v>
      </c>
      <c r="Y587">
        <f t="shared" ref="Y587:Y621" si="148">(R587+S587)*0.9*(100%-V587)</f>
        <v>31.714199999999991</v>
      </c>
      <c r="Z587">
        <f t="shared" si="136"/>
        <v>142.88172808499999</v>
      </c>
      <c r="AA587">
        <f t="shared" si="137"/>
        <v>35.076860999999994</v>
      </c>
      <c r="AB587">
        <f t="shared" si="138"/>
        <v>78.075520514999994</v>
      </c>
      <c r="AC587">
        <f t="shared" si="139"/>
        <v>61.107890399999995</v>
      </c>
      <c r="AD587">
        <f>LOOKUP($A587,'Over to underbark'!$A$47:$A$48,'Over to underbark'!E$47:E$48)*Z587</f>
        <v>47.150970268050003</v>
      </c>
      <c r="AE587">
        <f>LOOKUP($A587,'Over to underbark'!$A$47:$A$48,'Over to underbark'!E$47:E$48)*AA587</f>
        <v>11.575364129999999</v>
      </c>
      <c r="AF587">
        <f>LOOKUP($A587,'Over to underbark'!$A$47:$A$48,'Over to underbark'!E$47:E$48)*AB587</f>
        <v>25.76492176995</v>
      </c>
      <c r="AG587">
        <f>LOOKUP($A587,'Over to underbark'!$A$47:$A$48,'Over to underbark'!E$47:E$48)*AC587</f>
        <v>20.165603831999999</v>
      </c>
      <c r="AH587" t="b">
        <f t="shared" si="140"/>
        <v>1</v>
      </c>
      <c r="AI587" t="b">
        <f t="shared" ref="AI587:AI621" si="149">SUM(R587:S587)*0.9 = SUM(W587:Y587)</f>
        <v>1</v>
      </c>
      <c r="AJ587">
        <f>LOOKUP(A587,'Over to underbark'!$A$47:$A$48,'Over to underbark'!E$47:E$48)*M587</f>
        <v>116.28540000000001</v>
      </c>
      <c r="AK587" s="22">
        <f>LOOKUP(A587,'Over to underbark'!$A$47:$A$48,'Over to underbark'!$B$47:$B$48)*AJ587</f>
        <v>37.211328000000002</v>
      </c>
      <c r="AL587" s="22">
        <f>LOOKUP(A587,'Over to underbark'!$A$47:$A$48,'Over to underbark'!C$47:C$48)*AJ587</f>
        <v>56.979846000000002</v>
      </c>
      <c r="AM587" s="22">
        <f t="shared" si="141"/>
        <v>153.49672800000002</v>
      </c>
      <c r="AN587" s="36">
        <v>465.14</v>
      </c>
      <c r="AO587" s="23">
        <f t="shared" si="142"/>
        <v>306.99345600000004</v>
      </c>
      <c r="AQ587">
        <f t="shared" si="143"/>
        <v>0.68181818181818177</v>
      </c>
    </row>
    <row r="588" spans="1:43" x14ac:dyDescent="0.35">
      <c r="A588" t="s">
        <v>43</v>
      </c>
      <c r="B588">
        <v>10</v>
      </c>
      <c r="C588">
        <v>2</v>
      </c>
      <c r="D588" t="s">
        <v>42</v>
      </c>
      <c r="E588">
        <v>2</v>
      </c>
      <c r="F588">
        <v>1</v>
      </c>
      <c r="G588" s="12">
        <v>44</v>
      </c>
      <c r="H588" s="12">
        <v>16.568000000000001</v>
      </c>
      <c r="I588" s="12">
        <v>1778</v>
      </c>
      <c r="J588" s="12">
        <v>19.509</v>
      </c>
      <c r="K588" s="12">
        <v>53.148000000000003</v>
      </c>
      <c r="L588" s="12">
        <v>0.20599999999999999</v>
      </c>
      <c r="M588" s="19">
        <v>366.16</v>
      </c>
      <c r="N588" s="12">
        <v>2.7050000000000001</v>
      </c>
      <c r="O588" s="13">
        <v>8.3219999999999992</v>
      </c>
      <c r="P588" s="14">
        <v>44</v>
      </c>
      <c r="Q588" s="14">
        <v>19.509</v>
      </c>
      <c r="R588" s="14">
        <v>217.88499999999999</v>
      </c>
      <c r="S588" s="14">
        <v>148.27500000000001</v>
      </c>
      <c r="T588" s="10" t="b">
        <f t="shared" si="144"/>
        <v>1</v>
      </c>
      <c r="U588" s="10" t="b">
        <f t="shared" si="145"/>
        <v>1</v>
      </c>
      <c r="V588" s="11">
        <f>VLOOKUP(IF(J588&lt;10, 10, IF(J588&gt;50,50,J588)),'Over to underbark'!$A$3:$C$43,IF(A588="Scots pine",3,IF(A588="Sitka spruce",2, "error")),TRUE)/100</f>
        <v>0.9</v>
      </c>
      <c r="W588">
        <f t="shared" si="146"/>
        <v>176.48685</v>
      </c>
      <c r="X588">
        <f t="shared" si="147"/>
        <v>120.10275000000001</v>
      </c>
      <c r="Y588">
        <f t="shared" si="148"/>
        <v>32.954399999999993</v>
      </c>
      <c r="Z588">
        <f t="shared" si="136"/>
        <v>147.45829434749999</v>
      </c>
      <c r="AA588">
        <f t="shared" si="137"/>
        <v>35.890753499999995</v>
      </c>
      <c r="AB588">
        <f t="shared" si="138"/>
        <v>79.898234152499995</v>
      </c>
      <c r="AC588">
        <f t="shared" si="139"/>
        <v>66.296717999999998</v>
      </c>
      <c r="AD588">
        <f>LOOKUP($A588,'Over to underbark'!$A$47:$A$48,'Over to underbark'!E$47:E$48)*Z588</f>
        <v>48.661237134674998</v>
      </c>
      <c r="AE588">
        <f>LOOKUP($A588,'Over to underbark'!$A$47:$A$48,'Over to underbark'!E$47:E$48)*AA588</f>
        <v>11.843948654999998</v>
      </c>
      <c r="AF588">
        <f>LOOKUP($A588,'Over to underbark'!$A$47:$A$48,'Over to underbark'!E$47:E$48)*AB588</f>
        <v>26.366417270324998</v>
      </c>
      <c r="AG588">
        <f>LOOKUP($A588,'Over to underbark'!$A$47:$A$48,'Over to underbark'!E$47:E$48)*AC588</f>
        <v>21.877916940000002</v>
      </c>
      <c r="AH588" t="b">
        <f t="shared" si="140"/>
        <v>1</v>
      </c>
      <c r="AI588" t="b">
        <f t="shared" si="149"/>
        <v>1</v>
      </c>
      <c r="AJ588">
        <f>LOOKUP(A588,'Over to underbark'!$A$47:$A$48,'Over to underbark'!E$47:E$48)*M588</f>
        <v>120.83280000000002</v>
      </c>
      <c r="AK588" s="22">
        <f>LOOKUP(A588,'Over to underbark'!$A$47:$A$48,'Over to underbark'!$B$47:$B$48)*AJ588</f>
        <v>38.666496000000009</v>
      </c>
      <c r="AL588" s="22">
        <f>LOOKUP(A588,'Over to underbark'!$A$47:$A$48,'Over to underbark'!C$47:C$48)*AJ588</f>
        <v>59.208072000000008</v>
      </c>
      <c r="AM588" s="22">
        <f t="shared" si="141"/>
        <v>159.49929600000002</v>
      </c>
      <c r="AN588" s="36">
        <v>483.33</v>
      </c>
      <c r="AO588" s="23">
        <f t="shared" si="142"/>
        <v>318.99859200000003</v>
      </c>
      <c r="AQ588">
        <f t="shared" si="143"/>
        <v>0.68181818181818177</v>
      </c>
    </row>
    <row r="589" spans="1:43" x14ac:dyDescent="0.35">
      <c r="A589" t="s">
        <v>43</v>
      </c>
      <c r="B589">
        <v>10</v>
      </c>
      <c r="C589">
        <v>2</v>
      </c>
      <c r="D589" t="s">
        <v>42</v>
      </c>
      <c r="E589">
        <v>2</v>
      </c>
      <c r="F589">
        <v>1</v>
      </c>
      <c r="G589" s="12">
        <v>45</v>
      </c>
      <c r="H589" s="12">
        <v>16.922000000000001</v>
      </c>
      <c r="I589" s="12">
        <v>1748</v>
      </c>
      <c r="J589" s="12">
        <v>19.811</v>
      </c>
      <c r="K589" s="12">
        <v>53.884</v>
      </c>
      <c r="L589" s="12">
        <v>0.217</v>
      </c>
      <c r="M589" s="19">
        <v>379.94</v>
      </c>
      <c r="N589" s="12">
        <v>2.9430000000000001</v>
      </c>
      <c r="O589" s="13">
        <v>8.4429999999999996</v>
      </c>
      <c r="P589" s="14">
        <v>45</v>
      </c>
      <c r="Q589" s="14">
        <v>19.811</v>
      </c>
      <c r="R589" s="14">
        <v>219.68199999999999</v>
      </c>
      <c r="S589" s="14">
        <v>160.25800000000001</v>
      </c>
      <c r="T589" s="10" t="b">
        <f t="shared" si="144"/>
        <v>1</v>
      </c>
      <c r="U589" s="10" t="b">
        <f t="shared" si="145"/>
        <v>1</v>
      </c>
      <c r="V589" s="11">
        <f>VLOOKUP(IF(J589&lt;10, 10, IF(J589&gt;50,50,J589)),'Over to underbark'!$A$3:$C$43,IF(A589="Scots pine",3,IF(A589="Sitka spruce",2, "error")),TRUE)/100</f>
        <v>0.9</v>
      </c>
      <c r="W589">
        <f t="shared" si="146"/>
        <v>177.94242</v>
      </c>
      <c r="X589">
        <f t="shared" si="147"/>
        <v>129.80898000000002</v>
      </c>
      <c r="Y589">
        <f t="shared" si="148"/>
        <v>34.194599999999994</v>
      </c>
      <c r="Z589">
        <f t="shared" si="136"/>
        <v>151.973823627</v>
      </c>
      <c r="AA589">
        <f t="shared" si="137"/>
        <v>36.670966199999995</v>
      </c>
      <c r="AB589">
        <f t="shared" si="138"/>
        <v>81.646653212999993</v>
      </c>
      <c r="AC589">
        <f t="shared" si="139"/>
        <v>71.654556960000008</v>
      </c>
      <c r="AD589">
        <f>LOOKUP($A589,'Over to underbark'!$A$47:$A$48,'Over to underbark'!E$47:E$48)*Z589</f>
        <v>50.151361796910003</v>
      </c>
      <c r="AE589">
        <f>LOOKUP($A589,'Over to underbark'!$A$47:$A$48,'Over to underbark'!E$47:E$48)*AA589</f>
        <v>12.101418846</v>
      </c>
      <c r="AF589">
        <f>LOOKUP($A589,'Over to underbark'!$A$47:$A$48,'Over to underbark'!E$47:E$48)*AB589</f>
        <v>26.94339556029</v>
      </c>
      <c r="AG589">
        <f>LOOKUP($A589,'Over to underbark'!$A$47:$A$48,'Over to underbark'!E$47:E$48)*AC589</f>
        <v>23.646003796800002</v>
      </c>
      <c r="AH589" t="b">
        <f t="shared" si="140"/>
        <v>1</v>
      </c>
      <c r="AI589" t="b">
        <f t="shared" si="149"/>
        <v>1</v>
      </c>
      <c r="AJ589">
        <f>LOOKUP(A589,'Over to underbark'!$A$47:$A$48,'Over to underbark'!E$47:E$48)*M589</f>
        <v>125.3802</v>
      </c>
      <c r="AK589" s="22">
        <f>LOOKUP(A589,'Over to underbark'!$A$47:$A$48,'Over to underbark'!$B$47:$B$48)*AJ589</f>
        <v>40.121664000000003</v>
      </c>
      <c r="AL589" s="22">
        <f>LOOKUP(A589,'Over to underbark'!$A$47:$A$48,'Over to underbark'!C$47:C$48)*AJ589</f>
        <v>61.436298000000001</v>
      </c>
      <c r="AM589" s="22">
        <f t="shared" si="141"/>
        <v>165.50186400000001</v>
      </c>
      <c r="AN589" s="36">
        <v>501.52</v>
      </c>
      <c r="AO589" s="23">
        <f t="shared" si="142"/>
        <v>331.00372800000002</v>
      </c>
      <c r="AQ589">
        <f t="shared" si="143"/>
        <v>0.68181818181818177</v>
      </c>
    </row>
    <row r="590" spans="1:43" x14ac:dyDescent="0.35">
      <c r="A590" t="s">
        <v>43</v>
      </c>
      <c r="B590">
        <v>10</v>
      </c>
      <c r="C590">
        <v>2</v>
      </c>
      <c r="D590" t="s">
        <v>42</v>
      </c>
      <c r="E590">
        <v>2</v>
      </c>
      <c r="F590">
        <v>1</v>
      </c>
      <c r="G590" s="12">
        <v>46</v>
      </c>
      <c r="H590" s="12">
        <v>17.276</v>
      </c>
      <c r="I590" s="12">
        <v>1717</v>
      </c>
      <c r="J590" s="12">
        <v>20.126000000000001</v>
      </c>
      <c r="K590" s="12">
        <v>54.62</v>
      </c>
      <c r="L590" s="12">
        <v>0.22900000000000001</v>
      </c>
      <c r="M590" s="19">
        <v>393.72</v>
      </c>
      <c r="N590" s="12">
        <v>3.1629999999999998</v>
      </c>
      <c r="O590" s="13">
        <v>8.5589999999999993</v>
      </c>
      <c r="P590" s="14">
        <v>46</v>
      </c>
      <c r="Q590" s="14">
        <v>20.126000000000001</v>
      </c>
      <c r="R590" s="14">
        <v>220.83799999999999</v>
      </c>
      <c r="S590" s="14">
        <v>172.88200000000001</v>
      </c>
      <c r="T590" s="10" t="b">
        <f t="shared" si="144"/>
        <v>1</v>
      </c>
      <c r="U590" s="10" t="b">
        <f t="shared" si="145"/>
        <v>1</v>
      </c>
      <c r="V590" s="11">
        <f>VLOOKUP(IF(J590&lt;10, 10, IF(J590&gt;50,50,J590)),'Over to underbark'!$A$3:$C$43,IF(A590="Scots pine",3,IF(A590="Sitka spruce",2, "error")),TRUE)/100</f>
        <v>0.9</v>
      </c>
      <c r="W590">
        <f t="shared" si="146"/>
        <v>178.87878000000001</v>
      </c>
      <c r="X590">
        <f t="shared" si="147"/>
        <v>140.03442000000001</v>
      </c>
      <c r="Y590">
        <f t="shared" si="148"/>
        <v>35.434799999999996</v>
      </c>
      <c r="Z590">
        <f t="shared" si="136"/>
        <v>156.385848393</v>
      </c>
      <c r="AA590">
        <f t="shared" si="137"/>
        <v>37.3940658</v>
      </c>
      <c r="AB590">
        <f t="shared" si="138"/>
        <v>83.269085966999995</v>
      </c>
      <c r="AC590">
        <f t="shared" si="139"/>
        <v>77.298999840000008</v>
      </c>
      <c r="AD590">
        <f>LOOKUP($A590,'Over to underbark'!$A$47:$A$48,'Over to underbark'!E$47:E$48)*Z590</f>
        <v>51.607329969690007</v>
      </c>
      <c r="AE590">
        <f>LOOKUP($A590,'Over to underbark'!$A$47:$A$48,'Over to underbark'!E$47:E$48)*AA590</f>
        <v>12.340041714</v>
      </c>
      <c r="AF590">
        <f>LOOKUP($A590,'Over to underbark'!$A$47:$A$48,'Over to underbark'!E$47:E$48)*AB590</f>
        <v>27.478798369109999</v>
      </c>
      <c r="AG590">
        <f>LOOKUP($A590,'Over to underbark'!$A$47:$A$48,'Over to underbark'!E$47:E$48)*AC590</f>
        <v>25.508669947200005</v>
      </c>
      <c r="AH590" t="b">
        <f t="shared" si="140"/>
        <v>1</v>
      </c>
      <c r="AI590" t="b">
        <f t="shared" si="149"/>
        <v>1</v>
      </c>
      <c r="AJ590">
        <f>LOOKUP(A590,'Over to underbark'!$A$47:$A$48,'Over to underbark'!E$47:E$48)*M590</f>
        <v>129.92760000000001</v>
      </c>
      <c r="AK590" s="22">
        <f>LOOKUP(A590,'Over to underbark'!$A$47:$A$48,'Over to underbark'!$B$47:$B$48)*AJ590</f>
        <v>41.576832000000003</v>
      </c>
      <c r="AL590" s="22">
        <f>LOOKUP(A590,'Over to underbark'!$A$47:$A$48,'Over to underbark'!C$47:C$48)*AJ590</f>
        <v>63.664524000000007</v>
      </c>
      <c r="AM590" s="22">
        <f t="shared" si="141"/>
        <v>171.50443200000001</v>
      </c>
      <c r="AN590" s="36">
        <v>519.71</v>
      </c>
      <c r="AO590" s="23">
        <f t="shared" si="142"/>
        <v>343.00886400000002</v>
      </c>
      <c r="AQ590">
        <f t="shared" si="143"/>
        <v>0.68181818181818188</v>
      </c>
    </row>
    <row r="591" spans="1:43" x14ac:dyDescent="0.35">
      <c r="A591" t="s">
        <v>43</v>
      </c>
      <c r="B591">
        <v>10</v>
      </c>
      <c r="C591">
        <v>2</v>
      </c>
      <c r="D591" t="s">
        <v>42</v>
      </c>
      <c r="E591">
        <v>2</v>
      </c>
      <c r="F591">
        <v>1</v>
      </c>
      <c r="G591" s="12">
        <v>47</v>
      </c>
      <c r="H591" s="12">
        <v>17.63</v>
      </c>
      <c r="I591" s="12">
        <v>1687</v>
      </c>
      <c r="J591" s="12">
        <v>20.440000000000001</v>
      </c>
      <c r="K591" s="12">
        <v>55.356000000000002</v>
      </c>
      <c r="L591" s="12">
        <v>0.24199999999999999</v>
      </c>
      <c r="M591" s="19">
        <v>407.5</v>
      </c>
      <c r="N591" s="12">
        <v>3.367</v>
      </c>
      <c r="O591" s="13">
        <v>8.67</v>
      </c>
      <c r="P591" s="14">
        <v>47</v>
      </c>
      <c r="Q591" s="14">
        <v>20.440000000000001</v>
      </c>
      <c r="R591" s="14">
        <v>221.66</v>
      </c>
      <c r="S591" s="14">
        <v>185.84</v>
      </c>
      <c r="T591" s="10" t="b">
        <f t="shared" si="144"/>
        <v>1</v>
      </c>
      <c r="U591" s="10" t="b">
        <f t="shared" si="145"/>
        <v>1</v>
      </c>
      <c r="V591" s="11">
        <f>VLOOKUP(IF(J591&lt;10, 10, IF(J591&gt;50,50,J591)),'Over to underbark'!$A$3:$C$43,IF(A591="Scots pine",3,IF(A591="Sitka spruce",2, "error")),TRUE)/100</f>
        <v>0.9</v>
      </c>
      <c r="W591">
        <f t="shared" si="146"/>
        <v>179.5446</v>
      </c>
      <c r="X591">
        <f t="shared" si="147"/>
        <v>150.53040000000001</v>
      </c>
      <c r="Y591">
        <f t="shared" si="148"/>
        <v>36.67499999999999</v>
      </c>
      <c r="Z591">
        <f t="shared" si="136"/>
        <v>160.74394101000001</v>
      </c>
      <c r="AA591">
        <f t="shared" si="137"/>
        <v>38.087405999999994</v>
      </c>
      <c r="AB591">
        <f t="shared" si="138"/>
        <v>84.825872189999998</v>
      </c>
      <c r="AC591">
        <f t="shared" si="139"/>
        <v>83.0927808</v>
      </c>
      <c r="AD591">
        <f>LOOKUP($A591,'Over to underbark'!$A$47:$A$48,'Over to underbark'!E$47:E$48)*Z591</f>
        <v>53.045500533300007</v>
      </c>
      <c r="AE591">
        <f>LOOKUP($A591,'Over to underbark'!$A$47:$A$48,'Over to underbark'!E$47:E$48)*AA591</f>
        <v>12.568843979999999</v>
      </c>
      <c r="AF591">
        <f>LOOKUP($A591,'Over to underbark'!$A$47:$A$48,'Over to underbark'!E$47:E$48)*AB591</f>
        <v>27.992537822700001</v>
      </c>
      <c r="AG591">
        <f>LOOKUP($A591,'Over to underbark'!$A$47:$A$48,'Over to underbark'!E$47:E$48)*AC591</f>
        <v>27.420617664000002</v>
      </c>
      <c r="AH591" t="b">
        <f t="shared" si="140"/>
        <v>1</v>
      </c>
      <c r="AI591" t="b">
        <f t="shared" si="149"/>
        <v>1</v>
      </c>
      <c r="AJ591">
        <f>LOOKUP(A591,'Over to underbark'!$A$47:$A$48,'Over to underbark'!E$47:E$48)*M591</f>
        <v>134.47499999999999</v>
      </c>
      <c r="AK591" s="22">
        <f>LOOKUP(A591,'Over to underbark'!$A$47:$A$48,'Over to underbark'!$B$47:$B$48)*AJ591</f>
        <v>43.031999999999996</v>
      </c>
      <c r="AL591" s="22">
        <f>LOOKUP(A591,'Over to underbark'!$A$47:$A$48,'Over to underbark'!C$47:C$48)*AJ591</f>
        <v>65.892749999999992</v>
      </c>
      <c r="AM591" s="22">
        <f t="shared" si="141"/>
        <v>177.50700000000001</v>
      </c>
      <c r="AN591" s="36">
        <v>537.9</v>
      </c>
      <c r="AO591" s="23">
        <f t="shared" si="142"/>
        <v>355.01400000000001</v>
      </c>
      <c r="AQ591">
        <f t="shared" si="143"/>
        <v>0.68181818181818188</v>
      </c>
    </row>
    <row r="592" spans="1:43" x14ac:dyDescent="0.35">
      <c r="A592" t="s">
        <v>43</v>
      </c>
      <c r="B592">
        <v>10</v>
      </c>
      <c r="C592">
        <v>2</v>
      </c>
      <c r="D592" t="s">
        <v>42</v>
      </c>
      <c r="E592">
        <v>2</v>
      </c>
      <c r="F592">
        <v>1</v>
      </c>
      <c r="G592" s="12">
        <v>48</v>
      </c>
      <c r="H592" s="12">
        <v>17.948</v>
      </c>
      <c r="I592" s="12">
        <v>1659</v>
      </c>
      <c r="J592" s="12">
        <v>20.712</v>
      </c>
      <c r="K592" s="12">
        <v>55.895000000000003</v>
      </c>
      <c r="L592" s="12">
        <v>0.253</v>
      </c>
      <c r="M592" s="19">
        <v>419.6</v>
      </c>
      <c r="N592" s="12">
        <v>3.66</v>
      </c>
      <c r="O592" s="13">
        <v>8.7420000000000009</v>
      </c>
      <c r="P592" s="14">
        <v>48</v>
      </c>
      <c r="Q592" s="14">
        <v>20.712</v>
      </c>
      <c r="R592" s="14">
        <v>222.18299999999999</v>
      </c>
      <c r="S592" s="14">
        <v>197.417</v>
      </c>
      <c r="T592" s="10" t="b">
        <f t="shared" si="144"/>
        <v>1</v>
      </c>
      <c r="U592" s="10" t="b">
        <f t="shared" si="145"/>
        <v>1</v>
      </c>
      <c r="V592" s="11">
        <f>VLOOKUP(IF(J592&lt;10, 10, IF(J592&gt;50,50,J592)),'Over to underbark'!$A$3:$C$43,IF(A592="Scots pine",3,IF(A592="Sitka spruce",2, "error")),TRUE)/100</f>
        <v>0.9</v>
      </c>
      <c r="W592">
        <f t="shared" si="146"/>
        <v>179.96823000000001</v>
      </c>
      <c r="X592">
        <f t="shared" si="147"/>
        <v>159.90777</v>
      </c>
      <c r="Y592">
        <f t="shared" si="148"/>
        <v>37.763999999999996</v>
      </c>
      <c r="Z592">
        <f t="shared" si="136"/>
        <v>164.53861465049999</v>
      </c>
      <c r="AA592">
        <f t="shared" si="137"/>
        <v>38.678505299999998</v>
      </c>
      <c r="AB592">
        <f t="shared" si="138"/>
        <v>86.153791009499997</v>
      </c>
      <c r="AC592">
        <f t="shared" si="139"/>
        <v>88.269089039999997</v>
      </c>
      <c r="AD592">
        <f>LOOKUP($A592,'Over to underbark'!$A$47:$A$48,'Over to underbark'!E$47:E$48)*Z592</f>
        <v>54.297742834665002</v>
      </c>
      <c r="AE592">
        <f>LOOKUP($A592,'Over to underbark'!$A$47:$A$48,'Over to underbark'!E$47:E$48)*AA592</f>
        <v>12.763906749</v>
      </c>
      <c r="AF592">
        <f>LOOKUP($A592,'Over to underbark'!$A$47:$A$48,'Over to underbark'!E$47:E$48)*AB592</f>
        <v>28.430751033135</v>
      </c>
      <c r="AG592">
        <f>LOOKUP($A592,'Over to underbark'!$A$47:$A$48,'Over to underbark'!E$47:E$48)*AC592</f>
        <v>29.128799383200001</v>
      </c>
      <c r="AH592" t="b">
        <f t="shared" si="140"/>
        <v>1</v>
      </c>
      <c r="AI592" t="b">
        <f t="shared" si="149"/>
        <v>1</v>
      </c>
      <c r="AJ592">
        <f>LOOKUP(A592,'Over to underbark'!$A$47:$A$48,'Over to underbark'!E$47:E$48)*M592</f>
        <v>138.46800000000002</v>
      </c>
      <c r="AK592" s="22">
        <f>LOOKUP(A592,'Over to underbark'!$A$47:$A$48,'Over to underbark'!$B$47:$B$48)*AJ592</f>
        <v>44.309760000000004</v>
      </c>
      <c r="AL592" s="22">
        <f>LOOKUP(A592,'Over to underbark'!$A$47:$A$48,'Over to underbark'!C$47:C$48)*AJ592</f>
        <v>67.849320000000006</v>
      </c>
      <c r="AM592" s="22">
        <f t="shared" si="141"/>
        <v>182.77776000000003</v>
      </c>
      <c r="AN592" s="36">
        <v>553.87</v>
      </c>
      <c r="AO592" s="23">
        <f t="shared" si="142"/>
        <v>365.55552000000006</v>
      </c>
      <c r="AQ592">
        <f t="shared" si="143"/>
        <v>0.68181818181818177</v>
      </c>
    </row>
    <row r="593" spans="1:43" x14ac:dyDescent="0.35">
      <c r="A593" t="s">
        <v>43</v>
      </c>
      <c r="B593">
        <v>10</v>
      </c>
      <c r="C593">
        <v>2</v>
      </c>
      <c r="D593" t="s">
        <v>42</v>
      </c>
      <c r="E593">
        <v>2</v>
      </c>
      <c r="F593">
        <v>1</v>
      </c>
      <c r="G593" s="12">
        <v>49</v>
      </c>
      <c r="H593" s="12">
        <v>18.265999999999998</v>
      </c>
      <c r="I593" s="12">
        <v>1632</v>
      </c>
      <c r="J593" s="12">
        <v>20.983000000000001</v>
      </c>
      <c r="K593" s="12">
        <v>56.433999999999997</v>
      </c>
      <c r="L593" s="12">
        <v>0.26500000000000001</v>
      </c>
      <c r="M593" s="19">
        <v>431.7</v>
      </c>
      <c r="N593" s="12">
        <v>3.9340000000000002</v>
      </c>
      <c r="O593" s="13">
        <v>8.81</v>
      </c>
      <c r="P593" s="14">
        <v>49</v>
      </c>
      <c r="Q593" s="14">
        <v>20.983000000000001</v>
      </c>
      <c r="R593" s="14">
        <v>222.48</v>
      </c>
      <c r="S593" s="14">
        <v>209.22</v>
      </c>
      <c r="T593" s="10" t="b">
        <f t="shared" si="144"/>
        <v>1</v>
      </c>
      <c r="U593" s="10" t="b">
        <f t="shared" si="145"/>
        <v>1</v>
      </c>
      <c r="V593" s="11">
        <f>VLOOKUP(IF(J593&lt;10, 10, IF(J593&gt;50,50,J593)),'Over to underbark'!$A$3:$C$43,IF(A593="Scots pine",3,IF(A593="Sitka spruce",2, "error")),TRUE)/100</f>
        <v>0.9</v>
      </c>
      <c r="W593">
        <f t="shared" si="146"/>
        <v>180.2088</v>
      </c>
      <c r="X593">
        <f t="shared" si="147"/>
        <v>169.4682</v>
      </c>
      <c r="Y593">
        <f t="shared" si="148"/>
        <v>38.852999999999987</v>
      </c>
      <c r="Z593">
        <f t="shared" si="136"/>
        <v>168.29679528000003</v>
      </c>
      <c r="AA593">
        <f t="shared" si="137"/>
        <v>39.249467999999993</v>
      </c>
      <c r="AB593">
        <f t="shared" si="138"/>
        <v>87.437290320000002</v>
      </c>
      <c r="AC593">
        <f t="shared" si="139"/>
        <v>93.546446400000008</v>
      </c>
      <c r="AD593">
        <f>LOOKUP($A593,'Over to underbark'!$A$47:$A$48,'Over to underbark'!E$47:E$48)*Z593</f>
        <v>55.537942442400009</v>
      </c>
      <c r="AE593">
        <f>LOOKUP($A593,'Over to underbark'!$A$47:$A$48,'Over to underbark'!E$47:E$48)*AA593</f>
        <v>12.952324439999998</v>
      </c>
      <c r="AF593">
        <f>LOOKUP($A593,'Over to underbark'!$A$47:$A$48,'Over to underbark'!E$47:E$48)*AB593</f>
        <v>28.854305805600003</v>
      </c>
      <c r="AG593">
        <f>LOOKUP($A593,'Over to underbark'!$A$47:$A$48,'Over to underbark'!E$47:E$48)*AC593</f>
        <v>30.870327312000004</v>
      </c>
      <c r="AH593" t="b">
        <f t="shared" si="140"/>
        <v>1</v>
      </c>
      <c r="AI593" t="b">
        <f t="shared" si="149"/>
        <v>1</v>
      </c>
      <c r="AJ593">
        <f>LOOKUP(A593,'Over to underbark'!$A$47:$A$48,'Over to underbark'!E$47:E$48)*M593</f>
        <v>142.46100000000001</v>
      </c>
      <c r="AK593" s="22">
        <f>LOOKUP(A593,'Over to underbark'!$A$47:$A$48,'Over to underbark'!$B$47:$B$48)*AJ593</f>
        <v>45.587520000000005</v>
      </c>
      <c r="AL593" s="22">
        <f>LOOKUP(A593,'Over to underbark'!$A$47:$A$48,'Over to underbark'!C$47:C$48)*AJ593</f>
        <v>69.805890000000005</v>
      </c>
      <c r="AM593" s="22">
        <f t="shared" si="141"/>
        <v>188.04852000000002</v>
      </c>
      <c r="AN593" s="36">
        <v>569.84</v>
      </c>
      <c r="AO593" s="23">
        <f t="shared" si="142"/>
        <v>376.09704000000005</v>
      </c>
      <c r="AQ593">
        <f t="shared" si="143"/>
        <v>0.68181818181818188</v>
      </c>
    </row>
    <row r="594" spans="1:43" x14ac:dyDescent="0.35">
      <c r="A594" t="s">
        <v>43</v>
      </c>
      <c r="B594">
        <v>10</v>
      </c>
      <c r="C594">
        <v>2</v>
      </c>
      <c r="D594" t="s">
        <v>42</v>
      </c>
      <c r="E594">
        <v>2</v>
      </c>
      <c r="F594">
        <v>1</v>
      </c>
      <c r="G594" s="12">
        <v>50</v>
      </c>
      <c r="H594" s="12">
        <v>18.584</v>
      </c>
      <c r="I594" s="12">
        <v>1605</v>
      </c>
      <c r="J594" s="12">
        <v>21.259</v>
      </c>
      <c r="K594" s="12">
        <v>56.972999999999999</v>
      </c>
      <c r="L594" s="12">
        <v>0.27700000000000002</v>
      </c>
      <c r="M594" s="19">
        <v>443.8</v>
      </c>
      <c r="N594" s="12">
        <v>4.1920000000000002</v>
      </c>
      <c r="O594" s="13">
        <v>8.8759999999999994</v>
      </c>
      <c r="P594" s="14">
        <v>50</v>
      </c>
      <c r="Q594" s="14">
        <v>21.259</v>
      </c>
      <c r="R594" s="14">
        <v>222.429</v>
      </c>
      <c r="S594" s="14">
        <v>221.37100000000001</v>
      </c>
      <c r="T594" s="10" t="b">
        <f t="shared" si="144"/>
        <v>1</v>
      </c>
      <c r="U594" s="10" t="b">
        <f t="shared" si="145"/>
        <v>1</v>
      </c>
      <c r="V594" s="11">
        <f>VLOOKUP(IF(J594&lt;10, 10, IF(J594&gt;50,50,J594)),'Over to underbark'!$A$3:$C$43,IF(A594="Scots pine",3,IF(A594="Sitka spruce",2, "error")),TRUE)/100</f>
        <v>0.9</v>
      </c>
      <c r="W594">
        <f t="shared" si="146"/>
        <v>180.16749000000002</v>
      </c>
      <c r="X594">
        <f t="shared" si="147"/>
        <v>179.31051000000002</v>
      </c>
      <c r="Y594">
        <f t="shared" si="148"/>
        <v>39.941999999999993</v>
      </c>
      <c r="Z594">
        <f t="shared" si="136"/>
        <v>171.99878313150003</v>
      </c>
      <c r="AA594">
        <f t="shared" si="137"/>
        <v>39.789423900000003</v>
      </c>
      <c r="AB594">
        <f t="shared" si="138"/>
        <v>88.652391448499998</v>
      </c>
      <c r="AC594">
        <f t="shared" si="139"/>
        <v>98.97940152000001</v>
      </c>
      <c r="AD594">
        <f>LOOKUP($A594,'Over to underbark'!$A$47:$A$48,'Over to underbark'!E$47:E$48)*Z594</f>
        <v>56.759598433395013</v>
      </c>
      <c r="AE594">
        <f>LOOKUP($A594,'Over to underbark'!$A$47:$A$48,'Over to underbark'!E$47:E$48)*AA594</f>
        <v>13.130509887000002</v>
      </c>
      <c r="AF594">
        <f>LOOKUP($A594,'Over to underbark'!$A$47:$A$48,'Over to underbark'!E$47:E$48)*AB594</f>
        <v>29.255289178005</v>
      </c>
      <c r="AG594">
        <f>LOOKUP($A594,'Over to underbark'!$A$47:$A$48,'Over to underbark'!E$47:E$48)*AC594</f>
        <v>32.663202501600004</v>
      </c>
      <c r="AH594" t="b">
        <f t="shared" si="140"/>
        <v>1</v>
      </c>
      <c r="AI594" t="b">
        <f t="shared" si="149"/>
        <v>1</v>
      </c>
      <c r="AJ594">
        <f>LOOKUP(A594,'Over to underbark'!$A$47:$A$48,'Over to underbark'!E$47:E$48)*M594</f>
        <v>146.45400000000001</v>
      </c>
      <c r="AK594" s="22">
        <f>LOOKUP(A594,'Over to underbark'!$A$47:$A$48,'Over to underbark'!$B$47:$B$48)*AJ594</f>
        <v>46.865280000000006</v>
      </c>
      <c r="AL594" s="22">
        <f>LOOKUP(A594,'Over to underbark'!$A$47:$A$48,'Over to underbark'!C$47:C$48)*AJ594</f>
        <v>71.762460000000004</v>
      </c>
      <c r="AM594" s="22">
        <f t="shared" si="141"/>
        <v>193.31928000000002</v>
      </c>
      <c r="AN594" s="36">
        <v>585.82000000000005</v>
      </c>
      <c r="AO594" s="23">
        <f t="shared" si="142"/>
        <v>386.63856000000004</v>
      </c>
      <c r="AQ594">
        <f t="shared" si="143"/>
        <v>0.68181818181818177</v>
      </c>
    </row>
    <row r="595" spans="1:43" x14ac:dyDescent="0.35">
      <c r="A595" t="s">
        <v>43</v>
      </c>
      <c r="B595">
        <v>10</v>
      </c>
      <c r="C595">
        <v>2</v>
      </c>
      <c r="D595" t="s">
        <v>42</v>
      </c>
      <c r="E595">
        <v>2</v>
      </c>
      <c r="F595">
        <v>1</v>
      </c>
      <c r="G595" s="12">
        <v>51</v>
      </c>
      <c r="H595" s="12">
        <v>18.902000000000001</v>
      </c>
      <c r="I595" s="12">
        <v>1578</v>
      </c>
      <c r="J595" s="12">
        <v>21.542000000000002</v>
      </c>
      <c r="K595" s="12">
        <v>57.512</v>
      </c>
      <c r="L595" s="12">
        <v>0.28899999999999998</v>
      </c>
      <c r="M595" s="19">
        <v>455.9</v>
      </c>
      <c r="N595" s="12">
        <v>4.4359999999999999</v>
      </c>
      <c r="O595" s="13">
        <v>8.9390000000000001</v>
      </c>
      <c r="P595" s="14">
        <v>51</v>
      </c>
      <c r="Q595" s="14">
        <v>21.542000000000002</v>
      </c>
      <c r="R595" s="14">
        <v>221.99</v>
      </c>
      <c r="S595" s="14">
        <v>233.91</v>
      </c>
      <c r="T595" s="10" t="b">
        <f t="shared" si="144"/>
        <v>1</v>
      </c>
      <c r="U595" s="10" t="b">
        <f t="shared" si="145"/>
        <v>1</v>
      </c>
      <c r="V595" s="11">
        <f>VLOOKUP(IF(J595&lt;10, 10, IF(J595&gt;50,50,J595)),'Over to underbark'!$A$3:$C$43,IF(A595="Scots pine",3,IF(A595="Sitka spruce",2, "error")),TRUE)/100</f>
        <v>0.9</v>
      </c>
      <c r="W595">
        <f t="shared" si="146"/>
        <v>179.81190000000004</v>
      </c>
      <c r="X595">
        <f t="shared" si="147"/>
        <v>189.46710000000002</v>
      </c>
      <c r="Y595">
        <f t="shared" si="148"/>
        <v>41.030999999999992</v>
      </c>
      <c r="Z595">
        <f t="shared" si="136"/>
        <v>175.63811926500003</v>
      </c>
      <c r="AA595">
        <f t="shared" si="137"/>
        <v>40.294809000000001</v>
      </c>
      <c r="AB595">
        <f t="shared" si="138"/>
        <v>89.791232535000006</v>
      </c>
      <c r="AC595">
        <f t="shared" si="139"/>
        <v>104.58583920000001</v>
      </c>
      <c r="AD595">
        <f>LOOKUP($A595,'Over to underbark'!$A$47:$A$48,'Over to underbark'!E$47:E$48)*Z595</f>
        <v>57.960579357450015</v>
      </c>
      <c r="AE595">
        <f>LOOKUP($A595,'Over to underbark'!$A$47:$A$48,'Over to underbark'!E$47:E$48)*AA595</f>
        <v>13.29728697</v>
      </c>
      <c r="AF595">
        <f>LOOKUP($A595,'Over to underbark'!$A$47:$A$48,'Over to underbark'!E$47:E$48)*AB595</f>
        <v>29.631106736550002</v>
      </c>
      <c r="AG595">
        <f>LOOKUP($A595,'Over to underbark'!$A$47:$A$48,'Over to underbark'!E$47:E$48)*AC595</f>
        <v>34.513326936000006</v>
      </c>
      <c r="AH595" t="b">
        <f t="shared" si="140"/>
        <v>1</v>
      </c>
      <c r="AI595" t="b">
        <f t="shared" si="149"/>
        <v>1</v>
      </c>
      <c r="AJ595">
        <f>LOOKUP(A595,'Over to underbark'!$A$47:$A$48,'Over to underbark'!E$47:E$48)*M595</f>
        <v>150.447</v>
      </c>
      <c r="AK595" s="22">
        <f>LOOKUP(A595,'Over to underbark'!$A$47:$A$48,'Over to underbark'!$B$47:$B$48)*AJ595</f>
        <v>48.143039999999999</v>
      </c>
      <c r="AL595" s="22">
        <f>LOOKUP(A595,'Over to underbark'!$A$47:$A$48,'Over to underbark'!C$47:C$48)*AJ595</f>
        <v>73.719030000000004</v>
      </c>
      <c r="AM595" s="22">
        <f t="shared" si="141"/>
        <v>198.59003999999999</v>
      </c>
      <c r="AN595" s="36">
        <v>601.79</v>
      </c>
      <c r="AO595" s="23">
        <f t="shared" si="142"/>
        <v>397.18007999999998</v>
      </c>
      <c r="AQ595">
        <f t="shared" si="143"/>
        <v>0.68181818181818199</v>
      </c>
    </row>
    <row r="596" spans="1:43" x14ac:dyDescent="0.35">
      <c r="A596" t="s">
        <v>43</v>
      </c>
      <c r="B596">
        <v>10</v>
      </c>
      <c r="C596">
        <v>2</v>
      </c>
      <c r="D596" t="s">
        <v>42</v>
      </c>
      <c r="E596">
        <v>2</v>
      </c>
      <c r="F596">
        <v>1</v>
      </c>
      <c r="G596" s="12">
        <v>52</v>
      </c>
      <c r="H596" s="12">
        <v>19.22</v>
      </c>
      <c r="I596" s="12">
        <v>1551</v>
      </c>
      <c r="J596" s="12">
        <v>21.83</v>
      </c>
      <c r="K596" s="12">
        <v>58.051000000000002</v>
      </c>
      <c r="L596" s="12">
        <v>0.30199999999999999</v>
      </c>
      <c r="M596" s="19">
        <v>468</v>
      </c>
      <c r="N596" s="12">
        <v>4.665</v>
      </c>
      <c r="O596" s="13">
        <v>9</v>
      </c>
      <c r="P596" s="14">
        <v>52</v>
      </c>
      <c r="Q596" s="14">
        <v>21.83</v>
      </c>
      <c r="R596" s="14">
        <v>221.21899999999999</v>
      </c>
      <c r="S596" s="14">
        <v>246.78100000000001</v>
      </c>
      <c r="T596" s="10" t="b">
        <f t="shared" si="144"/>
        <v>1</v>
      </c>
      <c r="U596" s="10" t="b">
        <f t="shared" si="145"/>
        <v>1</v>
      </c>
      <c r="V596" s="11">
        <f>VLOOKUP(IF(J596&lt;10, 10, IF(J596&gt;50,50,J596)),'Over to underbark'!$A$3:$C$43,IF(A596="Scots pine",3,IF(A596="Sitka spruce",2, "error")),TRUE)/100</f>
        <v>0.9</v>
      </c>
      <c r="W596">
        <f t="shared" si="146"/>
        <v>179.18739000000002</v>
      </c>
      <c r="X596">
        <f t="shared" si="147"/>
        <v>199.89261000000002</v>
      </c>
      <c r="Y596">
        <f t="shared" si="148"/>
        <v>42.11999999999999</v>
      </c>
      <c r="Z596">
        <f t="shared" si="136"/>
        <v>179.22384619650001</v>
      </c>
      <c r="AA596">
        <f t="shared" si="137"/>
        <v>40.770612899999996</v>
      </c>
      <c r="AB596">
        <f t="shared" si="138"/>
        <v>90.864820183500001</v>
      </c>
      <c r="AC596">
        <f t="shared" si="139"/>
        <v>110.34072072000001</v>
      </c>
      <c r="AD596">
        <f>LOOKUP($A596,'Over to underbark'!$A$47:$A$48,'Over to underbark'!E$47:E$48)*Z596</f>
        <v>59.143869244845007</v>
      </c>
      <c r="AE596">
        <f>LOOKUP($A596,'Over to underbark'!$A$47:$A$48,'Over to underbark'!E$47:E$48)*AA596</f>
        <v>13.454302257</v>
      </c>
      <c r="AF596">
        <f>LOOKUP($A596,'Over to underbark'!$A$47:$A$48,'Over to underbark'!E$47:E$48)*AB596</f>
        <v>29.985390660555002</v>
      </c>
      <c r="AG596">
        <f>LOOKUP($A596,'Over to underbark'!$A$47:$A$48,'Over to underbark'!E$47:E$48)*AC596</f>
        <v>36.412437837600002</v>
      </c>
      <c r="AH596" t="b">
        <f t="shared" si="140"/>
        <v>1</v>
      </c>
      <c r="AI596" t="b">
        <f t="shared" si="149"/>
        <v>1</v>
      </c>
      <c r="AJ596">
        <f>LOOKUP(A596,'Over to underbark'!$A$47:$A$48,'Over to underbark'!E$47:E$48)*M596</f>
        <v>154.44</v>
      </c>
      <c r="AK596" s="22">
        <f>LOOKUP(A596,'Over to underbark'!$A$47:$A$48,'Over to underbark'!$B$47:$B$48)*AJ596</f>
        <v>49.4208</v>
      </c>
      <c r="AL596" s="22">
        <f>LOOKUP(A596,'Over to underbark'!$A$47:$A$48,'Over to underbark'!C$47:C$48)*AJ596</f>
        <v>75.675600000000003</v>
      </c>
      <c r="AM596" s="22">
        <f t="shared" si="141"/>
        <v>203.86079999999998</v>
      </c>
      <c r="AN596" s="36">
        <v>617.76</v>
      </c>
      <c r="AO596" s="23">
        <f t="shared" si="142"/>
        <v>407.72159999999997</v>
      </c>
      <c r="AQ596">
        <f t="shared" si="143"/>
        <v>0.68181818181818188</v>
      </c>
    </row>
    <row r="597" spans="1:43" x14ac:dyDescent="0.35">
      <c r="A597" t="s">
        <v>43</v>
      </c>
      <c r="B597">
        <v>10</v>
      </c>
      <c r="C597">
        <v>2</v>
      </c>
      <c r="D597" t="s">
        <v>42</v>
      </c>
      <c r="E597">
        <v>2</v>
      </c>
      <c r="F597">
        <v>1</v>
      </c>
      <c r="G597" s="12">
        <v>53</v>
      </c>
      <c r="H597" s="12">
        <v>19.492000000000001</v>
      </c>
      <c r="I597" s="12">
        <v>1528</v>
      </c>
      <c r="J597" s="12">
        <v>22.068000000000001</v>
      </c>
      <c r="K597" s="12">
        <v>58.445999999999998</v>
      </c>
      <c r="L597" s="12">
        <v>0.313</v>
      </c>
      <c r="M597" s="19">
        <v>478.2</v>
      </c>
      <c r="N597" s="12">
        <v>4.9489999999999998</v>
      </c>
      <c r="O597" s="13">
        <v>9.0229999999999997</v>
      </c>
      <c r="P597" s="14">
        <v>53</v>
      </c>
      <c r="Q597" s="14">
        <v>22.068000000000001</v>
      </c>
      <c r="R597" s="14">
        <v>220.51599999999999</v>
      </c>
      <c r="S597" s="14">
        <v>257.68400000000003</v>
      </c>
      <c r="T597" s="10" t="b">
        <f t="shared" si="144"/>
        <v>1</v>
      </c>
      <c r="U597" s="10" t="b">
        <f t="shared" si="145"/>
        <v>1</v>
      </c>
      <c r="V597" s="11">
        <f>VLOOKUP(IF(J597&lt;10, 10, IF(J597&gt;50,50,J597)),'Over to underbark'!$A$3:$C$43,IF(A597="Scots pine",3,IF(A597="Sitka spruce",2, "error")),TRUE)/100</f>
        <v>0.9</v>
      </c>
      <c r="W597">
        <f t="shared" si="146"/>
        <v>178.61795999999998</v>
      </c>
      <c r="X597">
        <f t="shared" si="147"/>
        <v>208.72404000000003</v>
      </c>
      <c r="Y597">
        <f t="shared" si="148"/>
        <v>43.037999999999997</v>
      </c>
      <c r="Z597">
        <f t="shared" si="136"/>
        <v>182.23795632599999</v>
      </c>
      <c r="AA597">
        <f t="shared" si="137"/>
        <v>41.166975600000001</v>
      </c>
      <c r="AB597">
        <f t="shared" si="138"/>
        <v>91.759397994000011</v>
      </c>
      <c r="AC597">
        <f t="shared" si="139"/>
        <v>115.21567008000002</v>
      </c>
      <c r="AD597">
        <f>LOOKUP($A597,'Over to underbark'!$A$47:$A$48,'Over to underbark'!E$47:E$48)*Z597</f>
        <v>60.138525587579998</v>
      </c>
      <c r="AE597">
        <f>LOOKUP($A597,'Over to underbark'!$A$47:$A$48,'Over to underbark'!E$47:E$48)*AA597</f>
        <v>13.585101948</v>
      </c>
      <c r="AF597">
        <f>LOOKUP($A597,'Over to underbark'!$A$47:$A$48,'Over to underbark'!E$47:E$48)*AB597</f>
        <v>30.280601338020006</v>
      </c>
      <c r="AG597">
        <f>LOOKUP($A597,'Over to underbark'!$A$47:$A$48,'Over to underbark'!E$47:E$48)*AC597</f>
        <v>38.021171126400013</v>
      </c>
      <c r="AH597" t="b">
        <f t="shared" si="140"/>
        <v>1</v>
      </c>
      <c r="AI597" t="b">
        <f t="shared" si="149"/>
        <v>1</v>
      </c>
      <c r="AJ597">
        <f>LOOKUP(A597,'Over to underbark'!$A$47:$A$48,'Over to underbark'!E$47:E$48)*M597</f>
        <v>157.80600000000001</v>
      </c>
      <c r="AK597" s="22">
        <f>LOOKUP(A597,'Over to underbark'!$A$47:$A$48,'Over to underbark'!$B$47:$B$48)*AJ597</f>
        <v>50.497920000000008</v>
      </c>
      <c r="AL597" s="22">
        <f>LOOKUP(A597,'Over to underbark'!$A$47:$A$48,'Over to underbark'!C$47:C$48)*AJ597</f>
        <v>77.324939999999998</v>
      </c>
      <c r="AM597" s="22">
        <f t="shared" si="141"/>
        <v>208.30392000000001</v>
      </c>
      <c r="AN597" s="36">
        <v>631.22</v>
      </c>
      <c r="AO597" s="23">
        <f t="shared" si="142"/>
        <v>416.60784000000001</v>
      </c>
      <c r="AQ597">
        <f t="shared" si="143"/>
        <v>0.68181818181818188</v>
      </c>
    </row>
    <row r="598" spans="1:43" x14ac:dyDescent="0.35">
      <c r="A598" t="s">
        <v>43</v>
      </c>
      <c r="B598">
        <v>10</v>
      </c>
      <c r="C598">
        <v>2</v>
      </c>
      <c r="D598" t="s">
        <v>42</v>
      </c>
      <c r="E598">
        <v>2</v>
      </c>
      <c r="F598">
        <v>1</v>
      </c>
      <c r="G598" s="12">
        <v>54</v>
      </c>
      <c r="H598" s="12">
        <v>19.763999999999999</v>
      </c>
      <c r="I598" s="12">
        <v>1505</v>
      </c>
      <c r="J598" s="12">
        <v>22.311</v>
      </c>
      <c r="K598" s="12">
        <v>58.841000000000001</v>
      </c>
      <c r="L598" s="12">
        <v>0.32500000000000001</v>
      </c>
      <c r="M598" s="19">
        <v>488.4</v>
      </c>
      <c r="N598" s="12">
        <v>5.22</v>
      </c>
      <c r="O598" s="13">
        <v>9.0440000000000005</v>
      </c>
      <c r="P598" s="14">
        <v>54</v>
      </c>
      <c r="Q598" s="14">
        <v>22.311</v>
      </c>
      <c r="R598" s="14">
        <v>219.559</v>
      </c>
      <c r="S598" s="14">
        <v>268.84100000000001</v>
      </c>
      <c r="T598" s="10" t="b">
        <f t="shared" si="144"/>
        <v>1</v>
      </c>
      <c r="U598" s="10" t="b">
        <f t="shared" si="145"/>
        <v>1</v>
      </c>
      <c r="V598" s="11">
        <f>VLOOKUP(IF(J598&lt;10, 10, IF(J598&gt;50,50,J598)),'Over to underbark'!$A$3:$C$43,IF(A598="Scots pine",3,IF(A598="Sitka spruce",2, "error")),TRUE)/100</f>
        <v>0.9</v>
      </c>
      <c r="W598">
        <f t="shared" si="146"/>
        <v>177.84279000000001</v>
      </c>
      <c r="X598">
        <f t="shared" si="147"/>
        <v>217.76121000000003</v>
      </c>
      <c r="Y598">
        <f t="shared" si="148"/>
        <v>43.955999999999989</v>
      </c>
      <c r="Z598">
        <f t="shared" si="136"/>
        <v>185.21105218650001</v>
      </c>
      <c r="AA598">
        <f t="shared" si="137"/>
        <v>41.540706899999996</v>
      </c>
      <c r="AB598">
        <f t="shared" si="138"/>
        <v>92.604052993499991</v>
      </c>
      <c r="AC598">
        <f t="shared" si="139"/>
        <v>120.20418792000002</v>
      </c>
      <c r="AD598">
        <f>LOOKUP($A598,'Over to underbark'!$A$47:$A$48,'Over to underbark'!E$47:E$48)*Z598</f>
        <v>61.119647221545009</v>
      </c>
      <c r="AE598">
        <f>LOOKUP($A598,'Over to underbark'!$A$47:$A$48,'Over to underbark'!E$47:E$48)*AA598</f>
        <v>13.708433276999999</v>
      </c>
      <c r="AF598">
        <f>LOOKUP($A598,'Over to underbark'!$A$47:$A$48,'Over to underbark'!E$47:E$48)*AB598</f>
        <v>30.559337487855</v>
      </c>
      <c r="AG598">
        <f>LOOKUP($A598,'Over to underbark'!$A$47:$A$48,'Over to underbark'!E$47:E$48)*AC598</f>
        <v>39.667382013600012</v>
      </c>
      <c r="AH598" t="b">
        <f t="shared" si="140"/>
        <v>1</v>
      </c>
      <c r="AI598" t="b">
        <f t="shared" si="149"/>
        <v>1</v>
      </c>
      <c r="AJ598">
        <f>LOOKUP(A598,'Over to underbark'!$A$47:$A$48,'Over to underbark'!E$47:E$48)*M598</f>
        <v>161.172</v>
      </c>
      <c r="AK598" s="22">
        <f>LOOKUP(A598,'Over to underbark'!$A$47:$A$48,'Over to underbark'!$B$47:$B$48)*AJ598</f>
        <v>51.575040000000001</v>
      </c>
      <c r="AL598" s="22">
        <f>LOOKUP(A598,'Over to underbark'!$A$47:$A$48,'Over to underbark'!C$47:C$48)*AJ598</f>
        <v>78.974279999999993</v>
      </c>
      <c r="AM598" s="22">
        <f t="shared" si="141"/>
        <v>212.74704</v>
      </c>
      <c r="AN598" s="36">
        <v>644.69000000000005</v>
      </c>
      <c r="AO598" s="23">
        <f t="shared" si="142"/>
        <v>425.49408</v>
      </c>
      <c r="AQ598">
        <f t="shared" si="143"/>
        <v>0.68181818181818199</v>
      </c>
    </row>
    <row r="599" spans="1:43" x14ac:dyDescent="0.35">
      <c r="A599" t="s">
        <v>43</v>
      </c>
      <c r="B599">
        <v>10</v>
      </c>
      <c r="C599">
        <v>2</v>
      </c>
      <c r="D599" t="s">
        <v>42</v>
      </c>
      <c r="E599">
        <v>2</v>
      </c>
      <c r="F599">
        <v>1</v>
      </c>
      <c r="G599" s="12">
        <v>55</v>
      </c>
      <c r="H599" s="12">
        <v>20.036000000000001</v>
      </c>
      <c r="I599" s="12">
        <v>1482</v>
      </c>
      <c r="J599" s="12">
        <v>22.559000000000001</v>
      </c>
      <c r="K599" s="12">
        <v>59.235999999999997</v>
      </c>
      <c r="L599" s="12">
        <v>0.33600000000000002</v>
      </c>
      <c r="M599" s="19">
        <v>498.6</v>
      </c>
      <c r="N599" s="12">
        <v>5.4790000000000001</v>
      </c>
      <c r="O599" s="13">
        <v>9.0649999999999995</v>
      </c>
      <c r="P599" s="14">
        <v>55</v>
      </c>
      <c r="Q599" s="14">
        <v>22.559000000000001</v>
      </c>
      <c r="R599" s="14">
        <v>218.35300000000001</v>
      </c>
      <c r="S599" s="14">
        <v>280.24700000000001</v>
      </c>
      <c r="T599" s="10" t="b">
        <f t="shared" si="144"/>
        <v>1</v>
      </c>
      <c r="U599" s="10" t="b">
        <f t="shared" si="145"/>
        <v>1</v>
      </c>
      <c r="V599" s="11">
        <f>VLOOKUP(IF(J599&lt;10, 10, IF(J599&gt;50,50,J599)),'Over to underbark'!$A$3:$C$43,IF(A599="Scots pine",3,IF(A599="Sitka spruce",2, "error")),TRUE)/100</f>
        <v>0.9</v>
      </c>
      <c r="W599">
        <f t="shared" si="146"/>
        <v>176.86593000000002</v>
      </c>
      <c r="X599">
        <f t="shared" si="147"/>
        <v>227.00007000000002</v>
      </c>
      <c r="Y599">
        <f t="shared" si="148"/>
        <v>44.873999999999988</v>
      </c>
      <c r="Z599">
        <f t="shared" si="136"/>
        <v>188.14394114550004</v>
      </c>
      <c r="AA599">
        <f t="shared" si="137"/>
        <v>41.892252299999996</v>
      </c>
      <c r="AB599">
        <f t="shared" si="138"/>
        <v>93.399767914500018</v>
      </c>
      <c r="AC599">
        <f t="shared" si="139"/>
        <v>125.30403864</v>
      </c>
      <c r="AD599">
        <f>LOOKUP($A599,'Over to underbark'!$A$47:$A$48,'Over to underbark'!E$47:E$48)*Z599</f>
        <v>62.087500578015018</v>
      </c>
      <c r="AE599">
        <f>LOOKUP($A599,'Over to underbark'!$A$47:$A$48,'Over to underbark'!E$47:E$48)*AA599</f>
        <v>13.824443258999999</v>
      </c>
      <c r="AF599">
        <f>LOOKUP($A599,'Over to underbark'!$A$47:$A$48,'Over to underbark'!E$47:E$48)*AB599</f>
        <v>30.821923411785008</v>
      </c>
      <c r="AG599">
        <f>LOOKUP($A599,'Over to underbark'!$A$47:$A$48,'Over to underbark'!E$47:E$48)*AC599</f>
        <v>41.3503327512</v>
      </c>
      <c r="AH599" t="b">
        <f t="shared" si="140"/>
        <v>1</v>
      </c>
      <c r="AI599" t="b">
        <f t="shared" si="149"/>
        <v>1</v>
      </c>
      <c r="AJ599">
        <f>LOOKUP(A599,'Over to underbark'!$A$47:$A$48,'Over to underbark'!E$47:E$48)*M599</f>
        <v>164.53800000000001</v>
      </c>
      <c r="AK599" s="22">
        <f>LOOKUP(A599,'Over to underbark'!$A$47:$A$48,'Over to underbark'!$B$47:$B$48)*AJ599</f>
        <v>52.652160000000002</v>
      </c>
      <c r="AL599" s="22">
        <f>LOOKUP(A599,'Over to underbark'!$A$47:$A$48,'Over to underbark'!C$47:C$48)*AJ599</f>
        <v>80.623620000000003</v>
      </c>
      <c r="AM599" s="22">
        <f t="shared" si="141"/>
        <v>217.19016000000002</v>
      </c>
      <c r="AN599" s="36">
        <v>658.15</v>
      </c>
      <c r="AO599" s="23">
        <f t="shared" si="142"/>
        <v>434.38032000000004</v>
      </c>
      <c r="AQ599">
        <f t="shared" si="143"/>
        <v>0.68181818181818177</v>
      </c>
    </row>
    <row r="600" spans="1:43" x14ac:dyDescent="0.35">
      <c r="A600" t="s">
        <v>43</v>
      </c>
      <c r="B600">
        <v>10</v>
      </c>
      <c r="C600">
        <v>2</v>
      </c>
      <c r="D600" t="s">
        <v>42</v>
      </c>
      <c r="E600">
        <v>2</v>
      </c>
      <c r="F600">
        <v>1</v>
      </c>
      <c r="G600" s="12">
        <v>56</v>
      </c>
      <c r="H600" s="12">
        <v>20.308</v>
      </c>
      <c r="I600" s="12">
        <v>1459</v>
      </c>
      <c r="J600" s="12">
        <v>22.812000000000001</v>
      </c>
      <c r="K600" s="12">
        <v>59.631</v>
      </c>
      <c r="L600" s="12">
        <v>0.34899999999999998</v>
      </c>
      <c r="M600" s="19">
        <v>508.8</v>
      </c>
      <c r="N600" s="12">
        <v>5.7249999999999996</v>
      </c>
      <c r="O600" s="13">
        <v>9.0860000000000003</v>
      </c>
      <c r="P600" s="14">
        <v>56</v>
      </c>
      <c r="Q600" s="14">
        <v>22.812000000000001</v>
      </c>
      <c r="R600" s="14">
        <v>216.904</v>
      </c>
      <c r="S600" s="14">
        <v>291.89600000000002</v>
      </c>
      <c r="T600" s="10" t="b">
        <f t="shared" si="144"/>
        <v>1</v>
      </c>
      <c r="U600" s="10" t="b">
        <f t="shared" si="145"/>
        <v>1</v>
      </c>
      <c r="V600" s="11">
        <f>VLOOKUP(IF(J600&lt;10, 10, IF(J600&gt;50,50,J600)),'Over to underbark'!$A$3:$C$43,IF(A600="Scots pine",3,IF(A600="Sitka spruce",2, "error")),TRUE)/100</f>
        <v>0.9</v>
      </c>
      <c r="W600">
        <f t="shared" si="146"/>
        <v>175.69224000000003</v>
      </c>
      <c r="X600">
        <f t="shared" si="147"/>
        <v>236.43576000000004</v>
      </c>
      <c r="Y600">
        <f t="shared" si="148"/>
        <v>45.791999999999994</v>
      </c>
      <c r="Z600">
        <f t="shared" si="136"/>
        <v>191.03759204400004</v>
      </c>
      <c r="AA600">
        <f t="shared" si="137"/>
        <v>42.2221464</v>
      </c>
      <c r="AB600">
        <f t="shared" si="138"/>
        <v>94.147722036000019</v>
      </c>
      <c r="AC600">
        <f t="shared" si="139"/>
        <v>130.51253952000005</v>
      </c>
      <c r="AD600">
        <f>LOOKUP($A600,'Over to underbark'!$A$47:$A$48,'Over to underbark'!E$47:E$48)*Z600</f>
        <v>63.042405374520015</v>
      </c>
      <c r="AE600">
        <f>LOOKUP($A600,'Over to underbark'!$A$47:$A$48,'Over to underbark'!E$47:E$48)*AA600</f>
        <v>13.933308312000001</v>
      </c>
      <c r="AF600">
        <f>LOOKUP($A600,'Over to underbark'!$A$47:$A$48,'Over to underbark'!E$47:E$48)*AB600</f>
        <v>31.068748271880008</v>
      </c>
      <c r="AG600">
        <f>LOOKUP($A600,'Over to underbark'!$A$47:$A$48,'Over to underbark'!E$47:E$48)*AC600</f>
        <v>43.06913804160002</v>
      </c>
      <c r="AH600" t="b">
        <f t="shared" si="140"/>
        <v>1</v>
      </c>
      <c r="AI600" t="b">
        <f t="shared" si="149"/>
        <v>1</v>
      </c>
      <c r="AJ600">
        <f>LOOKUP(A600,'Over to underbark'!$A$47:$A$48,'Over to underbark'!E$47:E$48)*M600</f>
        <v>167.90400000000002</v>
      </c>
      <c r="AK600" s="22">
        <f>LOOKUP(A600,'Over to underbark'!$A$47:$A$48,'Over to underbark'!$B$47:$B$48)*AJ600</f>
        <v>53.72928000000001</v>
      </c>
      <c r="AL600" s="22">
        <f>LOOKUP(A600,'Over to underbark'!$A$47:$A$48,'Over to underbark'!C$47:C$48)*AJ600</f>
        <v>82.272960000000012</v>
      </c>
      <c r="AM600" s="22">
        <f t="shared" si="141"/>
        <v>221.63328000000004</v>
      </c>
      <c r="AN600" s="36">
        <v>671.62</v>
      </c>
      <c r="AO600" s="23">
        <f t="shared" si="142"/>
        <v>443.26656000000008</v>
      </c>
      <c r="AQ600">
        <f t="shared" si="143"/>
        <v>0.68181818181818188</v>
      </c>
    </row>
    <row r="601" spans="1:43" x14ac:dyDescent="0.35">
      <c r="A601" t="s">
        <v>43</v>
      </c>
      <c r="B601">
        <v>10</v>
      </c>
      <c r="C601">
        <v>2</v>
      </c>
      <c r="D601" t="s">
        <v>42</v>
      </c>
      <c r="E601">
        <v>2</v>
      </c>
      <c r="F601">
        <v>1</v>
      </c>
      <c r="G601" s="12">
        <v>57</v>
      </c>
      <c r="H601" s="12">
        <v>20.58</v>
      </c>
      <c r="I601" s="12">
        <v>1436</v>
      </c>
      <c r="J601" s="12">
        <v>23.07</v>
      </c>
      <c r="K601" s="12">
        <v>60.026000000000003</v>
      </c>
      <c r="L601" s="12">
        <v>0.36099999999999999</v>
      </c>
      <c r="M601" s="19">
        <v>519</v>
      </c>
      <c r="N601" s="12">
        <v>5.9610000000000003</v>
      </c>
      <c r="O601" s="13">
        <v>9.1050000000000004</v>
      </c>
      <c r="P601" s="14">
        <v>57</v>
      </c>
      <c r="Q601" s="14">
        <v>23.07</v>
      </c>
      <c r="R601" s="14">
        <v>215.21899999999999</v>
      </c>
      <c r="S601" s="14">
        <v>303.78100000000001</v>
      </c>
      <c r="T601" s="10" t="b">
        <f t="shared" si="144"/>
        <v>1</v>
      </c>
      <c r="U601" s="10" t="b">
        <f t="shared" si="145"/>
        <v>1</v>
      </c>
      <c r="V601" s="11">
        <f>VLOOKUP(IF(J601&lt;10, 10, IF(J601&gt;50,50,J601)),'Over to underbark'!$A$3:$C$43,IF(A601="Scots pine",3,IF(A601="Sitka spruce",2, "error")),TRUE)/100</f>
        <v>0.9</v>
      </c>
      <c r="W601">
        <f t="shared" si="146"/>
        <v>174.32739000000001</v>
      </c>
      <c r="X601">
        <f t="shared" si="147"/>
        <v>246.06261000000001</v>
      </c>
      <c r="Y601">
        <f t="shared" si="148"/>
        <v>46.709999999999994</v>
      </c>
      <c r="Z601">
        <f t="shared" si="136"/>
        <v>193.8931351965</v>
      </c>
      <c r="AA601">
        <f t="shared" si="137"/>
        <v>42.531012899999993</v>
      </c>
      <c r="AB601">
        <f t="shared" si="138"/>
        <v>94.849291183500014</v>
      </c>
      <c r="AC601">
        <f t="shared" si="139"/>
        <v>135.82656072</v>
      </c>
      <c r="AD601">
        <f>LOOKUP($A601,'Over to underbark'!$A$47:$A$48,'Over to underbark'!E$47:E$48)*Z601</f>
        <v>63.984734614845003</v>
      </c>
      <c r="AE601">
        <f>LOOKUP($A601,'Over to underbark'!$A$47:$A$48,'Over to underbark'!E$47:E$48)*AA601</f>
        <v>14.035234256999999</v>
      </c>
      <c r="AF601">
        <f>LOOKUP($A601,'Over to underbark'!$A$47:$A$48,'Over to underbark'!E$47:E$48)*AB601</f>
        <v>31.300266090555006</v>
      </c>
      <c r="AG601">
        <f>LOOKUP($A601,'Over to underbark'!$A$47:$A$48,'Over to underbark'!E$47:E$48)*AC601</f>
        <v>44.8227650376</v>
      </c>
      <c r="AH601" t="b">
        <f t="shared" si="140"/>
        <v>1</v>
      </c>
      <c r="AI601" t="b">
        <f t="shared" si="149"/>
        <v>1</v>
      </c>
      <c r="AJ601">
        <f>LOOKUP(A601,'Over to underbark'!$A$47:$A$48,'Over to underbark'!E$47:E$48)*M601</f>
        <v>171.27</v>
      </c>
      <c r="AK601" s="22">
        <f>LOOKUP(A601,'Over to underbark'!$A$47:$A$48,'Over to underbark'!$B$47:$B$48)*AJ601</f>
        <v>54.806400000000004</v>
      </c>
      <c r="AL601" s="22">
        <f>LOOKUP(A601,'Over to underbark'!$A$47:$A$48,'Over to underbark'!C$47:C$48)*AJ601</f>
        <v>83.922300000000007</v>
      </c>
      <c r="AM601" s="22">
        <f t="shared" si="141"/>
        <v>226.07640000000001</v>
      </c>
      <c r="AN601" s="36">
        <v>685.08</v>
      </c>
      <c r="AO601" s="23">
        <f t="shared" si="142"/>
        <v>452.15280000000001</v>
      </c>
      <c r="AQ601">
        <f t="shared" si="143"/>
        <v>0.68181818181818177</v>
      </c>
    </row>
    <row r="602" spans="1:43" x14ac:dyDescent="0.35">
      <c r="A602" t="s">
        <v>43</v>
      </c>
      <c r="B602">
        <v>10</v>
      </c>
      <c r="C602">
        <v>2</v>
      </c>
      <c r="D602" t="s">
        <v>42</v>
      </c>
      <c r="E602">
        <v>2</v>
      </c>
      <c r="F602">
        <v>1</v>
      </c>
      <c r="G602" s="12">
        <v>58</v>
      </c>
      <c r="H602" s="12">
        <v>20.803999999999998</v>
      </c>
      <c r="I602" s="12">
        <v>1418</v>
      </c>
      <c r="J602" s="12">
        <v>23.280999999999999</v>
      </c>
      <c r="K602" s="12">
        <v>60.362000000000002</v>
      </c>
      <c r="L602" s="12">
        <v>0.372</v>
      </c>
      <c r="M602" s="19">
        <v>527.36</v>
      </c>
      <c r="N602" s="12">
        <v>6.2370000000000001</v>
      </c>
      <c r="O602" s="13">
        <v>9.0920000000000005</v>
      </c>
      <c r="P602" s="14">
        <v>58</v>
      </c>
      <c r="Q602" s="14">
        <v>23.280999999999999</v>
      </c>
      <c r="R602" s="14">
        <v>213.76499999999999</v>
      </c>
      <c r="S602" s="14">
        <v>313.59500000000003</v>
      </c>
      <c r="T602" s="10" t="b">
        <f t="shared" si="144"/>
        <v>1</v>
      </c>
      <c r="U602" s="10" t="b">
        <f t="shared" si="145"/>
        <v>1</v>
      </c>
      <c r="V602" s="11">
        <f>VLOOKUP(IF(J602&lt;10, 10, IF(J602&gt;50,50,J602)),'Over to underbark'!$A$3:$C$43,IF(A602="Scots pine",3,IF(A602="Sitka spruce",2, "error")),TRUE)/100</f>
        <v>0.9</v>
      </c>
      <c r="W602">
        <f t="shared" si="146"/>
        <v>173.14965000000001</v>
      </c>
      <c r="X602">
        <f t="shared" si="147"/>
        <v>254.01195000000007</v>
      </c>
      <c r="Y602">
        <f t="shared" si="148"/>
        <v>47.462399999999995</v>
      </c>
      <c r="Z602">
        <f t="shared" si="136"/>
        <v>196.22177952750002</v>
      </c>
      <c r="AA602">
        <f t="shared" si="137"/>
        <v>42.777661499999994</v>
      </c>
      <c r="AB602">
        <f t="shared" si="138"/>
        <v>95.409962572500021</v>
      </c>
      <c r="AC602">
        <f t="shared" si="139"/>
        <v>140.21459640000003</v>
      </c>
      <c r="AD602">
        <f>LOOKUP($A602,'Over to underbark'!$A$47:$A$48,'Over to underbark'!E$47:E$48)*Z602</f>
        <v>64.753187244075008</v>
      </c>
      <c r="AE602">
        <f>LOOKUP($A602,'Over to underbark'!$A$47:$A$48,'Over to underbark'!E$47:E$48)*AA602</f>
        <v>14.116628294999998</v>
      </c>
      <c r="AF602">
        <f>LOOKUP($A602,'Over to underbark'!$A$47:$A$48,'Over to underbark'!E$47:E$48)*AB602</f>
        <v>31.485287648925009</v>
      </c>
      <c r="AG602">
        <f>LOOKUP($A602,'Over to underbark'!$A$47:$A$48,'Over to underbark'!E$47:E$48)*AC602</f>
        <v>46.270816812000014</v>
      </c>
      <c r="AH602" t="b">
        <f t="shared" si="140"/>
        <v>1</v>
      </c>
      <c r="AI602" t="b">
        <f t="shared" si="149"/>
        <v>1</v>
      </c>
      <c r="AJ602">
        <f>LOOKUP(A602,'Over to underbark'!$A$47:$A$48,'Over to underbark'!E$47:E$48)*M602</f>
        <v>174.02880000000002</v>
      </c>
      <c r="AK602" s="22">
        <f>LOOKUP(A602,'Over to underbark'!$A$47:$A$48,'Over to underbark'!$B$47:$B$48)*AJ602</f>
        <v>55.689216000000009</v>
      </c>
      <c r="AL602" s="22">
        <f>LOOKUP(A602,'Over to underbark'!$A$47:$A$48,'Over to underbark'!C$47:C$48)*AJ602</f>
        <v>85.274112000000002</v>
      </c>
      <c r="AM602" s="22">
        <f t="shared" si="141"/>
        <v>229.71801600000003</v>
      </c>
      <c r="AN602" s="36">
        <v>696.12</v>
      </c>
      <c r="AO602" s="23">
        <f t="shared" si="142"/>
        <v>459.43603200000007</v>
      </c>
      <c r="AQ602">
        <f t="shared" si="143"/>
        <v>0.68181818181818188</v>
      </c>
    </row>
    <row r="603" spans="1:43" x14ac:dyDescent="0.35">
      <c r="A603" t="s">
        <v>43</v>
      </c>
      <c r="B603">
        <v>10</v>
      </c>
      <c r="C603">
        <v>2</v>
      </c>
      <c r="D603" t="s">
        <v>42</v>
      </c>
      <c r="E603">
        <v>2</v>
      </c>
      <c r="F603">
        <v>1</v>
      </c>
      <c r="G603" s="12">
        <v>59</v>
      </c>
      <c r="H603" s="12">
        <v>21.027999999999999</v>
      </c>
      <c r="I603" s="12">
        <v>1400</v>
      </c>
      <c r="J603" s="12">
        <v>23.495000000000001</v>
      </c>
      <c r="K603" s="12">
        <v>60.698</v>
      </c>
      <c r="L603" s="12">
        <v>0.38300000000000001</v>
      </c>
      <c r="M603" s="19">
        <v>535.72</v>
      </c>
      <c r="N603" s="12">
        <v>6.5030000000000001</v>
      </c>
      <c r="O603" s="13">
        <v>9.08</v>
      </c>
      <c r="P603" s="14">
        <v>59</v>
      </c>
      <c r="Q603" s="14">
        <v>23.495000000000001</v>
      </c>
      <c r="R603" s="14">
        <v>212.17</v>
      </c>
      <c r="S603" s="14">
        <v>323.55</v>
      </c>
      <c r="T603" s="10" t="b">
        <f t="shared" si="144"/>
        <v>1</v>
      </c>
      <c r="U603" s="10" t="b">
        <f t="shared" si="145"/>
        <v>1</v>
      </c>
      <c r="V603" s="11">
        <f>VLOOKUP(IF(J603&lt;10, 10, IF(J603&gt;50,50,J603)),'Over to underbark'!$A$3:$C$43,IF(A603="Scots pine",3,IF(A603="Sitka spruce",2, "error")),TRUE)/100</f>
        <v>0.9</v>
      </c>
      <c r="W603">
        <f t="shared" si="146"/>
        <v>171.85769999999999</v>
      </c>
      <c r="X603">
        <f t="shared" si="147"/>
        <v>262.07549999999998</v>
      </c>
      <c r="Y603">
        <f t="shared" si="148"/>
        <v>48.21479999999999</v>
      </c>
      <c r="Z603">
        <f t="shared" si="136"/>
        <v>198.52765609499997</v>
      </c>
      <c r="AA603">
        <f t="shared" si="137"/>
        <v>43.011746999999993</v>
      </c>
      <c r="AB603">
        <f t="shared" si="138"/>
        <v>95.942920904999994</v>
      </c>
      <c r="AC603">
        <f t="shared" si="139"/>
        <v>144.66567599999999</v>
      </c>
      <c r="AD603">
        <f>LOOKUP($A603,'Over to underbark'!$A$47:$A$48,'Over to underbark'!E$47:E$48)*Z603</f>
        <v>65.51412651135</v>
      </c>
      <c r="AE603">
        <f>LOOKUP($A603,'Over to underbark'!$A$47:$A$48,'Over to underbark'!E$47:E$48)*AA603</f>
        <v>14.193876509999999</v>
      </c>
      <c r="AF603">
        <f>LOOKUP($A603,'Over to underbark'!$A$47:$A$48,'Over to underbark'!E$47:E$48)*AB603</f>
        <v>31.661163898649999</v>
      </c>
      <c r="AG603">
        <f>LOOKUP($A603,'Over to underbark'!$A$47:$A$48,'Over to underbark'!E$47:E$48)*AC603</f>
        <v>47.739673079999996</v>
      </c>
      <c r="AH603" t="b">
        <f t="shared" si="140"/>
        <v>1</v>
      </c>
      <c r="AI603" t="b">
        <f t="shared" si="149"/>
        <v>1</v>
      </c>
      <c r="AJ603">
        <f>LOOKUP(A603,'Over to underbark'!$A$47:$A$48,'Over to underbark'!E$47:E$48)*M603</f>
        <v>176.78760000000003</v>
      </c>
      <c r="AK603" s="22">
        <f>LOOKUP(A603,'Over to underbark'!$A$47:$A$48,'Over to underbark'!$B$47:$B$48)*AJ603</f>
        <v>56.572032000000007</v>
      </c>
      <c r="AL603" s="22">
        <f>LOOKUP(A603,'Over to underbark'!$A$47:$A$48,'Over to underbark'!C$47:C$48)*AJ603</f>
        <v>86.625924000000012</v>
      </c>
      <c r="AM603" s="22">
        <f t="shared" si="141"/>
        <v>233.35963200000003</v>
      </c>
      <c r="AN603" s="36">
        <v>707.15</v>
      </c>
      <c r="AO603" s="23">
        <f t="shared" si="142"/>
        <v>466.71926400000007</v>
      </c>
      <c r="AQ603">
        <f t="shared" si="143"/>
        <v>0.68181818181818166</v>
      </c>
    </row>
    <row r="604" spans="1:43" x14ac:dyDescent="0.35">
      <c r="A604" t="s">
        <v>43</v>
      </c>
      <c r="B604">
        <v>10</v>
      </c>
      <c r="C604">
        <v>2</v>
      </c>
      <c r="D604" t="s">
        <v>42</v>
      </c>
      <c r="E604">
        <v>2</v>
      </c>
      <c r="F604">
        <v>1</v>
      </c>
      <c r="G604" s="12">
        <v>60</v>
      </c>
      <c r="H604" s="12">
        <v>21.251999999999999</v>
      </c>
      <c r="I604" s="12">
        <v>1382</v>
      </c>
      <c r="J604" s="12">
        <v>23.713000000000001</v>
      </c>
      <c r="K604" s="12">
        <v>61.033999999999999</v>
      </c>
      <c r="L604" s="12">
        <v>0.39400000000000002</v>
      </c>
      <c r="M604" s="19">
        <v>544.08000000000004</v>
      </c>
      <c r="N604" s="12">
        <v>6.7590000000000003</v>
      </c>
      <c r="O604" s="13">
        <v>9.0679999999999996</v>
      </c>
      <c r="P604" s="14">
        <v>60</v>
      </c>
      <c r="Q604" s="14">
        <v>23.713000000000001</v>
      </c>
      <c r="R604" s="14">
        <v>210.417</v>
      </c>
      <c r="S604" s="14">
        <v>333.66300000000001</v>
      </c>
      <c r="T604" s="10" t="b">
        <f t="shared" si="144"/>
        <v>1</v>
      </c>
      <c r="U604" s="10" t="b">
        <f t="shared" si="145"/>
        <v>1</v>
      </c>
      <c r="V604" s="11">
        <f>VLOOKUP(IF(J604&lt;10, 10, IF(J604&gt;50,50,J604)),'Over to underbark'!$A$3:$C$43,IF(A604="Scots pine",3,IF(A604="Sitka spruce",2, "error")),TRUE)/100</f>
        <v>0.9</v>
      </c>
      <c r="W604">
        <f t="shared" si="146"/>
        <v>170.43777</v>
      </c>
      <c r="X604">
        <f t="shared" si="147"/>
        <v>270.26703000000003</v>
      </c>
      <c r="Y604">
        <f t="shared" si="148"/>
        <v>48.967199999999991</v>
      </c>
      <c r="Z604">
        <f t="shared" si="136"/>
        <v>200.8080198495</v>
      </c>
      <c r="AA604">
        <f t="shared" si="137"/>
        <v>43.231754699999996</v>
      </c>
      <c r="AB604">
        <f t="shared" si="138"/>
        <v>96.444824890500001</v>
      </c>
      <c r="AC604">
        <f t="shared" si="139"/>
        <v>149.18740056000001</v>
      </c>
      <c r="AD604">
        <f>LOOKUP($A604,'Over to underbark'!$A$47:$A$48,'Over to underbark'!E$47:E$48)*Z604</f>
        <v>66.266646550334997</v>
      </c>
      <c r="AE604">
        <f>LOOKUP($A604,'Over to underbark'!$A$47:$A$48,'Over to underbark'!E$47:E$48)*AA604</f>
        <v>14.266479050999999</v>
      </c>
      <c r="AF604">
        <f>LOOKUP($A604,'Over to underbark'!$A$47:$A$48,'Over to underbark'!E$47:E$48)*AB604</f>
        <v>31.826792213865001</v>
      </c>
      <c r="AG604">
        <f>LOOKUP($A604,'Over to underbark'!$A$47:$A$48,'Over to underbark'!E$47:E$48)*AC604</f>
        <v>49.231842184800009</v>
      </c>
      <c r="AH604" t="b">
        <f t="shared" si="140"/>
        <v>1</v>
      </c>
      <c r="AI604" t="b">
        <f t="shared" si="149"/>
        <v>1</v>
      </c>
      <c r="AJ604">
        <f>LOOKUP(A604,'Over to underbark'!$A$47:$A$48,'Over to underbark'!E$47:E$48)*M604</f>
        <v>179.54640000000003</v>
      </c>
      <c r="AK604" s="22">
        <f>LOOKUP(A604,'Over to underbark'!$A$47:$A$48,'Over to underbark'!$B$47:$B$48)*AJ604</f>
        <v>57.454848000000013</v>
      </c>
      <c r="AL604" s="22">
        <f>LOOKUP(A604,'Over to underbark'!$A$47:$A$48,'Over to underbark'!C$47:C$48)*AJ604</f>
        <v>87.977736000000021</v>
      </c>
      <c r="AM604" s="22">
        <f t="shared" si="141"/>
        <v>237.00124800000003</v>
      </c>
      <c r="AN604" s="36">
        <v>718.19</v>
      </c>
      <c r="AO604" s="23">
        <f t="shared" si="142"/>
        <v>474.00249600000006</v>
      </c>
      <c r="AQ604">
        <f t="shared" si="143"/>
        <v>0.68181818181818177</v>
      </c>
    </row>
    <row r="605" spans="1:43" x14ac:dyDescent="0.35">
      <c r="A605" t="s">
        <v>43</v>
      </c>
      <c r="B605">
        <v>10</v>
      </c>
      <c r="C605">
        <v>2</v>
      </c>
      <c r="D605" t="s">
        <v>42</v>
      </c>
      <c r="E605">
        <v>2</v>
      </c>
      <c r="F605">
        <v>1</v>
      </c>
      <c r="G605" s="12">
        <v>61</v>
      </c>
      <c r="H605" s="12">
        <v>21.475999999999999</v>
      </c>
      <c r="I605" s="12">
        <v>1364</v>
      </c>
      <c r="J605" s="12">
        <v>23.934999999999999</v>
      </c>
      <c r="K605" s="12">
        <v>61.37</v>
      </c>
      <c r="L605" s="12">
        <v>0.40500000000000003</v>
      </c>
      <c r="M605" s="19">
        <v>552.44000000000005</v>
      </c>
      <c r="N605" s="12">
        <v>7.0060000000000002</v>
      </c>
      <c r="O605" s="13">
        <v>9.0559999999999992</v>
      </c>
      <c r="P605" s="14">
        <v>61</v>
      </c>
      <c r="Q605" s="14">
        <v>23.934999999999999</v>
      </c>
      <c r="R605" s="14">
        <v>208.50800000000001</v>
      </c>
      <c r="S605" s="14">
        <v>343.93200000000002</v>
      </c>
      <c r="T605" s="10" t="b">
        <f t="shared" si="144"/>
        <v>1</v>
      </c>
      <c r="U605" s="10" t="b">
        <f t="shared" si="145"/>
        <v>1</v>
      </c>
      <c r="V605" s="11">
        <f>VLOOKUP(IF(J605&lt;10, 10, IF(J605&gt;50,50,J605)),'Over to underbark'!$A$3:$C$43,IF(A605="Scots pine",3,IF(A605="Sitka spruce",2, "error")),TRUE)/100</f>
        <v>0.9</v>
      </c>
      <c r="W605">
        <f t="shared" si="146"/>
        <v>168.89148000000003</v>
      </c>
      <c r="X605">
        <f t="shared" si="147"/>
        <v>278.58492000000007</v>
      </c>
      <c r="Y605">
        <f t="shared" si="148"/>
        <v>49.7196</v>
      </c>
      <c r="Z605">
        <f t="shared" si="136"/>
        <v>203.06319373800005</v>
      </c>
      <c r="AA605">
        <f t="shared" si="137"/>
        <v>43.437862800000005</v>
      </c>
      <c r="AB605">
        <f t="shared" si="138"/>
        <v>96.916067622000014</v>
      </c>
      <c r="AC605">
        <f t="shared" si="139"/>
        <v>153.77887584000004</v>
      </c>
      <c r="AD605">
        <f>LOOKUP($A605,'Over to underbark'!$A$47:$A$48,'Over to underbark'!E$47:E$48)*Z605</f>
        <v>67.01085393354002</v>
      </c>
      <c r="AE605">
        <f>LOOKUP($A605,'Over to underbark'!$A$47:$A$48,'Over to underbark'!E$47:E$48)*AA605</f>
        <v>14.334494724000002</v>
      </c>
      <c r="AF605">
        <f>LOOKUP($A605,'Over to underbark'!$A$47:$A$48,'Over to underbark'!E$47:E$48)*AB605</f>
        <v>31.982302315260007</v>
      </c>
      <c r="AG605">
        <f>LOOKUP($A605,'Over to underbark'!$A$47:$A$48,'Over to underbark'!E$47:E$48)*AC605</f>
        <v>50.747029027200014</v>
      </c>
      <c r="AH605" t="b">
        <f t="shared" si="140"/>
        <v>1</v>
      </c>
      <c r="AI605" t="b">
        <f t="shared" si="149"/>
        <v>1</v>
      </c>
      <c r="AJ605">
        <f>LOOKUP(A605,'Over to underbark'!$A$47:$A$48,'Over to underbark'!E$47:E$48)*M605</f>
        <v>182.30520000000001</v>
      </c>
      <c r="AK605" s="22">
        <f>LOOKUP(A605,'Over to underbark'!$A$47:$A$48,'Over to underbark'!$B$47:$B$48)*AJ605</f>
        <v>58.337664000000004</v>
      </c>
      <c r="AL605" s="22">
        <f>LOOKUP(A605,'Over to underbark'!$A$47:$A$48,'Over to underbark'!C$47:C$48)*AJ605</f>
        <v>89.329548000000003</v>
      </c>
      <c r="AM605" s="22">
        <f t="shared" si="141"/>
        <v>240.64286400000003</v>
      </c>
      <c r="AN605" s="36">
        <v>729.22</v>
      </c>
      <c r="AO605" s="23">
        <f t="shared" si="142"/>
        <v>481.28572800000006</v>
      </c>
      <c r="AQ605">
        <f t="shared" si="143"/>
        <v>0.68181818181818199</v>
      </c>
    </row>
    <row r="606" spans="1:43" x14ac:dyDescent="0.35">
      <c r="A606" t="s">
        <v>43</v>
      </c>
      <c r="B606">
        <v>10</v>
      </c>
      <c r="C606">
        <v>2</v>
      </c>
      <c r="D606" t="s">
        <v>42</v>
      </c>
      <c r="E606">
        <v>2</v>
      </c>
      <c r="F606">
        <v>1</v>
      </c>
      <c r="G606" s="12">
        <v>62</v>
      </c>
      <c r="H606" s="12">
        <v>21.7</v>
      </c>
      <c r="I606" s="12">
        <v>1346</v>
      </c>
      <c r="J606" s="12">
        <v>24.16</v>
      </c>
      <c r="K606" s="12">
        <v>61.706000000000003</v>
      </c>
      <c r="L606" s="12">
        <v>0.41699999999999998</v>
      </c>
      <c r="M606" s="19">
        <v>560.79999999999995</v>
      </c>
      <c r="N606" s="12">
        <v>7.2439999999999998</v>
      </c>
      <c r="O606" s="13">
        <v>9.0449999999999999</v>
      </c>
      <c r="P606" s="14">
        <v>62</v>
      </c>
      <c r="Q606" s="14">
        <v>24.16</v>
      </c>
      <c r="R606" s="14">
        <v>206.47399999999999</v>
      </c>
      <c r="S606" s="14">
        <v>354.32600000000002</v>
      </c>
      <c r="T606" s="10" t="b">
        <f t="shared" si="144"/>
        <v>1</v>
      </c>
      <c r="U606" s="10" t="b">
        <f t="shared" si="145"/>
        <v>1</v>
      </c>
      <c r="V606" s="11">
        <f>VLOOKUP(IF(J606&lt;10, 10, IF(J606&gt;50,50,J606)),'Over to underbark'!$A$3:$C$43,IF(A606="Scots pine",3,IF(A606="Sitka spruce",2, "error")),TRUE)/100</f>
        <v>0.9</v>
      </c>
      <c r="W606">
        <f t="shared" si="146"/>
        <v>167.24393999999998</v>
      </c>
      <c r="X606">
        <f t="shared" si="147"/>
        <v>287.00406000000004</v>
      </c>
      <c r="Y606">
        <f t="shared" si="148"/>
        <v>50.471999999999987</v>
      </c>
      <c r="Z606">
        <f t="shared" si="136"/>
        <v>205.29818343899998</v>
      </c>
      <c r="AA606">
        <f t="shared" si="137"/>
        <v>43.632833399999996</v>
      </c>
      <c r="AB606">
        <f t="shared" si="138"/>
        <v>97.36274204099999</v>
      </c>
      <c r="AC606">
        <f t="shared" si="139"/>
        <v>158.42624112000001</v>
      </c>
      <c r="AD606">
        <f>LOOKUP($A606,'Over to underbark'!$A$47:$A$48,'Over to underbark'!E$47:E$48)*Z606</f>
        <v>67.748400534870001</v>
      </c>
      <c r="AE606">
        <f>LOOKUP($A606,'Over to underbark'!$A$47:$A$48,'Over to underbark'!E$47:E$48)*AA606</f>
        <v>14.398835022</v>
      </c>
      <c r="AF606">
        <f>LOOKUP($A606,'Over to underbark'!$A$47:$A$48,'Over to underbark'!E$47:E$48)*AB606</f>
        <v>32.129704873529995</v>
      </c>
      <c r="AG606">
        <f>LOOKUP($A606,'Over to underbark'!$A$47:$A$48,'Over to underbark'!E$47:E$48)*AC606</f>
        <v>52.280659569600004</v>
      </c>
      <c r="AH606" t="b">
        <f t="shared" si="140"/>
        <v>1</v>
      </c>
      <c r="AI606" t="b">
        <f t="shared" si="149"/>
        <v>1</v>
      </c>
      <c r="AJ606">
        <f>LOOKUP(A606,'Over to underbark'!$A$47:$A$48,'Over to underbark'!E$47:E$48)*M606</f>
        <v>185.06399999999999</v>
      </c>
      <c r="AK606" s="22">
        <f>LOOKUP(A606,'Over to underbark'!$A$47:$A$48,'Over to underbark'!$B$47:$B$48)*AJ606</f>
        <v>59.220480000000002</v>
      </c>
      <c r="AL606" s="22">
        <f>LOOKUP(A606,'Over to underbark'!$A$47:$A$48,'Over to underbark'!C$47:C$48)*AJ606</f>
        <v>90.681359999999998</v>
      </c>
      <c r="AM606" s="22">
        <f t="shared" si="141"/>
        <v>244.28448</v>
      </c>
      <c r="AN606" s="36">
        <v>740.26</v>
      </c>
      <c r="AO606" s="23">
        <f t="shared" si="142"/>
        <v>488.56896</v>
      </c>
      <c r="AQ606">
        <f t="shared" si="143"/>
        <v>0.68181818181818188</v>
      </c>
    </row>
    <row r="607" spans="1:43" x14ac:dyDescent="0.35">
      <c r="A607" t="s">
        <v>43</v>
      </c>
      <c r="B607">
        <v>10</v>
      </c>
      <c r="C607">
        <v>2</v>
      </c>
      <c r="D607" t="s">
        <v>42</v>
      </c>
      <c r="E607">
        <v>2</v>
      </c>
      <c r="F607">
        <v>1</v>
      </c>
      <c r="G607" s="12">
        <v>63</v>
      </c>
      <c r="H607" s="12">
        <v>21.884</v>
      </c>
      <c r="I607" s="12">
        <v>1331</v>
      </c>
      <c r="J607" s="12">
        <v>24.353999999999999</v>
      </c>
      <c r="K607" s="12">
        <v>62.003</v>
      </c>
      <c r="L607" s="12">
        <v>0.42699999999999999</v>
      </c>
      <c r="M607" s="19">
        <v>567.76</v>
      </c>
      <c r="N607" s="12">
        <v>7.5010000000000003</v>
      </c>
      <c r="O607" s="13">
        <v>9.0120000000000005</v>
      </c>
      <c r="P607" s="14">
        <v>63</v>
      </c>
      <c r="Q607" s="14">
        <v>24.353999999999999</v>
      </c>
      <c r="R607" s="14">
        <v>204.58799999999999</v>
      </c>
      <c r="S607" s="14">
        <v>363.17200000000003</v>
      </c>
      <c r="T607" s="10" t="b">
        <f t="shared" si="144"/>
        <v>1</v>
      </c>
      <c r="U607" s="10" t="b">
        <f t="shared" si="145"/>
        <v>1</v>
      </c>
      <c r="V607" s="11">
        <f>VLOOKUP(IF(J607&lt;10, 10, IF(J607&gt;50,50,J607)),'Over to underbark'!$A$3:$C$43,IF(A607="Scots pine",3,IF(A607="Sitka spruce",2, "error")),TRUE)/100</f>
        <v>0.9</v>
      </c>
      <c r="W607">
        <f t="shared" si="146"/>
        <v>165.71628000000001</v>
      </c>
      <c r="X607">
        <f t="shared" si="147"/>
        <v>294.16932000000003</v>
      </c>
      <c r="Y607">
        <f t="shared" si="148"/>
        <v>51.098399999999984</v>
      </c>
      <c r="Z607">
        <f t="shared" si="136"/>
        <v>207.127789218</v>
      </c>
      <c r="AA607">
        <f t="shared" si="137"/>
        <v>43.777990799999998</v>
      </c>
      <c r="AB607">
        <f t="shared" si="138"/>
        <v>97.696755341999989</v>
      </c>
      <c r="AC607">
        <f t="shared" si="139"/>
        <v>162.38146464000002</v>
      </c>
      <c r="AD607">
        <f>LOOKUP($A607,'Over to underbark'!$A$47:$A$48,'Over to underbark'!E$47:E$48)*Z607</f>
        <v>68.352170441940004</v>
      </c>
      <c r="AE607">
        <f>LOOKUP($A607,'Over to underbark'!$A$47:$A$48,'Over to underbark'!E$47:E$48)*AA607</f>
        <v>14.446736963999999</v>
      </c>
      <c r="AF607">
        <f>LOOKUP($A607,'Over to underbark'!$A$47:$A$48,'Over to underbark'!E$47:E$48)*AB607</f>
        <v>32.239929262859995</v>
      </c>
      <c r="AG607">
        <f>LOOKUP($A607,'Over to underbark'!$A$47:$A$48,'Over to underbark'!E$47:E$48)*AC607</f>
        <v>53.585883331200009</v>
      </c>
      <c r="AH607" t="b">
        <f t="shared" si="140"/>
        <v>1</v>
      </c>
      <c r="AI607" t="b">
        <f t="shared" si="149"/>
        <v>1</v>
      </c>
      <c r="AJ607">
        <f>LOOKUP(A607,'Over to underbark'!$A$47:$A$48,'Over to underbark'!E$47:E$48)*M607</f>
        <v>187.36080000000001</v>
      </c>
      <c r="AK607" s="22">
        <f>LOOKUP(A607,'Over to underbark'!$A$47:$A$48,'Over to underbark'!$B$47:$B$48)*AJ607</f>
        <v>59.955456000000005</v>
      </c>
      <c r="AL607" s="22">
        <f>LOOKUP(A607,'Over to underbark'!$A$47:$A$48,'Over to underbark'!C$47:C$48)*AJ607</f>
        <v>91.806792000000002</v>
      </c>
      <c r="AM607" s="22">
        <f t="shared" si="141"/>
        <v>247.31625600000001</v>
      </c>
      <c r="AN607" s="36">
        <v>749.44</v>
      </c>
      <c r="AO607" s="23">
        <f t="shared" si="142"/>
        <v>494.63251200000002</v>
      </c>
      <c r="AQ607">
        <f t="shared" si="143"/>
        <v>0.68181818181818188</v>
      </c>
    </row>
    <row r="608" spans="1:43" x14ac:dyDescent="0.35">
      <c r="A608" t="s">
        <v>43</v>
      </c>
      <c r="B608">
        <v>10</v>
      </c>
      <c r="C608">
        <v>2</v>
      </c>
      <c r="D608" t="s">
        <v>42</v>
      </c>
      <c r="E608">
        <v>2</v>
      </c>
      <c r="F608">
        <v>1</v>
      </c>
      <c r="G608" s="12">
        <v>64</v>
      </c>
      <c r="H608" s="12">
        <v>22.068000000000001</v>
      </c>
      <c r="I608" s="12">
        <v>1317</v>
      </c>
      <c r="J608" s="12">
        <v>24.542000000000002</v>
      </c>
      <c r="K608" s="12">
        <v>62.298999999999999</v>
      </c>
      <c r="L608" s="12">
        <v>0.436</v>
      </c>
      <c r="M608" s="19">
        <v>574.72</v>
      </c>
      <c r="N608" s="12">
        <v>7.75</v>
      </c>
      <c r="O608" s="13">
        <v>8.98</v>
      </c>
      <c r="P608" s="14">
        <v>64</v>
      </c>
      <c r="Q608" s="14">
        <v>24.542000000000002</v>
      </c>
      <c r="R608" s="14">
        <v>202.804</v>
      </c>
      <c r="S608" s="14">
        <v>371.916</v>
      </c>
      <c r="T608" s="10" t="b">
        <f t="shared" si="144"/>
        <v>1</v>
      </c>
      <c r="U608" s="10" t="b">
        <f t="shared" si="145"/>
        <v>1</v>
      </c>
      <c r="V608" s="11">
        <f>VLOOKUP(IF(J608&lt;10, 10, IF(J608&gt;50,50,J608)),'Over to underbark'!$A$3:$C$43,IF(A608="Scots pine",3,IF(A608="Sitka spruce",2, "error")),TRUE)/100</f>
        <v>0.9</v>
      </c>
      <c r="W608">
        <f t="shared" si="146"/>
        <v>164.27124000000001</v>
      </c>
      <c r="X608">
        <f t="shared" si="147"/>
        <v>301.25196</v>
      </c>
      <c r="Y608">
        <f t="shared" si="148"/>
        <v>51.724799999999995</v>
      </c>
      <c r="Z608">
        <f t="shared" si="136"/>
        <v>208.97386529399998</v>
      </c>
      <c r="AA608">
        <f t="shared" si="137"/>
        <v>43.932236399999994</v>
      </c>
      <c r="AB608">
        <f t="shared" si="138"/>
        <v>98.050816386000008</v>
      </c>
      <c r="AC608">
        <f t="shared" si="139"/>
        <v>166.29108191999998</v>
      </c>
      <c r="AD608">
        <f>LOOKUP($A608,'Over to underbark'!$A$47:$A$48,'Over to underbark'!E$47:E$48)*Z608</f>
        <v>68.961375547019998</v>
      </c>
      <c r="AE608">
        <f>LOOKUP($A608,'Over to underbark'!$A$47:$A$48,'Over to underbark'!E$47:E$48)*AA608</f>
        <v>14.497638011999999</v>
      </c>
      <c r="AF608">
        <f>LOOKUP($A608,'Over to underbark'!$A$47:$A$48,'Over to underbark'!E$47:E$48)*AB608</f>
        <v>32.356769407380007</v>
      </c>
      <c r="AG608">
        <f>LOOKUP($A608,'Over to underbark'!$A$47:$A$48,'Over to underbark'!E$47:E$48)*AC608</f>
        <v>54.876057033599999</v>
      </c>
      <c r="AH608" t="b">
        <f t="shared" si="140"/>
        <v>1</v>
      </c>
      <c r="AI608" t="b">
        <f t="shared" si="149"/>
        <v>1</v>
      </c>
      <c r="AJ608">
        <f>LOOKUP(A608,'Over to underbark'!$A$47:$A$48,'Over to underbark'!E$47:E$48)*M608</f>
        <v>189.65760000000003</v>
      </c>
      <c r="AK608" s="22">
        <f>LOOKUP(A608,'Over to underbark'!$A$47:$A$48,'Over to underbark'!$B$47:$B$48)*AJ608</f>
        <v>60.690432000000008</v>
      </c>
      <c r="AL608" s="22">
        <f>LOOKUP(A608,'Over to underbark'!$A$47:$A$48,'Over to underbark'!C$47:C$48)*AJ608</f>
        <v>92.932224000000019</v>
      </c>
      <c r="AM608" s="22">
        <f t="shared" si="141"/>
        <v>250.34803200000005</v>
      </c>
      <c r="AN608" s="36">
        <v>758.63</v>
      </c>
      <c r="AO608" s="23">
        <f t="shared" si="142"/>
        <v>500.69606400000009</v>
      </c>
      <c r="AQ608">
        <f t="shared" si="143"/>
        <v>0.68181818181818177</v>
      </c>
    </row>
    <row r="609" spans="1:43" x14ac:dyDescent="0.35">
      <c r="A609" t="s">
        <v>43</v>
      </c>
      <c r="B609">
        <v>10</v>
      </c>
      <c r="C609">
        <v>2</v>
      </c>
      <c r="D609" t="s">
        <v>42</v>
      </c>
      <c r="E609">
        <v>2</v>
      </c>
      <c r="F609">
        <v>1</v>
      </c>
      <c r="G609" s="12">
        <v>65</v>
      </c>
      <c r="H609" s="12">
        <v>22.251999999999999</v>
      </c>
      <c r="I609" s="12">
        <v>1303</v>
      </c>
      <c r="J609" s="12">
        <v>24.731999999999999</v>
      </c>
      <c r="K609" s="12">
        <v>62.595999999999997</v>
      </c>
      <c r="L609" s="12">
        <v>0.44600000000000001</v>
      </c>
      <c r="M609" s="19">
        <v>581.67999999999995</v>
      </c>
      <c r="N609" s="12">
        <v>7.9909999999999997</v>
      </c>
      <c r="O609" s="13">
        <v>8.9489999999999998</v>
      </c>
      <c r="P609" s="14">
        <v>65</v>
      </c>
      <c r="Q609" s="14">
        <v>24.731999999999999</v>
      </c>
      <c r="R609" s="14">
        <v>200.94300000000001</v>
      </c>
      <c r="S609" s="14">
        <v>380.73700000000002</v>
      </c>
      <c r="T609" s="10" t="b">
        <f t="shared" si="144"/>
        <v>1</v>
      </c>
      <c r="U609" s="10" t="b">
        <f t="shared" si="145"/>
        <v>1</v>
      </c>
      <c r="V609" s="11">
        <f>VLOOKUP(IF(J609&lt;10, 10, IF(J609&gt;50,50,J609)),'Over to underbark'!$A$3:$C$43,IF(A609="Scots pine",3,IF(A609="Sitka spruce",2, "error")),TRUE)/100</f>
        <v>0.9</v>
      </c>
      <c r="W609">
        <f t="shared" si="146"/>
        <v>162.76383000000001</v>
      </c>
      <c r="X609">
        <f t="shared" si="147"/>
        <v>308.39697000000007</v>
      </c>
      <c r="Y609">
        <f t="shared" si="148"/>
        <v>52.351199999999992</v>
      </c>
      <c r="Z609">
        <f t="shared" si="136"/>
        <v>210.80750791049999</v>
      </c>
      <c r="AA609">
        <f t="shared" si="137"/>
        <v>44.079621299999999</v>
      </c>
      <c r="AB609">
        <f t="shared" si="138"/>
        <v>98.389743349500009</v>
      </c>
      <c r="AC609">
        <f t="shared" si="139"/>
        <v>170.23512744000004</v>
      </c>
      <c r="AD609">
        <f>LOOKUP($A609,'Over to underbark'!$A$47:$A$48,'Over to underbark'!E$47:E$48)*Z609</f>
        <v>69.566477610465</v>
      </c>
      <c r="AE609">
        <f>LOOKUP($A609,'Over to underbark'!$A$47:$A$48,'Over to underbark'!E$47:E$48)*AA609</f>
        <v>14.546275029</v>
      </c>
      <c r="AF609">
        <f>LOOKUP($A609,'Over to underbark'!$A$47:$A$48,'Over to underbark'!E$47:E$48)*AB609</f>
        <v>32.468615305335007</v>
      </c>
      <c r="AG609">
        <f>LOOKUP($A609,'Over to underbark'!$A$47:$A$48,'Over to underbark'!E$47:E$48)*AC609</f>
        <v>56.177592055200016</v>
      </c>
      <c r="AH609" t="b">
        <f t="shared" si="140"/>
        <v>1</v>
      </c>
      <c r="AI609" t="b">
        <f t="shared" si="149"/>
        <v>1</v>
      </c>
      <c r="AJ609">
        <f>LOOKUP(A609,'Over to underbark'!$A$47:$A$48,'Over to underbark'!E$47:E$48)*M609</f>
        <v>191.95439999999999</v>
      </c>
      <c r="AK609" s="22">
        <f>LOOKUP(A609,'Over to underbark'!$A$47:$A$48,'Over to underbark'!$B$47:$B$48)*AJ609</f>
        <v>61.425407999999997</v>
      </c>
      <c r="AL609" s="22">
        <f>LOOKUP(A609,'Over to underbark'!$A$47:$A$48,'Over to underbark'!C$47:C$48)*AJ609</f>
        <v>94.057655999999994</v>
      </c>
      <c r="AM609" s="22">
        <f t="shared" si="141"/>
        <v>253.379808</v>
      </c>
      <c r="AN609" s="36">
        <v>767.82</v>
      </c>
      <c r="AO609" s="23">
        <f t="shared" si="142"/>
        <v>506.75961599999999</v>
      </c>
      <c r="AQ609">
        <f t="shared" si="143"/>
        <v>0.68181818181818199</v>
      </c>
    </row>
    <row r="610" spans="1:43" x14ac:dyDescent="0.35">
      <c r="A610" t="s">
        <v>43</v>
      </c>
      <c r="B610">
        <v>10</v>
      </c>
      <c r="C610">
        <v>2</v>
      </c>
      <c r="D610" t="s">
        <v>42</v>
      </c>
      <c r="E610">
        <v>2</v>
      </c>
      <c r="F610">
        <v>1</v>
      </c>
      <c r="G610" s="12">
        <v>66</v>
      </c>
      <c r="H610" s="12">
        <v>22.436</v>
      </c>
      <c r="I610" s="12">
        <v>1289</v>
      </c>
      <c r="J610" s="12">
        <v>24.925000000000001</v>
      </c>
      <c r="K610" s="12">
        <v>62.892000000000003</v>
      </c>
      <c r="L610" s="12">
        <v>0.45700000000000002</v>
      </c>
      <c r="M610" s="19">
        <v>588.64</v>
      </c>
      <c r="N610" s="12">
        <v>8.2260000000000009</v>
      </c>
      <c r="O610" s="13">
        <v>8.9190000000000005</v>
      </c>
      <c r="P610" s="14">
        <v>66</v>
      </c>
      <c r="Q610" s="14">
        <v>24.925000000000001</v>
      </c>
      <c r="R610" s="14">
        <v>198.98599999999999</v>
      </c>
      <c r="S610" s="14">
        <v>389.654</v>
      </c>
      <c r="T610" s="10" t="b">
        <f t="shared" si="144"/>
        <v>1</v>
      </c>
      <c r="U610" s="10" t="b">
        <f t="shared" si="145"/>
        <v>1</v>
      </c>
      <c r="V610" s="11">
        <f>VLOOKUP(IF(J610&lt;10, 10, IF(J610&gt;50,50,J610)),'Over to underbark'!$A$3:$C$43,IF(A610="Scots pine",3,IF(A610="Sitka spruce",2, "error")),TRUE)/100</f>
        <v>0.9</v>
      </c>
      <c r="W610">
        <f t="shared" si="146"/>
        <v>161.17866000000001</v>
      </c>
      <c r="X610">
        <f t="shared" si="147"/>
        <v>315.61974000000004</v>
      </c>
      <c r="Y610">
        <f t="shared" si="148"/>
        <v>52.977599999999981</v>
      </c>
      <c r="Z610">
        <f t="shared" si="136"/>
        <v>212.62564907100003</v>
      </c>
      <c r="AA610">
        <f t="shared" si="137"/>
        <v>44.218452599999992</v>
      </c>
      <c r="AB610">
        <f t="shared" si="138"/>
        <v>98.709801849000002</v>
      </c>
      <c r="AC610">
        <f t="shared" si="139"/>
        <v>174.22209648</v>
      </c>
      <c r="AD610">
        <f>LOOKUP($A610,'Over to underbark'!$A$47:$A$48,'Over to underbark'!E$47:E$48)*Z610</f>
        <v>70.166464193430016</v>
      </c>
      <c r="AE610">
        <f>LOOKUP($A610,'Over to underbark'!$A$47:$A$48,'Over to underbark'!E$47:E$48)*AA610</f>
        <v>14.592089357999997</v>
      </c>
      <c r="AF610">
        <f>LOOKUP($A610,'Over to underbark'!$A$47:$A$48,'Over to underbark'!E$47:E$48)*AB610</f>
        <v>32.574234610170002</v>
      </c>
      <c r="AG610">
        <f>LOOKUP($A610,'Over to underbark'!$A$47:$A$48,'Over to underbark'!E$47:E$48)*AC610</f>
        <v>57.493291838400005</v>
      </c>
      <c r="AH610" t="b">
        <f t="shared" si="140"/>
        <v>1</v>
      </c>
      <c r="AI610" t="b">
        <f t="shared" si="149"/>
        <v>1</v>
      </c>
      <c r="AJ610">
        <f>LOOKUP(A610,'Over to underbark'!$A$47:$A$48,'Over to underbark'!E$47:E$48)*M610</f>
        <v>194.25120000000001</v>
      </c>
      <c r="AK610" s="22">
        <f>LOOKUP(A610,'Over to underbark'!$A$47:$A$48,'Over to underbark'!$B$47:$B$48)*AJ610</f>
        <v>62.160384000000008</v>
      </c>
      <c r="AL610" s="22">
        <f>LOOKUP(A610,'Over to underbark'!$A$47:$A$48,'Over to underbark'!C$47:C$48)*AJ610</f>
        <v>95.183087999999998</v>
      </c>
      <c r="AM610" s="22">
        <f t="shared" si="141"/>
        <v>256.411584</v>
      </c>
      <c r="AN610" s="36">
        <v>777</v>
      </c>
      <c r="AO610" s="23">
        <f t="shared" si="142"/>
        <v>512.82316800000001</v>
      </c>
      <c r="AQ610">
        <f t="shared" si="143"/>
        <v>0.68181818181818188</v>
      </c>
    </row>
    <row r="611" spans="1:43" x14ac:dyDescent="0.35">
      <c r="A611" t="s">
        <v>43</v>
      </c>
      <c r="B611">
        <v>10</v>
      </c>
      <c r="C611">
        <v>2</v>
      </c>
      <c r="D611" t="s">
        <v>42</v>
      </c>
      <c r="E611">
        <v>2</v>
      </c>
      <c r="F611">
        <v>1</v>
      </c>
      <c r="G611" s="12">
        <v>67</v>
      </c>
      <c r="H611" s="12">
        <v>22.62</v>
      </c>
      <c r="I611" s="12">
        <v>1275</v>
      </c>
      <c r="J611" s="12">
        <v>25.12</v>
      </c>
      <c r="K611" s="12">
        <v>63.189</v>
      </c>
      <c r="L611" s="12">
        <v>0.46700000000000003</v>
      </c>
      <c r="M611" s="19">
        <v>595.6</v>
      </c>
      <c r="N611" s="12">
        <v>8.4540000000000006</v>
      </c>
      <c r="O611" s="13">
        <v>8.89</v>
      </c>
      <c r="P611" s="14">
        <v>67</v>
      </c>
      <c r="Q611" s="14">
        <v>25.12</v>
      </c>
      <c r="R611" s="14">
        <v>196.958</v>
      </c>
      <c r="S611" s="14">
        <v>398.642</v>
      </c>
      <c r="T611" s="10" t="b">
        <f t="shared" si="144"/>
        <v>1</v>
      </c>
      <c r="U611" s="10" t="b">
        <f t="shared" si="145"/>
        <v>1</v>
      </c>
      <c r="V611" s="11">
        <f>VLOOKUP(IF(J611&lt;10, 10, IF(J611&gt;50,50,J611)),'Over to underbark'!$A$3:$C$43,IF(A611="Scots pine",3,IF(A611="Sitka spruce",2, "error")),TRUE)/100</f>
        <v>0.9</v>
      </c>
      <c r="W611">
        <f t="shared" si="146"/>
        <v>159.53598000000002</v>
      </c>
      <c r="X611">
        <f t="shared" si="147"/>
        <v>322.90002000000004</v>
      </c>
      <c r="Y611">
        <f t="shared" si="148"/>
        <v>53.603999999999999</v>
      </c>
      <c r="Z611">
        <f t="shared" si="136"/>
        <v>214.43232561300002</v>
      </c>
      <c r="AA611">
        <f t="shared" si="137"/>
        <v>44.350957800000003</v>
      </c>
      <c r="AB611">
        <f t="shared" si="138"/>
        <v>99.015905547000017</v>
      </c>
      <c r="AC611">
        <f t="shared" si="139"/>
        <v>178.24081104000001</v>
      </c>
      <c r="AD611">
        <f>LOOKUP($A611,'Over to underbark'!$A$47:$A$48,'Over to underbark'!E$47:E$48)*Z611</f>
        <v>70.762667452290003</v>
      </c>
      <c r="AE611">
        <f>LOOKUP($A611,'Over to underbark'!$A$47:$A$48,'Over to underbark'!E$47:E$48)*AA611</f>
        <v>14.635816074000001</v>
      </c>
      <c r="AF611">
        <f>LOOKUP($A611,'Over to underbark'!$A$47:$A$48,'Over to underbark'!E$47:E$48)*AB611</f>
        <v>32.675248830510007</v>
      </c>
      <c r="AG611">
        <f>LOOKUP($A611,'Over to underbark'!$A$47:$A$48,'Over to underbark'!E$47:E$48)*AC611</f>
        <v>58.819467643200007</v>
      </c>
      <c r="AH611" t="b">
        <f t="shared" si="140"/>
        <v>1</v>
      </c>
      <c r="AI611" t="b">
        <f t="shared" si="149"/>
        <v>1</v>
      </c>
      <c r="AJ611">
        <f>LOOKUP(A611,'Over to underbark'!$A$47:$A$48,'Over to underbark'!E$47:E$48)*M611</f>
        <v>196.54800000000003</v>
      </c>
      <c r="AK611" s="22">
        <f>LOOKUP(A611,'Over to underbark'!$A$47:$A$48,'Over to underbark'!$B$47:$B$48)*AJ611</f>
        <v>62.895360000000011</v>
      </c>
      <c r="AL611" s="22">
        <f>LOOKUP(A611,'Over to underbark'!$A$47:$A$48,'Over to underbark'!C$47:C$48)*AJ611</f>
        <v>96.308520000000016</v>
      </c>
      <c r="AM611" s="22">
        <f t="shared" si="141"/>
        <v>259.44336000000004</v>
      </c>
      <c r="AN611" s="36">
        <v>786.19</v>
      </c>
      <c r="AO611" s="23">
        <f t="shared" si="142"/>
        <v>518.88672000000008</v>
      </c>
      <c r="AQ611">
        <f t="shared" si="143"/>
        <v>0.68181818181818177</v>
      </c>
    </row>
    <row r="612" spans="1:43" x14ac:dyDescent="0.35">
      <c r="A612" t="s">
        <v>43</v>
      </c>
      <c r="B612">
        <v>10</v>
      </c>
      <c r="C612">
        <v>2</v>
      </c>
      <c r="D612" t="s">
        <v>42</v>
      </c>
      <c r="E612">
        <v>2</v>
      </c>
      <c r="F612">
        <v>1</v>
      </c>
      <c r="G612" s="12">
        <v>68</v>
      </c>
      <c r="H612" s="12">
        <v>22.782</v>
      </c>
      <c r="I612" s="12">
        <v>1262</v>
      </c>
      <c r="J612" s="12">
        <v>25.3</v>
      </c>
      <c r="K612" s="12">
        <v>63.442</v>
      </c>
      <c r="L612" s="12">
        <v>0.47699999999999998</v>
      </c>
      <c r="M612" s="19">
        <v>601.52</v>
      </c>
      <c r="N612" s="12">
        <v>8.6890000000000001</v>
      </c>
      <c r="O612" s="13">
        <v>8.8460000000000001</v>
      </c>
      <c r="P612" s="14">
        <v>68</v>
      </c>
      <c r="Q612" s="14">
        <v>25.3</v>
      </c>
      <c r="R612" s="14">
        <v>194.90100000000001</v>
      </c>
      <c r="S612" s="14">
        <v>406.61900000000003</v>
      </c>
      <c r="T612" s="10" t="b">
        <f t="shared" si="144"/>
        <v>1</v>
      </c>
      <c r="U612" s="10" t="b">
        <f t="shared" si="145"/>
        <v>1</v>
      </c>
      <c r="V612" s="11">
        <f>VLOOKUP(IF(J612&lt;10, 10, IF(J612&gt;50,50,J612)),'Over to underbark'!$A$3:$C$43,IF(A612="Scots pine",3,IF(A612="Sitka spruce",2, "error")),TRUE)/100</f>
        <v>0.9</v>
      </c>
      <c r="W612">
        <f t="shared" si="146"/>
        <v>157.86981000000003</v>
      </c>
      <c r="X612">
        <f t="shared" si="147"/>
        <v>329.36139000000003</v>
      </c>
      <c r="Y612">
        <f t="shared" si="148"/>
        <v>54.136799999999994</v>
      </c>
      <c r="Z612">
        <f t="shared" si="136"/>
        <v>215.91542422350003</v>
      </c>
      <c r="AA612">
        <f t="shared" si="137"/>
        <v>44.434079100000005</v>
      </c>
      <c r="AB612">
        <f t="shared" si="138"/>
        <v>99.211009396500003</v>
      </c>
      <c r="AC612">
        <f t="shared" si="139"/>
        <v>181.80748728000003</v>
      </c>
      <c r="AD612">
        <f>LOOKUP($A612,'Over to underbark'!$A$47:$A$48,'Over to underbark'!E$47:E$48)*Z612</f>
        <v>71.252089993755007</v>
      </c>
      <c r="AE612">
        <f>LOOKUP($A612,'Over to underbark'!$A$47:$A$48,'Over to underbark'!E$47:E$48)*AA612</f>
        <v>14.663246103000002</v>
      </c>
      <c r="AF612">
        <f>LOOKUP($A612,'Over to underbark'!$A$47:$A$48,'Over to underbark'!E$47:E$48)*AB612</f>
        <v>32.739633100845005</v>
      </c>
      <c r="AG612">
        <f>LOOKUP($A612,'Over to underbark'!$A$47:$A$48,'Over to underbark'!E$47:E$48)*AC612</f>
        <v>59.996470802400012</v>
      </c>
      <c r="AH612" t="b">
        <f t="shared" si="140"/>
        <v>1</v>
      </c>
      <c r="AI612" t="b">
        <f t="shared" si="149"/>
        <v>1</v>
      </c>
      <c r="AJ612">
        <f>LOOKUP(A612,'Over to underbark'!$A$47:$A$48,'Over to underbark'!E$47:E$48)*M612</f>
        <v>198.5016</v>
      </c>
      <c r="AK612" s="22">
        <f>LOOKUP(A612,'Over to underbark'!$A$47:$A$48,'Over to underbark'!$B$47:$B$48)*AJ612</f>
        <v>63.520512000000004</v>
      </c>
      <c r="AL612" s="22">
        <f>LOOKUP(A612,'Over to underbark'!$A$47:$A$48,'Over to underbark'!C$47:C$48)*AJ612</f>
        <v>97.265783999999996</v>
      </c>
      <c r="AM612" s="22">
        <f t="shared" si="141"/>
        <v>262.02211199999999</v>
      </c>
      <c r="AN612" s="36">
        <v>794.01</v>
      </c>
      <c r="AO612" s="23">
        <f t="shared" si="142"/>
        <v>524.04422399999999</v>
      </c>
      <c r="AQ612">
        <f t="shared" si="143"/>
        <v>0.68181818181818199</v>
      </c>
    </row>
    <row r="613" spans="1:43" x14ac:dyDescent="0.35">
      <c r="A613" t="s">
        <v>43</v>
      </c>
      <c r="B613">
        <v>10</v>
      </c>
      <c r="C613">
        <v>2</v>
      </c>
      <c r="D613" t="s">
        <v>42</v>
      </c>
      <c r="E613">
        <v>2</v>
      </c>
      <c r="F613">
        <v>1</v>
      </c>
      <c r="G613" s="12">
        <v>69</v>
      </c>
      <c r="H613" s="12">
        <v>22.943999999999999</v>
      </c>
      <c r="I613" s="12">
        <v>1250</v>
      </c>
      <c r="J613" s="12">
        <v>25.471</v>
      </c>
      <c r="K613" s="12">
        <v>63.695</v>
      </c>
      <c r="L613" s="12">
        <v>0.48599999999999999</v>
      </c>
      <c r="M613" s="19">
        <v>607.44000000000005</v>
      </c>
      <c r="N613" s="12">
        <v>8.9190000000000005</v>
      </c>
      <c r="O613" s="13">
        <v>8.8030000000000008</v>
      </c>
      <c r="P613" s="14">
        <v>69</v>
      </c>
      <c r="Q613" s="14">
        <v>25.471</v>
      </c>
      <c r="R613" s="14">
        <v>193.03100000000001</v>
      </c>
      <c r="S613" s="14">
        <v>414.40899999999999</v>
      </c>
      <c r="T613" s="10" t="b">
        <f t="shared" si="144"/>
        <v>1</v>
      </c>
      <c r="U613" s="10" t="b">
        <f t="shared" si="145"/>
        <v>1</v>
      </c>
      <c r="V613" s="11">
        <f>VLOOKUP(IF(J613&lt;10, 10, IF(J613&gt;50,50,J613)),'Over to underbark'!$A$3:$C$43,IF(A613="Scots pine",3,IF(A613="Sitka spruce",2, "error")),TRUE)/100</f>
        <v>0.9</v>
      </c>
      <c r="W613">
        <f t="shared" si="146"/>
        <v>156.35511</v>
      </c>
      <c r="X613">
        <f t="shared" si="147"/>
        <v>335.67129</v>
      </c>
      <c r="Y613">
        <f t="shared" si="148"/>
        <v>54.669599999999988</v>
      </c>
      <c r="Z613">
        <f t="shared" si="136"/>
        <v>217.42871837849998</v>
      </c>
      <c r="AA613">
        <f t="shared" si="137"/>
        <v>44.533862099999993</v>
      </c>
      <c r="AB613">
        <f t="shared" si="138"/>
        <v>99.442867441499999</v>
      </c>
      <c r="AC613">
        <f t="shared" si="139"/>
        <v>185.29055208</v>
      </c>
      <c r="AD613">
        <f>LOOKUP($A613,'Over to underbark'!$A$47:$A$48,'Over to underbark'!E$47:E$48)*Z613</f>
        <v>71.751477064905004</v>
      </c>
      <c r="AE613">
        <f>LOOKUP($A613,'Over to underbark'!$A$47:$A$48,'Over to underbark'!E$47:E$48)*AA613</f>
        <v>14.696174492999999</v>
      </c>
      <c r="AF613">
        <f>LOOKUP($A613,'Over to underbark'!$A$47:$A$48,'Over to underbark'!E$47:E$48)*AB613</f>
        <v>32.816146255695003</v>
      </c>
      <c r="AG613">
        <f>LOOKUP($A613,'Over to underbark'!$A$47:$A$48,'Over to underbark'!E$47:E$48)*AC613</f>
        <v>61.145882186400002</v>
      </c>
      <c r="AH613" t="b">
        <f t="shared" si="140"/>
        <v>1</v>
      </c>
      <c r="AI613" t="b">
        <f t="shared" si="149"/>
        <v>1</v>
      </c>
      <c r="AJ613">
        <f>LOOKUP(A613,'Over to underbark'!$A$47:$A$48,'Over to underbark'!E$47:E$48)*M613</f>
        <v>200.45520000000002</v>
      </c>
      <c r="AK613" s="22">
        <f>LOOKUP(A613,'Over to underbark'!$A$47:$A$48,'Over to underbark'!$B$47:$B$48)*AJ613</f>
        <v>64.145664000000011</v>
      </c>
      <c r="AL613" s="22">
        <f>LOOKUP(A613,'Over to underbark'!$A$47:$A$48,'Over to underbark'!C$47:C$48)*AJ613</f>
        <v>98.223048000000006</v>
      </c>
      <c r="AM613" s="22">
        <f t="shared" si="141"/>
        <v>264.600864</v>
      </c>
      <c r="AN613" s="36">
        <v>801.82</v>
      </c>
      <c r="AO613" s="23">
        <f t="shared" si="142"/>
        <v>529.201728</v>
      </c>
      <c r="AQ613">
        <f t="shared" si="143"/>
        <v>0.68181818181818188</v>
      </c>
    </row>
    <row r="614" spans="1:43" x14ac:dyDescent="0.35">
      <c r="A614" t="s">
        <v>43</v>
      </c>
      <c r="B614">
        <v>10</v>
      </c>
      <c r="C614">
        <v>2</v>
      </c>
      <c r="D614" t="s">
        <v>42</v>
      </c>
      <c r="E614">
        <v>2</v>
      </c>
      <c r="F614">
        <v>1</v>
      </c>
      <c r="G614" s="12">
        <v>70</v>
      </c>
      <c r="H614" s="12">
        <v>23.106000000000002</v>
      </c>
      <c r="I614" s="12">
        <v>1238</v>
      </c>
      <c r="J614" s="12">
        <v>25.645</v>
      </c>
      <c r="K614" s="12">
        <v>63.948</v>
      </c>
      <c r="L614" s="12">
        <v>0.495</v>
      </c>
      <c r="M614" s="19">
        <v>613.36</v>
      </c>
      <c r="N614" s="12">
        <v>9.1430000000000007</v>
      </c>
      <c r="O614" s="13">
        <v>8.7620000000000005</v>
      </c>
      <c r="P614" s="14">
        <v>70</v>
      </c>
      <c r="Q614" s="14">
        <v>25.645</v>
      </c>
      <c r="R614" s="14">
        <v>191.08199999999999</v>
      </c>
      <c r="S614" s="14">
        <v>422.27800000000002</v>
      </c>
      <c r="T614" s="10" t="b">
        <f t="shared" si="144"/>
        <v>1</v>
      </c>
      <c r="U614" s="10" t="b">
        <f t="shared" si="145"/>
        <v>1</v>
      </c>
      <c r="V614" s="11">
        <f>VLOOKUP(IF(J614&lt;10, 10, IF(J614&gt;50,50,J614)),'Over to underbark'!$A$3:$C$43,IF(A614="Scots pine",3,IF(A614="Sitka spruce",2, "error")),TRUE)/100</f>
        <v>0.9</v>
      </c>
      <c r="W614">
        <f t="shared" si="146"/>
        <v>154.77642</v>
      </c>
      <c r="X614">
        <f t="shared" si="147"/>
        <v>342.04518000000002</v>
      </c>
      <c r="Y614">
        <f t="shared" si="148"/>
        <v>55.20239999999999</v>
      </c>
      <c r="Z614">
        <f t="shared" ref="Z614:Z621" si="150">(50%*Y614)+(46%*W614)+(15%*X614)+(43%*W614*10%)+(43%*W614*90%*5%)+(25%*X614*50%)+(60%*X614*8%)</f>
        <v>218.929256127</v>
      </c>
      <c r="AA614">
        <f t="shared" ref="AA614:AA621" si="151">(50%*Y614)+(11%*W614)</f>
        <v>44.626606199999998</v>
      </c>
      <c r="AB614">
        <f t="shared" ref="AB614:AB621" si="152">(43%*W614*90%*95%)+(25%*X614*50%)</f>
        <v>99.65919831299999</v>
      </c>
      <c r="AC614">
        <f t="shared" ref="AC614:AC621" si="153">60%*X614*92%</f>
        <v>188.80893936000001</v>
      </c>
      <c r="AD614">
        <f>LOOKUP($A614,'Over to underbark'!$A$47:$A$48,'Over to underbark'!E$47:E$48)*Z614</f>
        <v>72.246654521910003</v>
      </c>
      <c r="AE614">
        <f>LOOKUP($A614,'Over to underbark'!$A$47:$A$48,'Over to underbark'!E$47:E$48)*AA614</f>
        <v>14.726780046</v>
      </c>
      <c r="AF614">
        <f>LOOKUP($A614,'Over to underbark'!$A$47:$A$48,'Over to underbark'!E$47:E$48)*AB614</f>
        <v>32.887535443289998</v>
      </c>
      <c r="AG614">
        <f>LOOKUP($A614,'Over to underbark'!$A$47:$A$48,'Over to underbark'!E$47:E$48)*AC614</f>
        <v>62.306949988800007</v>
      </c>
      <c r="AH614" t="b">
        <f t="shared" ref="AH614:AH621" si="154">SUM(W614:Y614)=SUM(Z614:AC614)</f>
        <v>1</v>
      </c>
      <c r="AI614" t="b">
        <f t="shared" si="149"/>
        <v>1</v>
      </c>
      <c r="AJ614">
        <f>LOOKUP(A614,'Over to underbark'!$A$47:$A$48,'Over to underbark'!E$47:E$48)*M614</f>
        <v>202.40880000000001</v>
      </c>
      <c r="AK614" s="22">
        <f>LOOKUP(A614,'Over to underbark'!$A$47:$A$48,'Over to underbark'!$B$47:$B$48)*AJ614</f>
        <v>64.770816000000011</v>
      </c>
      <c r="AL614" s="22">
        <f>LOOKUP(A614,'Over to underbark'!$A$47:$A$48,'Over to underbark'!C$47:C$48)*AJ614</f>
        <v>99.180312000000001</v>
      </c>
      <c r="AM614" s="22">
        <f t="shared" ref="AM614:AM621" si="155">AJ614+AK614</f>
        <v>267.17961600000001</v>
      </c>
      <c r="AN614" s="36">
        <v>809.64</v>
      </c>
      <c r="AO614" s="23">
        <f t="shared" ref="AO614:AO621" si="156">AM614*2</f>
        <v>534.35923200000002</v>
      </c>
      <c r="AQ614">
        <f t="shared" si="143"/>
        <v>0.68181818181818188</v>
      </c>
    </row>
    <row r="615" spans="1:43" x14ac:dyDescent="0.35">
      <c r="A615" t="s">
        <v>43</v>
      </c>
      <c r="B615">
        <v>10</v>
      </c>
      <c r="C615">
        <v>2</v>
      </c>
      <c r="D615" t="s">
        <v>42</v>
      </c>
      <c r="E615">
        <v>2</v>
      </c>
      <c r="F615">
        <v>1</v>
      </c>
      <c r="G615" s="12">
        <v>71</v>
      </c>
      <c r="H615" s="12">
        <v>23.268000000000001</v>
      </c>
      <c r="I615" s="12">
        <v>1226</v>
      </c>
      <c r="J615" s="12">
        <v>25.821999999999999</v>
      </c>
      <c r="K615" s="12">
        <v>64.201999999999998</v>
      </c>
      <c r="L615" s="12">
        <v>0.505</v>
      </c>
      <c r="M615" s="19">
        <v>619.28</v>
      </c>
      <c r="N615" s="12">
        <v>9.3610000000000007</v>
      </c>
      <c r="O615" s="13">
        <v>8.7219999999999995</v>
      </c>
      <c r="P615" s="14">
        <v>71</v>
      </c>
      <c r="Q615" s="14">
        <v>25.821999999999999</v>
      </c>
      <c r="R615" s="14">
        <v>189.05699999999999</v>
      </c>
      <c r="S615" s="14">
        <v>430.22300000000001</v>
      </c>
      <c r="T615" s="10" t="b">
        <f t="shared" si="144"/>
        <v>1</v>
      </c>
      <c r="U615" s="10" t="b">
        <f t="shared" si="145"/>
        <v>1</v>
      </c>
      <c r="V615" s="11">
        <f>VLOOKUP(IF(J615&lt;10, 10, IF(J615&gt;50,50,J615)),'Over to underbark'!$A$3:$C$43,IF(A615="Scots pine",3,IF(A615="Sitka spruce",2, "error")),TRUE)/100</f>
        <v>0.9</v>
      </c>
      <c r="W615">
        <f t="shared" si="146"/>
        <v>153.13616999999999</v>
      </c>
      <c r="X615">
        <f t="shared" si="147"/>
        <v>348.48063000000002</v>
      </c>
      <c r="Y615">
        <f t="shared" si="148"/>
        <v>55.735199999999985</v>
      </c>
      <c r="Z615">
        <f t="shared" si="150"/>
        <v>220.41752188949999</v>
      </c>
      <c r="AA615">
        <f t="shared" si="151"/>
        <v>44.712578699999995</v>
      </c>
      <c r="AB615">
        <f t="shared" si="152"/>
        <v>99.860591650499998</v>
      </c>
      <c r="AC615">
        <f t="shared" si="153"/>
        <v>192.36130776000002</v>
      </c>
      <c r="AD615">
        <f>LOOKUP($A615,'Over to underbark'!$A$47:$A$48,'Over to underbark'!E$47:E$48)*Z615</f>
        <v>72.737782223535007</v>
      </c>
      <c r="AE615">
        <f>LOOKUP($A615,'Over to underbark'!$A$47:$A$48,'Over to underbark'!E$47:E$48)*AA615</f>
        <v>14.755150970999999</v>
      </c>
      <c r="AF615">
        <f>LOOKUP($A615,'Over to underbark'!$A$47:$A$48,'Over to underbark'!E$47:E$48)*AB615</f>
        <v>32.953995244665002</v>
      </c>
      <c r="AG615">
        <f>LOOKUP($A615,'Over to underbark'!$A$47:$A$48,'Over to underbark'!E$47:E$48)*AC615</f>
        <v>63.47923156080001</v>
      </c>
      <c r="AH615" t="b">
        <f t="shared" si="154"/>
        <v>1</v>
      </c>
      <c r="AI615" t="b">
        <f t="shared" si="149"/>
        <v>1</v>
      </c>
      <c r="AJ615">
        <f>LOOKUP(A615,'Over to underbark'!$A$47:$A$48,'Over to underbark'!E$47:E$48)*M615</f>
        <v>204.36240000000001</v>
      </c>
      <c r="AK615" s="22">
        <f>LOOKUP(A615,'Over to underbark'!$A$47:$A$48,'Over to underbark'!$B$47:$B$48)*AJ615</f>
        <v>65.395968000000011</v>
      </c>
      <c r="AL615" s="22">
        <f>LOOKUP(A615,'Over to underbark'!$A$47:$A$48,'Over to underbark'!C$47:C$48)*AJ615</f>
        <v>100.137576</v>
      </c>
      <c r="AM615" s="22">
        <f t="shared" si="155"/>
        <v>269.75836800000002</v>
      </c>
      <c r="AN615" s="36">
        <v>817.45</v>
      </c>
      <c r="AO615" s="23">
        <f t="shared" si="156"/>
        <v>539.51673600000004</v>
      </c>
      <c r="AQ615">
        <f t="shared" si="143"/>
        <v>0.68181818181818177</v>
      </c>
    </row>
    <row r="616" spans="1:43" x14ac:dyDescent="0.35">
      <c r="A616" t="s">
        <v>43</v>
      </c>
      <c r="B616">
        <v>10</v>
      </c>
      <c r="C616">
        <v>2</v>
      </c>
      <c r="D616" t="s">
        <v>42</v>
      </c>
      <c r="E616">
        <v>2</v>
      </c>
      <c r="F616">
        <v>1</v>
      </c>
      <c r="G616" s="12">
        <v>72</v>
      </c>
      <c r="H616" s="12">
        <v>23.43</v>
      </c>
      <c r="I616" s="12">
        <v>1214</v>
      </c>
      <c r="J616" s="12">
        <v>26</v>
      </c>
      <c r="K616" s="12">
        <v>64.454999999999998</v>
      </c>
      <c r="L616" s="12">
        <v>0.51500000000000001</v>
      </c>
      <c r="M616" s="19">
        <v>625.20000000000005</v>
      </c>
      <c r="N616" s="12">
        <v>9.5749999999999993</v>
      </c>
      <c r="O616" s="13">
        <v>8.6829999999999998</v>
      </c>
      <c r="P616" s="14">
        <v>72</v>
      </c>
      <c r="Q616" s="14">
        <v>26</v>
      </c>
      <c r="R616" s="14">
        <v>187.00200000000001</v>
      </c>
      <c r="S616" s="14">
        <v>438.19799999999998</v>
      </c>
      <c r="T616" s="10" t="b">
        <f t="shared" si="144"/>
        <v>1</v>
      </c>
      <c r="U616" s="10" t="b">
        <f t="shared" si="145"/>
        <v>1</v>
      </c>
      <c r="V616" s="11">
        <f>VLOOKUP(IF(J616&lt;10, 10, IF(J616&gt;50,50,J616)),'Over to underbark'!$A$3:$C$43,IF(A616="Scots pine",3,IF(A616="Sitka spruce",2, "error")),TRUE)/100</f>
        <v>0.9</v>
      </c>
      <c r="W616">
        <f t="shared" si="146"/>
        <v>151.47162000000003</v>
      </c>
      <c r="X616">
        <f t="shared" si="147"/>
        <v>354.94038</v>
      </c>
      <c r="Y616">
        <f t="shared" si="148"/>
        <v>56.267999999999994</v>
      </c>
      <c r="Z616">
        <f t="shared" si="150"/>
        <v>221.900943447</v>
      </c>
      <c r="AA616">
        <f t="shared" si="151"/>
        <v>44.795878200000004</v>
      </c>
      <c r="AB616">
        <f t="shared" si="152"/>
        <v>100.056088593</v>
      </c>
      <c r="AC616">
        <f t="shared" si="153"/>
        <v>195.92708976</v>
      </c>
      <c r="AD616">
        <f>LOOKUP($A616,'Over to underbark'!$A$47:$A$48,'Over to underbark'!E$47:E$48)*Z616</f>
        <v>73.227311337510002</v>
      </c>
      <c r="AE616">
        <f>LOOKUP($A616,'Over to underbark'!$A$47:$A$48,'Over to underbark'!E$47:E$48)*AA616</f>
        <v>14.782639806000002</v>
      </c>
      <c r="AF616">
        <f>LOOKUP($A616,'Over to underbark'!$A$47:$A$48,'Over to underbark'!E$47:E$48)*AB616</f>
        <v>33.018509235690004</v>
      </c>
      <c r="AG616">
        <f>LOOKUP($A616,'Over to underbark'!$A$47:$A$48,'Over to underbark'!E$47:E$48)*AC616</f>
        <v>64.655939620799998</v>
      </c>
      <c r="AH616" t="b">
        <f t="shared" si="154"/>
        <v>1</v>
      </c>
      <c r="AI616" t="b">
        <f t="shared" si="149"/>
        <v>1</v>
      </c>
      <c r="AJ616">
        <f>LOOKUP(A616,'Over to underbark'!$A$47:$A$48,'Over to underbark'!E$47:E$48)*M616</f>
        <v>206.31600000000003</v>
      </c>
      <c r="AK616" s="22">
        <f>LOOKUP(A616,'Over to underbark'!$A$47:$A$48,'Over to underbark'!$B$47:$B$48)*AJ616</f>
        <v>66.02112000000001</v>
      </c>
      <c r="AL616" s="22">
        <f>LOOKUP(A616,'Over to underbark'!$A$47:$A$48,'Over to underbark'!C$47:C$48)*AJ616</f>
        <v>101.09484000000002</v>
      </c>
      <c r="AM616" s="22">
        <f t="shared" si="155"/>
        <v>272.33712000000003</v>
      </c>
      <c r="AN616" s="36">
        <v>825.26</v>
      </c>
      <c r="AO616" s="23">
        <f t="shared" si="156"/>
        <v>544.67424000000005</v>
      </c>
      <c r="AQ616">
        <f t="shared" si="143"/>
        <v>0.68181818181818177</v>
      </c>
    </row>
    <row r="617" spans="1:43" x14ac:dyDescent="0.35">
      <c r="A617" t="s">
        <v>43</v>
      </c>
      <c r="B617">
        <v>10</v>
      </c>
      <c r="C617">
        <v>2</v>
      </c>
      <c r="D617" t="s">
        <v>42</v>
      </c>
      <c r="E617">
        <v>2</v>
      </c>
      <c r="F617">
        <v>1</v>
      </c>
      <c r="G617" s="12">
        <v>73</v>
      </c>
      <c r="H617" s="12">
        <v>23.58</v>
      </c>
      <c r="I617" s="12">
        <v>1203</v>
      </c>
      <c r="J617" s="12">
        <v>26.15</v>
      </c>
      <c r="K617" s="12">
        <v>64.611000000000004</v>
      </c>
      <c r="L617" s="12">
        <v>0.52400000000000002</v>
      </c>
      <c r="M617" s="19">
        <v>630.16</v>
      </c>
      <c r="N617" s="12">
        <v>9.7919999999999998</v>
      </c>
      <c r="O617" s="13">
        <v>8.6319999999999997</v>
      </c>
      <c r="P617" s="14">
        <v>73</v>
      </c>
      <c r="Q617" s="14">
        <v>26.15</v>
      </c>
      <c r="R617" s="14">
        <v>185.25700000000001</v>
      </c>
      <c r="S617" s="14">
        <v>444.90300000000002</v>
      </c>
      <c r="T617" s="10" t="b">
        <f t="shared" si="144"/>
        <v>1</v>
      </c>
      <c r="U617" s="10" t="b">
        <f t="shared" si="145"/>
        <v>1</v>
      </c>
      <c r="V617" s="11">
        <f>VLOOKUP(IF(J617&lt;10, 10, IF(J617&gt;50,50,J617)),'Over to underbark'!$A$3:$C$43,IF(A617="Scots pine",3,IF(A617="Sitka spruce",2, "error")),TRUE)/100</f>
        <v>0.9</v>
      </c>
      <c r="W617">
        <f t="shared" si="146"/>
        <v>150.05817000000002</v>
      </c>
      <c r="X617">
        <f t="shared" si="147"/>
        <v>360.37143000000003</v>
      </c>
      <c r="Y617">
        <f t="shared" si="148"/>
        <v>56.714399999999998</v>
      </c>
      <c r="Z617">
        <f t="shared" si="150"/>
        <v>223.14005698950004</v>
      </c>
      <c r="AA617">
        <f t="shared" si="151"/>
        <v>44.863598699999997</v>
      </c>
      <c r="AB617">
        <f t="shared" si="152"/>
        <v>100.21531495050002</v>
      </c>
      <c r="AC617">
        <f t="shared" si="153"/>
        <v>198.92502936000002</v>
      </c>
      <c r="AD617">
        <f>LOOKUP($A617,'Over to underbark'!$A$47:$A$48,'Over to underbark'!E$47:E$48)*Z617</f>
        <v>73.636218806535013</v>
      </c>
      <c r="AE617">
        <f>LOOKUP($A617,'Over to underbark'!$A$47:$A$48,'Over to underbark'!E$47:E$48)*AA617</f>
        <v>14.804987571</v>
      </c>
      <c r="AF617">
        <f>LOOKUP($A617,'Over to underbark'!$A$47:$A$48,'Over to underbark'!E$47:E$48)*AB617</f>
        <v>33.071053933665006</v>
      </c>
      <c r="AG617">
        <f>LOOKUP($A617,'Over to underbark'!$A$47:$A$48,'Over to underbark'!E$47:E$48)*AC617</f>
        <v>65.64525968880001</v>
      </c>
      <c r="AH617" t="b">
        <f t="shared" si="154"/>
        <v>1</v>
      </c>
      <c r="AI617" t="b">
        <f t="shared" si="149"/>
        <v>1</v>
      </c>
      <c r="AJ617">
        <f>LOOKUP(A617,'Over to underbark'!$A$47:$A$48,'Over to underbark'!E$47:E$48)*M617</f>
        <v>207.9528</v>
      </c>
      <c r="AK617" s="22">
        <f>LOOKUP(A617,'Over to underbark'!$A$47:$A$48,'Over to underbark'!$B$47:$B$48)*AJ617</f>
        <v>66.544895999999994</v>
      </c>
      <c r="AL617" s="22">
        <f>LOOKUP(A617,'Over to underbark'!$A$47:$A$48,'Over to underbark'!C$47:C$48)*AJ617</f>
        <v>101.896872</v>
      </c>
      <c r="AM617" s="22">
        <f t="shared" si="155"/>
        <v>274.49769600000002</v>
      </c>
      <c r="AN617" s="36">
        <v>831.81</v>
      </c>
      <c r="AO617" s="23">
        <f t="shared" si="156"/>
        <v>548.99539200000004</v>
      </c>
      <c r="AQ617">
        <f t="shared" si="143"/>
        <v>0.68181818181818188</v>
      </c>
    </row>
    <row r="618" spans="1:43" x14ac:dyDescent="0.35">
      <c r="A618" t="s">
        <v>43</v>
      </c>
      <c r="B618">
        <v>10</v>
      </c>
      <c r="C618">
        <v>2</v>
      </c>
      <c r="D618" t="s">
        <v>42</v>
      </c>
      <c r="E618">
        <v>2</v>
      </c>
      <c r="F618">
        <v>1</v>
      </c>
      <c r="G618" s="12">
        <v>74</v>
      </c>
      <c r="H618" s="12">
        <v>23.73</v>
      </c>
      <c r="I618" s="12">
        <v>1192</v>
      </c>
      <c r="J618" s="12">
        <v>26.302</v>
      </c>
      <c r="K618" s="12">
        <v>64.766000000000005</v>
      </c>
      <c r="L618" s="12">
        <v>0.53300000000000003</v>
      </c>
      <c r="M618" s="19">
        <v>635.12</v>
      </c>
      <c r="N618" s="12">
        <v>10.004</v>
      </c>
      <c r="O618" s="13">
        <v>8.5830000000000002</v>
      </c>
      <c r="P618" s="14">
        <v>74</v>
      </c>
      <c r="Q618" s="14">
        <v>26.302</v>
      </c>
      <c r="R618" s="14">
        <v>183.465</v>
      </c>
      <c r="S618" s="14">
        <v>451.65499999999997</v>
      </c>
      <c r="T618" s="10" t="b">
        <f t="shared" si="144"/>
        <v>1</v>
      </c>
      <c r="U618" s="10" t="b">
        <f t="shared" si="145"/>
        <v>1</v>
      </c>
      <c r="V618" s="11">
        <f>VLOOKUP(IF(J618&lt;10, 10, IF(J618&gt;50,50,J618)),'Over to underbark'!$A$3:$C$43,IF(A618="Scots pine",3,IF(A618="Sitka spruce",2, "error")),TRUE)/100</f>
        <v>0.9</v>
      </c>
      <c r="W618">
        <f t="shared" si="146"/>
        <v>148.60665</v>
      </c>
      <c r="X618">
        <f t="shared" si="147"/>
        <v>365.84054999999995</v>
      </c>
      <c r="Y618">
        <f t="shared" si="148"/>
        <v>57.160799999999995</v>
      </c>
      <c r="Z618">
        <f t="shared" si="150"/>
        <v>224.37158127749998</v>
      </c>
      <c r="AA618">
        <f t="shared" si="151"/>
        <v>44.927131500000002</v>
      </c>
      <c r="AB618">
        <f t="shared" si="152"/>
        <v>100.36530362249999</v>
      </c>
      <c r="AC618">
        <f t="shared" si="153"/>
        <v>201.94398359999997</v>
      </c>
      <c r="AD618">
        <f>LOOKUP($A618,'Over to underbark'!$A$47:$A$48,'Over to underbark'!E$47:E$48)*Z618</f>
        <v>74.042621821574997</v>
      </c>
      <c r="AE618">
        <f>LOOKUP($A618,'Over to underbark'!$A$47:$A$48,'Over to underbark'!E$47:E$48)*AA618</f>
        <v>14.825953395000001</v>
      </c>
      <c r="AF618">
        <f>LOOKUP($A618,'Over to underbark'!$A$47:$A$48,'Over to underbark'!E$47:E$48)*AB618</f>
        <v>33.120550195424997</v>
      </c>
      <c r="AG618">
        <f>LOOKUP($A618,'Over to underbark'!$A$47:$A$48,'Over to underbark'!E$47:E$48)*AC618</f>
        <v>66.641514587999993</v>
      </c>
      <c r="AH618" t="b">
        <f t="shared" si="154"/>
        <v>1</v>
      </c>
      <c r="AI618" t="b">
        <f t="shared" si="149"/>
        <v>1</v>
      </c>
      <c r="AJ618">
        <f>LOOKUP(A618,'Over to underbark'!$A$47:$A$48,'Over to underbark'!E$47:E$48)*M618</f>
        <v>209.58960000000002</v>
      </c>
      <c r="AK618" s="22">
        <f>LOOKUP(A618,'Over to underbark'!$A$47:$A$48,'Over to underbark'!$B$47:$B$48)*AJ618</f>
        <v>67.068672000000007</v>
      </c>
      <c r="AL618" s="22">
        <f>LOOKUP(A618,'Over to underbark'!$A$47:$A$48,'Over to underbark'!C$47:C$48)*AJ618</f>
        <v>102.69890400000001</v>
      </c>
      <c r="AM618" s="22">
        <f t="shared" si="155"/>
        <v>276.65827200000001</v>
      </c>
      <c r="AN618" s="36">
        <v>838.36</v>
      </c>
      <c r="AO618" s="23">
        <f t="shared" si="156"/>
        <v>553.31654400000002</v>
      </c>
      <c r="AQ618">
        <f t="shared" si="143"/>
        <v>0.68181818181818166</v>
      </c>
    </row>
    <row r="619" spans="1:43" x14ac:dyDescent="0.35">
      <c r="A619" t="s">
        <v>43</v>
      </c>
      <c r="B619">
        <v>10</v>
      </c>
      <c r="C619">
        <v>2</v>
      </c>
      <c r="D619" t="s">
        <v>42</v>
      </c>
      <c r="E619">
        <v>2</v>
      </c>
      <c r="F619">
        <v>1</v>
      </c>
      <c r="G619" s="12">
        <v>75</v>
      </c>
      <c r="H619" s="12">
        <v>23.88</v>
      </c>
      <c r="I619" s="12">
        <v>1181</v>
      </c>
      <c r="J619" s="12">
        <v>26.456</v>
      </c>
      <c r="K619" s="12">
        <v>64.921999999999997</v>
      </c>
      <c r="L619" s="12">
        <v>0.54200000000000004</v>
      </c>
      <c r="M619" s="19">
        <v>640.08000000000004</v>
      </c>
      <c r="N619" s="12">
        <v>10.212</v>
      </c>
      <c r="O619" s="13">
        <v>8.5340000000000007</v>
      </c>
      <c r="P619" s="14">
        <v>75</v>
      </c>
      <c r="Q619" s="14">
        <v>26.456</v>
      </c>
      <c r="R619" s="14">
        <v>181.62899999999999</v>
      </c>
      <c r="S619" s="14">
        <v>458.45100000000002</v>
      </c>
      <c r="T619" s="10" t="b">
        <f t="shared" si="144"/>
        <v>1</v>
      </c>
      <c r="U619" s="10" t="b">
        <f t="shared" si="145"/>
        <v>1</v>
      </c>
      <c r="V619" s="11">
        <f>VLOOKUP(IF(J619&lt;10, 10, IF(J619&gt;50,50,J619)),'Over to underbark'!$A$3:$C$43,IF(A619="Scots pine",3,IF(A619="Sitka spruce",2, "error")),TRUE)/100</f>
        <v>0.9</v>
      </c>
      <c r="W619">
        <f t="shared" si="146"/>
        <v>147.11948999999998</v>
      </c>
      <c r="X619">
        <f t="shared" si="147"/>
        <v>371.34531000000004</v>
      </c>
      <c r="Y619">
        <f t="shared" si="148"/>
        <v>57.607199999999985</v>
      </c>
      <c r="Z619">
        <f t="shared" si="150"/>
        <v>225.5960007315</v>
      </c>
      <c r="AA619">
        <f t="shared" si="151"/>
        <v>44.986743899999993</v>
      </c>
      <c r="AB619">
        <f t="shared" si="152"/>
        <v>100.5066442485</v>
      </c>
      <c r="AC619">
        <f t="shared" si="153"/>
        <v>204.98261112000003</v>
      </c>
      <c r="AD619">
        <f>LOOKUP($A619,'Over to underbark'!$A$47:$A$48,'Over to underbark'!E$47:E$48)*Z619</f>
        <v>74.446680241395001</v>
      </c>
      <c r="AE619">
        <f>LOOKUP($A619,'Over to underbark'!$A$47:$A$48,'Over to underbark'!E$47:E$48)*AA619</f>
        <v>14.845625486999998</v>
      </c>
      <c r="AF619">
        <f>LOOKUP($A619,'Over to underbark'!$A$47:$A$48,'Over to underbark'!E$47:E$48)*AB619</f>
        <v>33.167192602005002</v>
      </c>
      <c r="AG619">
        <f>LOOKUP($A619,'Over to underbark'!$A$47:$A$48,'Over to underbark'!E$47:E$48)*AC619</f>
        <v>67.644261669600013</v>
      </c>
      <c r="AH619" t="b">
        <f t="shared" si="154"/>
        <v>1</v>
      </c>
      <c r="AI619" t="b">
        <f t="shared" si="149"/>
        <v>1</v>
      </c>
      <c r="AJ619">
        <f>LOOKUP(A619,'Over to underbark'!$A$47:$A$48,'Over to underbark'!E$47:E$48)*M619</f>
        <v>211.22640000000001</v>
      </c>
      <c r="AK619" s="22">
        <f>LOOKUP(A619,'Over to underbark'!$A$47:$A$48,'Over to underbark'!$B$47:$B$48)*AJ619</f>
        <v>67.592448000000005</v>
      </c>
      <c r="AL619" s="22">
        <f>LOOKUP(A619,'Over to underbark'!$A$47:$A$48,'Over to underbark'!C$47:C$48)*AJ619</f>
        <v>103.50093600000001</v>
      </c>
      <c r="AM619" s="22">
        <f t="shared" si="155"/>
        <v>278.818848</v>
      </c>
      <c r="AN619" s="36">
        <v>844.91</v>
      </c>
      <c r="AO619" s="23">
        <f t="shared" si="156"/>
        <v>557.63769600000001</v>
      </c>
      <c r="AQ619">
        <f t="shared" si="143"/>
        <v>0.68181818181818188</v>
      </c>
    </row>
    <row r="620" spans="1:43" x14ac:dyDescent="0.35">
      <c r="A620" t="s">
        <v>43</v>
      </c>
      <c r="B620">
        <v>10</v>
      </c>
      <c r="C620">
        <v>2</v>
      </c>
      <c r="D620" t="s">
        <v>42</v>
      </c>
      <c r="E620">
        <v>2</v>
      </c>
      <c r="F620">
        <v>1</v>
      </c>
      <c r="G620" s="12">
        <v>76</v>
      </c>
      <c r="H620" s="12">
        <v>24.03</v>
      </c>
      <c r="I620" s="12">
        <v>1170</v>
      </c>
      <c r="J620" s="12">
        <v>26.611999999999998</v>
      </c>
      <c r="K620" s="12">
        <v>65.078000000000003</v>
      </c>
      <c r="L620" s="12">
        <v>0.55100000000000005</v>
      </c>
      <c r="M620" s="19">
        <v>645.04</v>
      </c>
      <c r="N620" s="12">
        <v>10.416</v>
      </c>
      <c r="O620" s="13">
        <v>8.4870000000000001</v>
      </c>
      <c r="P620" s="14">
        <v>76</v>
      </c>
      <c r="Q620" s="14">
        <v>26.611999999999998</v>
      </c>
      <c r="R620" s="14">
        <v>179.75</v>
      </c>
      <c r="S620" s="14">
        <v>465.29</v>
      </c>
      <c r="T620" s="10" t="b">
        <f t="shared" si="144"/>
        <v>1</v>
      </c>
      <c r="U620" s="10" t="b">
        <f t="shared" si="145"/>
        <v>1</v>
      </c>
      <c r="V620" s="11">
        <f>VLOOKUP(IF(J620&lt;10, 10, IF(J620&gt;50,50,J620)),'Over to underbark'!$A$3:$C$43,IF(A620="Scots pine",3,IF(A620="Sitka spruce",2, "error")),TRUE)/100</f>
        <v>0.9</v>
      </c>
      <c r="W620">
        <f t="shared" si="146"/>
        <v>145.5975</v>
      </c>
      <c r="X620">
        <f t="shared" si="147"/>
        <v>376.88490000000002</v>
      </c>
      <c r="Y620">
        <f t="shared" si="148"/>
        <v>58.053599999999982</v>
      </c>
      <c r="Z620">
        <f t="shared" si="150"/>
        <v>226.81347682500001</v>
      </c>
      <c r="AA620">
        <f t="shared" si="151"/>
        <v>45.042524999999991</v>
      </c>
      <c r="AB620">
        <f t="shared" si="152"/>
        <v>100.639533375</v>
      </c>
      <c r="AC620">
        <f t="shared" si="153"/>
        <v>208.04046480000002</v>
      </c>
      <c r="AD620">
        <f>LOOKUP($A620,'Over to underbark'!$A$47:$A$48,'Over to underbark'!E$47:E$48)*Z620</f>
        <v>74.848447352250005</v>
      </c>
      <c r="AE620">
        <f>LOOKUP($A620,'Over to underbark'!$A$47:$A$48,'Over to underbark'!E$47:E$48)*AA620</f>
        <v>14.864033249999997</v>
      </c>
      <c r="AF620">
        <f>LOOKUP($A620,'Over to underbark'!$A$47:$A$48,'Over to underbark'!E$47:E$48)*AB620</f>
        <v>33.21104601375</v>
      </c>
      <c r="AG620">
        <f>LOOKUP($A620,'Over to underbark'!$A$47:$A$48,'Over to underbark'!E$47:E$48)*AC620</f>
        <v>68.653353384000013</v>
      </c>
      <c r="AH620" t="b">
        <f t="shared" si="154"/>
        <v>1</v>
      </c>
      <c r="AI620" t="b">
        <f t="shared" si="149"/>
        <v>1</v>
      </c>
      <c r="AJ620">
        <f>LOOKUP(A620,'Over to underbark'!$A$47:$A$48,'Over to underbark'!E$47:E$48)*M620</f>
        <v>212.86320000000001</v>
      </c>
      <c r="AK620" s="22">
        <f>LOOKUP(A620,'Over to underbark'!$A$47:$A$48,'Over to underbark'!$B$47:$B$48)*AJ620</f>
        <v>68.116224000000003</v>
      </c>
      <c r="AL620" s="22">
        <f>LOOKUP(A620,'Over to underbark'!$A$47:$A$48,'Over to underbark'!C$47:C$48)*AJ620</f>
        <v>104.30296800000001</v>
      </c>
      <c r="AM620" s="22">
        <f t="shared" si="155"/>
        <v>280.97942399999999</v>
      </c>
      <c r="AN620" s="36">
        <v>851.45</v>
      </c>
      <c r="AO620" s="23">
        <f t="shared" si="156"/>
        <v>561.95884799999999</v>
      </c>
      <c r="AQ620">
        <f t="shared" si="143"/>
        <v>0.68181818181818188</v>
      </c>
    </row>
    <row r="621" spans="1:43" x14ac:dyDescent="0.35">
      <c r="A621" t="s">
        <v>43</v>
      </c>
      <c r="B621">
        <v>10</v>
      </c>
      <c r="C621">
        <v>2</v>
      </c>
      <c r="D621" t="s">
        <v>42</v>
      </c>
      <c r="E621">
        <v>2</v>
      </c>
      <c r="F621">
        <v>1</v>
      </c>
      <c r="G621" s="12">
        <v>77</v>
      </c>
      <c r="H621" s="12">
        <v>24.18</v>
      </c>
      <c r="I621" s="12">
        <v>1159</v>
      </c>
      <c r="J621" s="12">
        <v>26.77</v>
      </c>
      <c r="K621" s="12">
        <v>65.233000000000004</v>
      </c>
      <c r="L621" s="12">
        <v>0.56100000000000005</v>
      </c>
      <c r="M621" s="19">
        <v>650</v>
      </c>
      <c r="N621" s="12">
        <v>10.616</v>
      </c>
      <c r="O621" s="13">
        <v>8.4420000000000002</v>
      </c>
      <c r="P621" s="14">
        <v>77</v>
      </c>
      <c r="Q621" s="14">
        <v>26.77</v>
      </c>
      <c r="R621" s="14">
        <v>177.82900000000001</v>
      </c>
      <c r="S621" s="14">
        <v>472.17099999999999</v>
      </c>
      <c r="T621" s="10" t="b">
        <f t="shared" si="144"/>
        <v>1</v>
      </c>
      <c r="U621" s="10" t="b">
        <f t="shared" si="145"/>
        <v>1</v>
      </c>
      <c r="V621" s="11">
        <f>VLOOKUP(IF(J621&lt;10, 10, IF(J621&gt;50,50,J621)),'Over to underbark'!$A$3:$C$43,IF(A621="Scots pine",3,IF(A621="Sitka spruce",2, "error")),TRUE)/100</f>
        <v>0.9</v>
      </c>
      <c r="W621">
        <f t="shared" si="146"/>
        <v>144.04149000000004</v>
      </c>
      <c r="X621">
        <f t="shared" si="147"/>
        <v>382.45850999999999</v>
      </c>
      <c r="Y621">
        <f t="shared" si="148"/>
        <v>58.499999999999986</v>
      </c>
      <c r="Z621">
        <f t="shared" si="150"/>
        <v>228.02417103149998</v>
      </c>
      <c r="AA621">
        <f t="shared" si="151"/>
        <v>45.094563899999997</v>
      </c>
      <c r="AB621">
        <f t="shared" si="152"/>
        <v>100.76416754850001</v>
      </c>
      <c r="AC621">
        <f t="shared" si="153"/>
        <v>211.11709751999999</v>
      </c>
      <c r="AD621">
        <f>LOOKUP($A621,'Over to underbark'!$A$47:$A$48,'Over to underbark'!E$47:E$48)*Z621</f>
        <v>75.247976440394993</v>
      </c>
      <c r="AE621">
        <f>LOOKUP($A621,'Over to underbark'!$A$47:$A$48,'Over to underbark'!E$47:E$48)*AA621</f>
        <v>14.881206086999999</v>
      </c>
      <c r="AF621">
        <f>LOOKUP($A621,'Over to underbark'!$A$47:$A$48,'Over to underbark'!E$47:E$48)*AB621</f>
        <v>33.252175291005003</v>
      </c>
      <c r="AG621">
        <f>LOOKUP($A621,'Over to underbark'!$A$47:$A$48,'Over to underbark'!E$47:E$48)*AC621</f>
        <v>69.668642181599992</v>
      </c>
      <c r="AH621" t="b">
        <f t="shared" si="154"/>
        <v>1</v>
      </c>
      <c r="AI621" t="b">
        <f t="shared" si="149"/>
        <v>1</v>
      </c>
      <c r="AJ621">
        <f>LOOKUP(A621,'Over to underbark'!$A$47:$A$48,'Over to underbark'!E$47:E$48)*M621</f>
        <v>214.5</v>
      </c>
      <c r="AK621" s="22">
        <f>LOOKUP(A621,'Over to underbark'!$A$47:$A$48,'Over to underbark'!$B$47:$B$48)*AJ621</f>
        <v>68.64</v>
      </c>
      <c r="AL621" s="22">
        <f>LOOKUP(A621,'Over to underbark'!$A$47:$A$48,'Over to underbark'!C$47:C$48)*AJ621</f>
        <v>105.105</v>
      </c>
      <c r="AM621" s="22">
        <f t="shared" si="155"/>
        <v>283.14</v>
      </c>
      <c r="AN621" s="36">
        <v>858</v>
      </c>
      <c r="AO621" s="23">
        <f t="shared" si="156"/>
        <v>566.28</v>
      </c>
      <c r="AQ621">
        <f t="shared" si="143"/>
        <v>0.68181818181818177</v>
      </c>
    </row>
    <row r="622" spans="1:43" x14ac:dyDescent="0.35">
      <c r="A622" t="s">
        <v>43</v>
      </c>
      <c r="B622">
        <v>12</v>
      </c>
      <c r="C622">
        <v>2</v>
      </c>
      <c r="D622" t="s">
        <v>42</v>
      </c>
      <c r="E622">
        <v>2</v>
      </c>
      <c r="F622">
        <v>1</v>
      </c>
      <c r="G622" s="30">
        <v>20</v>
      </c>
      <c r="H622" s="30">
        <v>7.3</v>
      </c>
      <c r="I622" s="30">
        <v>2309</v>
      </c>
      <c r="J622" s="30">
        <v>11.45</v>
      </c>
      <c r="K622" s="30">
        <v>23.774999999999999</v>
      </c>
      <c r="L622" s="30">
        <v>2.9000000000000001E-2</v>
      </c>
      <c r="M622" s="30">
        <v>65.900000000000006</v>
      </c>
      <c r="N622" s="30">
        <v>0</v>
      </c>
      <c r="O622" s="29">
        <v>3.2949999999999999</v>
      </c>
      <c r="P622" s="31">
        <v>20</v>
      </c>
      <c r="Q622" s="31">
        <v>11.45</v>
      </c>
      <c r="R622" s="31">
        <v>65.900000000000006</v>
      </c>
      <c r="S622" s="31">
        <v>0</v>
      </c>
      <c r="T622" s="10" t="b">
        <f t="shared" ref="T622:T677" si="157">G622=P622</f>
        <v>1</v>
      </c>
      <c r="U622" s="10" t="b">
        <f t="shared" ref="U622:U677" si="158">J622=Q622</f>
        <v>1</v>
      </c>
      <c r="V622" s="11">
        <f>VLOOKUP(IF(J622&lt;10, 10, IF(J622&gt;50,50,J622)),'Over to underbark'!$A$3:$C$43,IF(A622="Scots pine",3,IF(A622="Sitka spruce",2, "error")),TRUE)/100</f>
        <v>0.82</v>
      </c>
      <c r="W622">
        <f t="shared" ref="W622:W685" si="159">R622*0.9*V622</f>
        <v>48.634200000000007</v>
      </c>
      <c r="X622">
        <f t="shared" ref="X622:X685" si="160">S622*0.9*V622</f>
        <v>0</v>
      </c>
      <c r="Y622">
        <f t="shared" ref="Y622:Y685" si="161">(R622+S622)*0.9*(100%-V622)</f>
        <v>10.675800000000004</v>
      </c>
      <c r="Z622">
        <f t="shared" ref="Z622:Z685" si="162">(50%*Y622)+(46%*W622)+(15%*X622)+(43%*W622*10%)+(43%*W622*90%*5%)+(25%*X622*50%)+(60%*X622*8%)</f>
        <v>30.741974370000008</v>
      </c>
      <c r="AA622">
        <f t="shared" ref="AA622:AA685" si="163">(50%*Y622)+(11%*W622)</f>
        <v>10.687662000000003</v>
      </c>
      <c r="AB622">
        <f t="shared" ref="AB622:AB685" si="164">(43%*W622*90%*95%)+(25%*X622*50%)</f>
        <v>17.880363630000002</v>
      </c>
      <c r="AC622">
        <f t="shared" ref="AC622:AC685" si="165">60%*X622*92%</f>
        <v>0</v>
      </c>
      <c r="AD622">
        <f>LOOKUP($A622,'Over to underbark'!$A$47:$A$48,'Over to underbark'!E$47:E$48)*Z622</f>
        <v>10.144851542100003</v>
      </c>
      <c r="AE622">
        <f>LOOKUP($A622,'Over to underbark'!$A$47:$A$48,'Over to underbark'!E$47:E$48)*AA622</f>
        <v>3.526928460000001</v>
      </c>
      <c r="AF622">
        <f>LOOKUP($A622,'Over to underbark'!$A$47:$A$48,'Over to underbark'!E$47:E$48)*AB622</f>
        <v>5.9005199979000009</v>
      </c>
      <c r="AG622">
        <f>LOOKUP($A622,'Over to underbark'!$A$47:$A$48,'Over to underbark'!E$47:E$48)*AC622</f>
        <v>0</v>
      </c>
      <c r="AH622" t="b">
        <f t="shared" ref="AH622:AH685" si="166">SUM(W622:Y622)=SUM(Z622:AC622)</f>
        <v>1</v>
      </c>
      <c r="AI622" t="b">
        <f t="shared" ref="AI622:AI685" si="167">SUM(R622:S622)*0.9 = SUM(W622:Y622)</f>
        <v>1</v>
      </c>
      <c r="AJ622">
        <f>LOOKUP(A622,'Over to underbark'!$A$47:$A$48,'Over to underbark'!E$47:E$48)*M622</f>
        <v>21.747000000000003</v>
      </c>
      <c r="AK622" s="22">
        <f>LOOKUP(A622,'Over to underbark'!$A$47:$A$48,'Over to underbark'!$B$47:$B$48)*AJ622</f>
        <v>6.9590400000000017</v>
      </c>
      <c r="AL622" s="22">
        <f>LOOKUP(A622,'Over to underbark'!$A$47:$A$48,'Over to underbark'!C$47:C$48)*AJ622</f>
        <v>10.656030000000001</v>
      </c>
      <c r="AM622" s="22">
        <f t="shared" ref="AM622:AM685" si="168">AJ622+AK622</f>
        <v>28.706040000000005</v>
      </c>
      <c r="AN622" s="36">
        <v>859</v>
      </c>
      <c r="AO622" s="23">
        <f t="shared" ref="AO622:AO685" si="169">AM622*2</f>
        <v>57.41208000000001</v>
      </c>
      <c r="AQ622">
        <f t="shared" si="143"/>
        <v>0.68181818181818188</v>
      </c>
    </row>
    <row r="623" spans="1:43" x14ac:dyDescent="0.35">
      <c r="A623" t="s">
        <v>43</v>
      </c>
      <c r="B623">
        <v>12</v>
      </c>
      <c r="C623">
        <v>2</v>
      </c>
      <c r="D623" t="s">
        <v>42</v>
      </c>
      <c r="E623">
        <v>2</v>
      </c>
      <c r="F623">
        <v>1</v>
      </c>
      <c r="G623" s="30">
        <v>21</v>
      </c>
      <c r="H623" s="30">
        <v>7.8339999999999996</v>
      </c>
      <c r="I623" s="30">
        <v>2297</v>
      </c>
      <c r="J623" s="30">
        <v>11.983000000000001</v>
      </c>
      <c r="K623" s="30">
        <v>25.905000000000001</v>
      </c>
      <c r="L623" s="30">
        <v>3.5000000000000003E-2</v>
      </c>
      <c r="M623" s="30">
        <v>79.260000000000005</v>
      </c>
      <c r="N623" s="30">
        <v>0</v>
      </c>
      <c r="O623" s="29">
        <v>3.774</v>
      </c>
      <c r="P623" s="31">
        <v>21</v>
      </c>
      <c r="Q623" s="31">
        <v>11.983000000000001</v>
      </c>
      <c r="R623" s="31">
        <v>79.260000000000005</v>
      </c>
      <c r="S623" s="31">
        <v>0</v>
      </c>
      <c r="T623" s="10" t="b">
        <f t="shared" si="157"/>
        <v>1</v>
      </c>
      <c r="U623" s="10" t="b">
        <f t="shared" si="158"/>
        <v>1</v>
      </c>
      <c r="V623" s="11">
        <f>VLOOKUP(IF(J623&lt;10, 10, IF(J623&gt;50,50,J623)),'Over to underbark'!$A$3:$C$43,IF(A623="Scots pine",3,IF(A623="Sitka spruce",2, "error")),TRUE)/100</f>
        <v>0.82</v>
      </c>
      <c r="W623">
        <f t="shared" si="159"/>
        <v>58.493879999999997</v>
      </c>
      <c r="X623">
        <f t="shared" si="160"/>
        <v>0</v>
      </c>
      <c r="Y623">
        <f t="shared" si="161"/>
        <v>12.840120000000004</v>
      </c>
      <c r="Z623">
        <f t="shared" si="162"/>
        <v>36.974338218</v>
      </c>
      <c r="AA623">
        <f t="shared" si="163"/>
        <v>12.854386800000002</v>
      </c>
      <c r="AB623">
        <f t="shared" si="164"/>
        <v>21.505274981999996</v>
      </c>
      <c r="AC623">
        <f t="shared" si="165"/>
        <v>0</v>
      </c>
      <c r="AD623">
        <f>LOOKUP($A623,'Over to underbark'!$A$47:$A$48,'Over to underbark'!E$47:E$48)*Z623</f>
        <v>12.20153161194</v>
      </c>
      <c r="AE623">
        <f>LOOKUP($A623,'Over to underbark'!$A$47:$A$48,'Over to underbark'!E$47:E$48)*AA623</f>
        <v>4.2419476440000006</v>
      </c>
      <c r="AF623">
        <f>LOOKUP($A623,'Over to underbark'!$A$47:$A$48,'Over to underbark'!E$47:E$48)*AB623</f>
        <v>7.096740744059999</v>
      </c>
      <c r="AG623">
        <f>LOOKUP($A623,'Over to underbark'!$A$47:$A$48,'Over to underbark'!E$47:E$48)*AC623</f>
        <v>0</v>
      </c>
      <c r="AH623" t="b">
        <f t="shared" si="166"/>
        <v>1</v>
      </c>
      <c r="AI623" t="b">
        <f t="shared" si="167"/>
        <v>1</v>
      </c>
      <c r="AJ623">
        <f>LOOKUP(A623,'Over to underbark'!$A$47:$A$48,'Over to underbark'!E$47:E$48)*M623</f>
        <v>26.155800000000003</v>
      </c>
      <c r="AK623" s="22">
        <f>LOOKUP(A623,'Over to underbark'!$A$47:$A$48,'Over to underbark'!$B$47:$B$48)*AJ623</f>
        <v>8.3698560000000004</v>
      </c>
      <c r="AL623" s="22">
        <f>LOOKUP(A623,'Over to underbark'!$A$47:$A$48,'Over to underbark'!C$47:C$48)*AJ623</f>
        <v>12.816342000000001</v>
      </c>
      <c r="AM623" s="22">
        <f t="shared" si="168"/>
        <v>34.525656000000005</v>
      </c>
      <c r="AN623" s="36">
        <v>860</v>
      </c>
      <c r="AO623" s="23">
        <f t="shared" si="169"/>
        <v>69.05131200000001</v>
      </c>
      <c r="AQ623">
        <f t="shared" si="143"/>
        <v>0.68181818181818177</v>
      </c>
    </row>
    <row r="624" spans="1:43" x14ac:dyDescent="0.35">
      <c r="A624" t="s">
        <v>43</v>
      </c>
      <c r="B624">
        <v>12</v>
      </c>
      <c r="C624">
        <v>2</v>
      </c>
      <c r="D624" t="s">
        <v>42</v>
      </c>
      <c r="E624">
        <v>2</v>
      </c>
      <c r="F624">
        <v>1</v>
      </c>
      <c r="G624" s="30">
        <v>22</v>
      </c>
      <c r="H624" s="30">
        <v>8.3680000000000003</v>
      </c>
      <c r="I624" s="30">
        <v>2285</v>
      </c>
      <c r="J624" s="30">
        <v>12.497999999999999</v>
      </c>
      <c r="K624" s="30">
        <v>28.033999999999999</v>
      </c>
      <c r="L624" s="30">
        <v>4.1000000000000002E-2</v>
      </c>
      <c r="M624" s="30">
        <v>92.62</v>
      </c>
      <c r="N624" s="30">
        <v>0</v>
      </c>
      <c r="O624" s="29">
        <v>4.21</v>
      </c>
      <c r="P624" s="31">
        <v>22</v>
      </c>
      <c r="Q624" s="31">
        <v>12.497999999999999</v>
      </c>
      <c r="R624" s="31">
        <v>92.62</v>
      </c>
      <c r="S624" s="31">
        <v>0</v>
      </c>
      <c r="T624" s="10" t="b">
        <f t="shared" si="157"/>
        <v>1</v>
      </c>
      <c r="U624" s="10" t="b">
        <f t="shared" si="158"/>
        <v>1</v>
      </c>
      <c r="V624" s="11">
        <f>VLOOKUP(IF(J624&lt;10, 10, IF(J624&gt;50,50,J624)),'Over to underbark'!$A$3:$C$43,IF(A624="Scots pine",3,IF(A624="Sitka spruce",2, "error")),TRUE)/100</f>
        <v>0.87</v>
      </c>
      <c r="W624">
        <f t="shared" si="159"/>
        <v>72.521460000000005</v>
      </c>
      <c r="X624">
        <f t="shared" si="160"/>
        <v>0</v>
      </c>
      <c r="Y624">
        <f t="shared" si="161"/>
        <v>10.836540000000001</v>
      </c>
      <c r="Z624">
        <f t="shared" si="162"/>
        <v>43.299854631000009</v>
      </c>
      <c r="AA624">
        <f t="shared" si="163"/>
        <v>13.3956306</v>
      </c>
      <c r="AB624">
        <f t="shared" si="164"/>
        <v>26.662514769000001</v>
      </c>
      <c r="AC624">
        <f t="shared" si="165"/>
        <v>0</v>
      </c>
      <c r="AD624">
        <f>LOOKUP($A624,'Over to underbark'!$A$47:$A$48,'Over to underbark'!E$47:E$48)*Z624</f>
        <v>14.288952028230003</v>
      </c>
      <c r="AE624">
        <f>LOOKUP($A624,'Over to underbark'!$A$47:$A$48,'Over to underbark'!E$47:E$48)*AA624</f>
        <v>4.4205580980000008</v>
      </c>
      <c r="AF624">
        <f>LOOKUP($A624,'Over to underbark'!$A$47:$A$48,'Over to underbark'!E$47:E$48)*AB624</f>
        <v>8.7986298737700004</v>
      </c>
      <c r="AG624">
        <f>LOOKUP($A624,'Over to underbark'!$A$47:$A$48,'Over to underbark'!E$47:E$48)*AC624</f>
        <v>0</v>
      </c>
      <c r="AH624" t="b">
        <f t="shared" si="166"/>
        <v>1</v>
      </c>
      <c r="AI624" t="b">
        <f t="shared" si="167"/>
        <v>1</v>
      </c>
      <c r="AJ624">
        <f>LOOKUP(A624,'Over to underbark'!$A$47:$A$48,'Over to underbark'!E$47:E$48)*M624</f>
        <v>30.564600000000002</v>
      </c>
      <c r="AK624" s="22">
        <f>LOOKUP(A624,'Over to underbark'!$A$47:$A$48,'Over to underbark'!$B$47:$B$48)*AJ624</f>
        <v>9.7806720000000009</v>
      </c>
      <c r="AL624" s="22">
        <f>LOOKUP(A624,'Over to underbark'!$A$47:$A$48,'Over to underbark'!C$47:C$48)*AJ624</f>
        <v>14.976654000000002</v>
      </c>
      <c r="AM624" s="22">
        <f t="shared" si="168"/>
        <v>40.345272000000001</v>
      </c>
      <c r="AN624" s="36">
        <v>861</v>
      </c>
      <c r="AO624" s="23">
        <f t="shared" si="169"/>
        <v>80.690544000000003</v>
      </c>
      <c r="AQ624">
        <f t="shared" si="143"/>
        <v>0.68181818181818188</v>
      </c>
    </row>
    <row r="625" spans="1:43" x14ac:dyDescent="0.35">
      <c r="A625" t="s">
        <v>43</v>
      </c>
      <c r="B625">
        <v>12</v>
      </c>
      <c r="C625">
        <v>2</v>
      </c>
      <c r="D625" t="s">
        <v>42</v>
      </c>
      <c r="E625">
        <v>2</v>
      </c>
      <c r="F625">
        <v>1</v>
      </c>
      <c r="G625" s="30">
        <v>23</v>
      </c>
      <c r="H625" s="30">
        <v>8.9019999999999992</v>
      </c>
      <c r="I625" s="30">
        <v>2273</v>
      </c>
      <c r="J625" s="30">
        <v>12.999000000000001</v>
      </c>
      <c r="K625" s="30">
        <v>30.164000000000001</v>
      </c>
      <c r="L625" s="30">
        <v>4.7E-2</v>
      </c>
      <c r="M625" s="30">
        <v>105.98</v>
      </c>
      <c r="N625" s="30">
        <v>0</v>
      </c>
      <c r="O625" s="29">
        <v>4.6079999999999997</v>
      </c>
      <c r="P625" s="31">
        <v>23</v>
      </c>
      <c r="Q625" s="31">
        <v>12.999000000000001</v>
      </c>
      <c r="R625" s="31">
        <v>104.164</v>
      </c>
      <c r="S625" s="31">
        <v>1.8160000000000001</v>
      </c>
      <c r="T625" s="10" t="b">
        <f t="shared" si="157"/>
        <v>1</v>
      </c>
      <c r="U625" s="10" t="b">
        <f t="shared" si="158"/>
        <v>1</v>
      </c>
      <c r="V625" s="11">
        <f>VLOOKUP(IF(J625&lt;10, 10, IF(J625&gt;50,50,J625)),'Over to underbark'!$A$3:$C$43,IF(A625="Scots pine",3,IF(A625="Sitka spruce",2, "error")),TRUE)/100</f>
        <v>0.87</v>
      </c>
      <c r="W625">
        <f t="shared" si="159"/>
        <v>81.560411999999999</v>
      </c>
      <c r="X625">
        <f t="shared" si="160"/>
        <v>1.4219280000000001</v>
      </c>
      <c r="Y625">
        <f t="shared" si="161"/>
        <v>12.399660000000001</v>
      </c>
      <c r="Z625">
        <f t="shared" si="162"/>
        <v>49.262193952199993</v>
      </c>
      <c r="AA625">
        <f t="shared" si="163"/>
        <v>15.171475320000001</v>
      </c>
      <c r="AB625">
        <f t="shared" si="164"/>
        <v>30.163426471799998</v>
      </c>
      <c r="AC625">
        <f t="shared" si="165"/>
        <v>0.78490425600000013</v>
      </c>
      <c r="AD625">
        <f>LOOKUP($A625,'Over to underbark'!$A$47:$A$48,'Over to underbark'!E$47:E$48)*Z625</f>
        <v>16.256524004225998</v>
      </c>
      <c r="AE625">
        <f>LOOKUP($A625,'Over to underbark'!$A$47:$A$48,'Over to underbark'!E$47:E$48)*AA625</f>
        <v>5.0065868556000002</v>
      </c>
      <c r="AF625">
        <f>LOOKUP($A625,'Over to underbark'!$A$47:$A$48,'Over to underbark'!E$47:E$48)*AB625</f>
        <v>9.9539307356939997</v>
      </c>
      <c r="AG625">
        <f>LOOKUP($A625,'Over to underbark'!$A$47:$A$48,'Over to underbark'!E$47:E$48)*AC625</f>
        <v>0.25901840448000008</v>
      </c>
      <c r="AH625" t="b">
        <f t="shared" si="166"/>
        <v>1</v>
      </c>
      <c r="AI625" t="b">
        <f t="shared" si="167"/>
        <v>1</v>
      </c>
      <c r="AJ625">
        <f>LOOKUP(A625,'Over to underbark'!$A$47:$A$48,'Over to underbark'!E$47:E$48)*M625</f>
        <v>34.973400000000005</v>
      </c>
      <c r="AK625" s="22">
        <f>LOOKUP(A625,'Over to underbark'!$A$47:$A$48,'Over to underbark'!$B$47:$B$48)*AJ625</f>
        <v>11.191488000000001</v>
      </c>
      <c r="AL625" s="22">
        <f>LOOKUP(A625,'Over to underbark'!$A$47:$A$48,'Over to underbark'!C$47:C$48)*AJ625</f>
        <v>17.136966000000001</v>
      </c>
      <c r="AM625" s="22">
        <f t="shared" si="168"/>
        <v>46.164888000000005</v>
      </c>
      <c r="AN625" s="36">
        <v>862</v>
      </c>
      <c r="AO625" s="23">
        <f t="shared" si="169"/>
        <v>92.32977600000001</v>
      </c>
      <c r="AQ625">
        <f t="shared" si="143"/>
        <v>0.68181818181818177</v>
      </c>
    </row>
    <row r="626" spans="1:43" x14ac:dyDescent="0.35">
      <c r="A626" t="s">
        <v>43</v>
      </c>
      <c r="B626">
        <v>12</v>
      </c>
      <c r="C626">
        <v>2</v>
      </c>
      <c r="D626" t="s">
        <v>42</v>
      </c>
      <c r="E626">
        <v>2</v>
      </c>
      <c r="F626">
        <v>1</v>
      </c>
      <c r="G626" s="30">
        <v>24</v>
      </c>
      <c r="H626" s="30">
        <v>9.4359999999999999</v>
      </c>
      <c r="I626" s="30">
        <v>2261</v>
      </c>
      <c r="J626" s="30">
        <v>13.484999999999999</v>
      </c>
      <c r="K626" s="30">
        <v>32.293999999999997</v>
      </c>
      <c r="L626" s="30">
        <v>5.2999999999999999E-2</v>
      </c>
      <c r="M626" s="30">
        <v>119.34</v>
      </c>
      <c r="N626" s="30">
        <v>0</v>
      </c>
      <c r="O626" s="29">
        <v>4.9720000000000004</v>
      </c>
      <c r="P626" s="31">
        <v>24</v>
      </c>
      <c r="Q626" s="31">
        <v>13.484999999999999</v>
      </c>
      <c r="R626" s="31">
        <v>114.01</v>
      </c>
      <c r="S626" s="31">
        <v>5.33</v>
      </c>
      <c r="T626" s="10" t="b">
        <f t="shared" si="157"/>
        <v>1</v>
      </c>
      <c r="U626" s="10" t="b">
        <f t="shared" si="158"/>
        <v>1</v>
      </c>
      <c r="V626" s="11">
        <f>VLOOKUP(IF(J626&lt;10, 10, IF(J626&gt;50,50,J626)),'Over to underbark'!$A$3:$C$43,IF(A626="Scots pine",3,IF(A626="Sitka spruce",2, "error")),TRUE)/100</f>
        <v>0.89</v>
      </c>
      <c r="W626">
        <f t="shared" si="159"/>
        <v>91.322010000000006</v>
      </c>
      <c r="X626">
        <f t="shared" si="160"/>
        <v>4.269330000000001</v>
      </c>
      <c r="Y626">
        <f t="shared" si="161"/>
        <v>11.81466</v>
      </c>
      <c r="Z626">
        <f t="shared" si="162"/>
        <v>54.98837551350001</v>
      </c>
      <c r="AA626">
        <f t="shared" si="163"/>
        <v>15.9527511</v>
      </c>
      <c r="AB626">
        <f t="shared" si="164"/>
        <v>34.108203226500009</v>
      </c>
      <c r="AC626">
        <f t="shared" si="165"/>
        <v>2.3566701600000006</v>
      </c>
      <c r="AD626">
        <f>LOOKUP($A626,'Over to underbark'!$A$47:$A$48,'Over to underbark'!E$47:E$48)*Z626</f>
        <v>18.146163919455006</v>
      </c>
      <c r="AE626">
        <f>LOOKUP($A626,'Over to underbark'!$A$47:$A$48,'Over to underbark'!E$47:E$48)*AA626</f>
        <v>5.2644078630000006</v>
      </c>
      <c r="AF626">
        <f>LOOKUP($A626,'Over to underbark'!$A$47:$A$48,'Over to underbark'!E$47:E$48)*AB626</f>
        <v>11.255707064745003</v>
      </c>
      <c r="AG626">
        <f>LOOKUP($A626,'Over to underbark'!$A$47:$A$48,'Over to underbark'!E$47:E$48)*AC626</f>
        <v>0.77770115280000029</v>
      </c>
      <c r="AH626" t="b">
        <f t="shared" si="166"/>
        <v>1</v>
      </c>
      <c r="AI626" t="b">
        <f t="shared" si="167"/>
        <v>1</v>
      </c>
      <c r="AJ626">
        <f>LOOKUP(A626,'Over to underbark'!$A$47:$A$48,'Over to underbark'!E$47:E$48)*M626</f>
        <v>39.382200000000005</v>
      </c>
      <c r="AK626" s="22">
        <f>LOOKUP(A626,'Over to underbark'!$A$47:$A$48,'Over to underbark'!$B$47:$B$48)*AJ626</f>
        <v>12.602304000000002</v>
      </c>
      <c r="AL626" s="22">
        <f>LOOKUP(A626,'Over to underbark'!$A$47:$A$48,'Over to underbark'!C$47:C$48)*AJ626</f>
        <v>19.297278000000002</v>
      </c>
      <c r="AM626" s="22">
        <f t="shared" si="168"/>
        <v>51.984504000000008</v>
      </c>
      <c r="AN626" s="36">
        <v>863</v>
      </c>
      <c r="AO626" s="23">
        <f t="shared" si="169"/>
        <v>103.96900800000002</v>
      </c>
      <c r="AQ626">
        <f t="shared" si="143"/>
        <v>0.68181818181818188</v>
      </c>
    </row>
    <row r="627" spans="1:43" x14ac:dyDescent="0.35">
      <c r="A627" t="s">
        <v>43</v>
      </c>
      <c r="B627">
        <v>12</v>
      </c>
      <c r="C627">
        <v>2</v>
      </c>
      <c r="D627" t="s">
        <v>42</v>
      </c>
      <c r="E627">
        <v>2</v>
      </c>
      <c r="F627">
        <v>1</v>
      </c>
      <c r="G627" s="30">
        <v>25</v>
      </c>
      <c r="H627" s="30">
        <v>9.9700000000000006</v>
      </c>
      <c r="I627" s="30">
        <v>2249</v>
      </c>
      <c r="J627" s="30">
        <v>13.96</v>
      </c>
      <c r="K627" s="30">
        <v>34.423000000000002</v>
      </c>
      <c r="L627" s="30">
        <v>5.8999999999999997E-2</v>
      </c>
      <c r="M627" s="30">
        <v>132.69999999999999</v>
      </c>
      <c r="N627" s="30">
        <v>0</v>
      </c>
      <c r="O627" s="29">
        <v>5.3079999999999998</v>
      </c>
      <c r="P627" s="31">
        <v>25</v>
      </c>
      <c r="Q627" s="31">
        <v>13.96</v>
      </c>
      <c r="R627" s="31">
        <v>123.108</v>
      </c>
      <c r="S627" s="31">
        <v>9.5920000000000005</v>
      </c>
      <c r="T627" s="10" t="b">
        <f t="shared" si="157"/>
        <v>1</v>
      </c>
      <c r="U627" s="10" t="b">
        <f t="shared" si="158"/>
        <v>1</v>
      </c>
      <c r="V627" s="11">
        <f>VLOOKUP(IF(J627&lt;10, 10, IF(J627&gt;50,50,J627)),'Over to underbark'!$A$3:$C$43,IF(A627="Scots pine",3,IF(A627="Sitka spruce",2, "error")),TRUE)/100</f>
        <v>0.89</v>
      </c>
      <c r="W627">
        <f t="shared" si="159"/>
        <v>98.609508000000005</v>
      </c>
      <c r="X627">
        <f t="shared" si="160"/>
        <v>7.6831920000000009</v>
      </c>
      <c r="Y627">
        <f t="shared" si="161"/>
        <v>13.137300000000002</v>
      </c>
      <c r="Z627">
        <f t="shared" si="162"/>
        <v>60.558997519800002</v>
      </c>
      <c r="AA627">
        <f t="shared" si="163"/>
        <v>17.415695880000001</v>
      </c>
      <c r="AB627">
        <f t="shared" si="164"/>
        <v>37.214184616200001</v>
      </c>
      <c r="AC627">
        <f t="shared" si="165"/>
        <v>4.2411219840000003</v>
      </c>
      <c r="AD627">
        <f>LOOKUP($A627,'Over to underbark'!$A$47:$A$48,'Over to underbark'!E$47:E$48)*Z627</f>
        <v>19.984469181534003</v>
      </c>
      <c r="AE627">
        <f>LOOKUP($A627,'Over to underbark'!$A$47:$A$48,'Over to underbark'!E$47:E$48)*AA627</f>
        <v>5.7471796404000006</v>
      </c>
      <c r="AF627">
        <f>LOOKUP($A627,'Over to underbark'!$A$47:$A$48,'Over to underbark'!E$47:E$48)*AB627</f>
        <v>12.280680923346001</v>
      </c>
      <c r="AG627">
        <f>LOOKUP($A627,'Over to underbark'!$A$47:$A$48,'Over to underbark'!E$47:E$48)*AC627</f>
        <v>1.3995702547200002</v>
      </c>
      <c r="AH627" t="b">
        <f t="shared" si="166"/>
        <v>1</v>
      </c>
      <c r="AI627" t="b">
        <f t="shared" si="167"/>
        <v>1</v>
      </c>
      <c r="AJ627">
        <f>LOOKUP(A627,'Over to underbark'!$A$47:$A$48,'Over to underbark'!E$47:E$48)*M627</f>
        <v>43.790999999999997</v>
      </c>
      <c r="AK627" s="22">
        <f>LOOKUP(A627,'Over to underbark'!$A$47:$A$48,'Over to underbark'!$B$47:$B$48)*AJ627</f>
        <v>14.013119999999999</v>
      </c>
      <c r="AL627" s="22">
        <f>LOOKUP(A627,'Over to underbark'!$A$47:$A$48,'Over to underbark'!C$47:C$48)*AJ627</f>
        <v>21.45759</v>
      </c>
      <c r="AM627" s="22">
        <f t="shared" si="168"/>
        <v>57.804119999999998</v>
      </c>
      <c r="AN627" s="36">
        <v>864</v>
      </c>
      <c r="AO627" s="23">
        <f t="shared" si="169"/>
        <v>115.60824</v>
      </c>
      <c r="AQ627">
        <f t="shared" si="143"/>
        <v>0.68181818181818177</v>
      </c>
    </row>
    <row r="628" spans="1:43" x14ac:dyDescent="0.35">
      <c r="A628" t="s">
        <v>43</v>
      </c>
      <c r="B628">
        <v>12</v>
      </c>
      <c r="C628">
        <v>2</v>
      </c>
      <c r="D628" t="s">
        <v>42</v>
      </c>
      <c r="E628">
        <v>2</v>
      </c>
      <c r="F628">
        <v>1</v>
      </c>
      <c r="G628" s="30">
        <v>26</v>
      </c>
      <c r="H628" s="30">
        <v>10.484</v>
      </c>
      <c r="I628" s="30">
        <v>2223</v>
      </c>
      <c r="J628" s="30">
        <v>14.385</v>
      </c>
      <c r="K628" s="30">
        <v>36.128999999999998</v>
      </c>
      <c r="L628" s="30">
        <v>6.7000000000000004E-2</v>
      </c>
      <c r="M628" s="30">
        <v>148.88</v>
      </c>
      <c r="N628" s="30">
        <v>0.214</v>
      </c>
      <c r="O628" s="29">
        <v>5.726</v>
      </c>
      <c r="P628" s="31">
        <v>26</v>
      </c>
      <c r="Q628" s="31">
        <v>14.385</v>
      </c>
      <c r="R628" s="31">
        <v>134.36699999999999</v>
      </c>
      <c r="S628" s="31">
        <v>14.513</v>
      </c>
      <c r="T628" s="10" t="b">
        <f t="shared" si="157"/>
        <v>1</v>
      </c>
      <c r="U628" s="10" t="b">
        <f t="shared" si="158"/>
        <v>1</v>
      </c>
      <c r="V628" s="11">
        <f>VLOOKUP(IF(J628&lt;10, 10, IF(J628&gt;50,50,J628)),'Over to underbark'!$A$3:$C$43,IF(A628="Scots pine",3,IF(A628="Sitka spruce",2, "error")),TRUE)/100</f>
        <v>0.9</v>
      </c>
      <c r="W628">
        <f t="shared" si="159"/>
        <v>108.83726999999999</v>
      </c>
      <c r="X628">
        <f t="shared" si="160"/>
        <v>11.75553</v>
      </c>
      <c r="Y628">
        <f t="shared" si="161"/>
        <v>13.399199999999997</v>
      </c>
      <c r="Z628">
        <f t="shared" si="162"/>
        <v>67.347784174499992</v>
      </c>
      <c r="AA628">
        <f t="shared" si="163"/>
        <v>18.671699699999998</v>
      </c>
      <c r="AB628">
        <f t="shared" si="164"/>
        <v>41.483463565500003</v>
      </c>
      <c r="AC628">
        <f t="shared" si="165"/>
        <v>6.4890525600000002</v>
      </c>
      <c r="AD628">
        <f>LOOKUP($A628,'Over to underbark'!$A$47:$A$48,'Over to underbark'!E$47:E$48)*Z628</f>
        <v>22.224768777584998</v>
      </c>
      <c r="AE628">
        <f>LOOKUP($A628,'Over to underbark'!$A$47:$A$48,'Over to underbark'!E$47:E$48)*AA628</f>
        <v>6.1616609009999994</v>
      </c>
      <c r="AF628">
        <f>LOOKUP($A628,'Over to underbark'!$A$47:$A$48,'Over to underbark'!E$47:E$48)*AB628</f>
        <v>13.689542976615002</v>
      </c>
      <c r="AG628">
        <f>LOOKUP($A628,'Over to underbark'!$A$47:$A$48,'Over to underbark'!E$47:E$48)*AC628</f>
        <v>2.1413873448</v>
      </c>
      <c r="AH628" t="b">
        <f t="shared" si="166"/>
        <v>1</v>
      </c>
      <c r="AI628" t="b">
        <f t="shared" si="167"/>
        <v>1</v>
      </c>
      <c r="AJ628">
        <f>LOOKUP(A628,'Over to underbark'!$A$47:$A$48,'Over to underbark'!E$47:E$48)*M628</f>
        <v>49.130400000000002</v>
      </c>
      <c r="AK628" s="22">
        <f>LOOKUP(A628,'Over to underbark'!$A$47:$A$48,'Over to underbark'!$B$47:$B$48)*AJ628</f>
        <v>15.721728000000001</v>
      </c>
      <c r="AL628" s="22">
        <f>LOOKUP(A628,'Over to underbark'!$A$47:$A$48,'Over to underbark'!C$47:C$48)*AJ628</f>
        <v>24.073896000000001</v>
      </c>
      <c r="AM628" s="22">
        <f t="shared" si="168"/>
        <v>64.852128000000008</v>
      </c>
      <c r="AN628" s="36">
        <v>865</v>
      </c>
      <c r="AO628" s="23">
        <f t="shared" si="169"/>
        <v>129.70425600000002</v>
      </c>
      <c r="AQ628">
        <f t="shared" si="143"/>
        <v>0.68181818181818177</v>
      </c>
    </row>
    <row r="629" spans="1:43" x14ac:dyDescent="0.35">
      <c r="A629" t="s">
        <v>43</v>
      </c>
      <c r="B629">
        <v>12</v>
      </c>
      <c r="C629">
        <v>2</v>
      </c>
      <c r="D629" t="s">
        <v>42</v>
      </c>
      <c r="E629">
        <v>2</v>
      </c>
      <c r="F629">
        <v>1</v>
      </c>
      <c r="G629" s="30">
        <v>27</v>
      </c>
      <c r="H629" s="30">
        <v>10.997999999999999</v>
      </c>
      <c r="I629" s="30">
        <v>2198</v>
      </c>
      <c r="J629" s="30">
        <v>14.804</v>
      </c>
      <c r="K629" s="30">
        <v>37.835000000000001</v>
      </c>
      <c r="L629" s="30">
        <v>7.4999999999999997E-2</v>
      </c>
      <c r="M629" s="30">
        <v>165.06</v>
      </c>
      <c r="N629" s="30">
        <v>0.38600000000000001</v>
      </c>
      <c r="O629" s="29">
        <v>6.1130000000000004</v>
      </c>
      <c r="P629" s="31">
        <v>27</v>
      </c>
      <c r="Q629" s="31">
        <v>14.804</v>
      </c>
      <c r="R629" s="31">
        <v>144.81100000000001</v>
      </c>
      <c r="S629" s="31">
        <v>20.248999999999999</v>
      </c>
      <c r="T629" s="10" t="b">
        <f t="shared" si="157"/>
        <v>1</v>
      </c>
      <c r="U629" s="10" t="b">
        <f t="shared" si="158"/>
        <v>1</v>
      </c>
      <c r="V629" s="11">
        <f>VLOOKUP(IF(J629&lt;10, 10, IF(J629&gt;50,50,J629)),'Over to underbark'!$A$3:$C$43,IF(A629="Scots pine",3,IF(A629="Sitka spruce",2, "error")),TRUE)/100</f>
        <v>0.9</v>
      </c>
      <c r="W629">
        <f t="shared" si="159"/>
        <v>117.29691000000001</v>
      </c>
      <c r="X629">
        <f t="shared" si="160"/>
        <v>16.401690000000002</v>
      </c>
      <c r="Y629">
        <f t="shared" si="161"/>
        <v>14.855399999999998</v>
      </c>
      <c r="Z629">
        <f t="shared" si="162"/>
        <v>73.995486808500019</v>
      </c>
      <c r="AA629">
        <f t="shared" si="163"/>
        <v>20.3303601</v>
      </c>
      <c r="AB629">
        <f t="shared" si="164"/>
        <v>45.174420211500006</v>
      </c>
      <c r="AC629">
        <f t="shared" si="165"/>
        <v>9.0537328800000019</v>
      </c>
      <c r="AD629">
        <f>LOOKUP($A629,'Over to underbark'!$A$47:$A$48,'Over to underbark'!E$47:E$48)*Z629</f>
        <v>24.418510646805007</v>
      </c>
      <c r="AE629">
        <f>LOOKUP($A629,'Over to underbark'!$A$47:$A$48,'Over to underbark'!E$47:E$48)*AA629</f>
        <v>6.709018833</v>
      </c>
      <c r="AF629">
        <f>LOOKUP($A629,'Over to underbark'!$A$47:$A$48,'Over to underbark'!E$47:E$48)*AB629</f>
        <v>14.907558669795003</v>
      </c>
      <c r="AG629">
        <f>LOOKUP($A629,'Over to underbark'!$A$47:$A$48,'Over to underbark'!E$47:E$48)*AC629</f>
        <v>2.9877318504000008</v>
      </c>
      <c r="AH629" t="b">
        <f t="shared" si="166"/>
        <v>1</v>
      </c>
      <c r="AI629" t="b">
        <f t="shared" si="167"/>
        <v>1</v>
      </c>
      <c r="AJ629">
        <f>LOOKUP(A629,'Over to underbark'!$A$47:$A$48,'Over to underbark'!E$47:E$48)*M629</f>
        <v>54.469800000000006</v>
      </c>
      <c r="AK629" s="22">
        <f>LOOKUP(A629,'Over to underbark'!$A$47:$A$48,'Over to underbark'!$B$47:$B$48)*AJ629</f>
        <v>17.430336000000004</v>
      </c>
      <c r="AL629" s="22">
        <f>LOOKUP(A629,'Over to underbark'!$A$47:$A$48,'Over to underbark'!C$47:C$48)*AJ629</f>
        <v>26.690202000000003</v>
      </c>
      <c r="AM629" s="22">
        <f t="shared" si="168"/>
        <v>71.900136000000003</v>
      </c>
      <c r="AN629" s="36">
        <v>866</v>
      </c>
      <c r="AO629" s="23">
        <f t="shared" si="169"/>
        <v>143.80027200000001</v>
      </c>
      <c r="AQ629">
        <f t="shared" si="143"/>
        <v>0.68181818181818188</v>
      </c>
    </row>
    <row r="630" spans="1:43" x14ac:dyDescent="0.35">
      <c r="A630" t="s">
        <v>43</v>
      </c>
      <c r="B630">
        <v>12</v>
      </c>
      <c r="C630">
        <v>2</v>
      </c>
      <c r="D630" t="s">
        <v>42</v>
      </c>
      <c r="E630">
        <v>2</v>
      </c>
      <c r="F630">
        <v>1</v>
      </c>
      <c r="G630" s="30">
        <v>28</v>
      </c>
      <c r="H630" s="30">
        <v>11.512</v>
      </c>
      <c r="I630" s="30">
        <v>2173</v>
      </c>
      <c r="J630" s="30">
        <v>15.221</v>
      </c>
      <c r="K630" s="30">
        <v>39.540999999999997</v>
      </c>
      <c r="L630" s="30">
        <v>8.3000000000000004E-2</v>
      </c>
      <c r="M630" s="30">
        <v>181.24</v>
      </c>
      <c r="N630" s="30">
        <v>0.52700000000000002</v>
      </c>
      <c r="O630" s="29">
        <v>6.4729999999999999</v>
      </c>
      <c r="P630" s="31">
        <v>28</v>
      </c>
      <c r="Q630" s="31">
        <v>15.221</v>
      </c>
      <c r="R630" s="31">
        <v>154.41499999999999</v>
      </c>
      <c r="S630" s="31">
        <v>26.824999999999999</v>
      </c>
      <c r="T630" s="10" t="b">
        <f t="shared" si="157"/>
        <v>1</v>
      </c>
      <c r="U630" s="10" t="b">
        <f t="shared" si="158"/>
        <v>1</v>
      </c>
      <c r="V630" s="11">
        <f>VLOOKUP(IF(J630&lt;10, 10, IF(J630&gt;50,50,J630)),'Over to underbark'!$A$3:$C$43,IF(A630="Scots pine",3,IF(A630="Sitka spruce",2, "error")),TRUE)/100</f>
        <v>0.9</v>
      </c>
      <c r="W630">
        <f t="shared" si="159"/>
        <v>125.07615</v>
      </c>
      <c r="X630">
        <f t="shared" si="160"/>
        <v>21.728249999999999</v>
      </c>
      <c r="Y630">
        <f t="shared" si="161"/>
        <v>16.311599999999995</v>
      </c>
      <c r="Z630">
        <f t="shared" si="162"/>
        <v>80.507551702499995</v>
      </c>
      <c r="AA630">
        <f t="shared" si="163"/>
        <v>21.914176499999996</v>
      </c>
      <c r="AB630">
        <f t="shared" si="164"/>
        <v>48.7002777975</v>
      </c>
      <c r="AC630">
        <f t="shared" si="165"/>
        <v>11.993993999999999</v>
      </c>
      <c r="AD630">
        <f>LOOKUP($A630,'Over to underbark'!$A$47:$A$48,'Over to underbark'!E$47:E$48)*Z630</f>
        <v>26.567492061825</v>
      </c>
      <c r="AE630">
        <f>LOOKUP($A630,'Over to underbark'!$A$47:$A$48,'Over to underbark'!E$47:E$48)*AA630</f>
        <v>7.2316782449999994</v>
      </c>
      <c r="AF630">
        <f>LOOKUP($A630,'Over to underbark'!$A$47:$A$48,'Over to underbark'!E$47:E$48)*AB630</f>
        <v>16.071091673175001</v>
      </c>
      <c r="AG630">
        <f>LOOKUP($A630,'Over to underbark'!$A$47:$A$48,'Over to underbark'!E$47:E$48)*AC630</f>
        <v>3.9580180199999999</v>
      </c>
      <c r="AH630" t="b">
        <f t="shared" si="166"/>
        <v>1</v>
      </c>
      <c r="AI630" t="b">
        <f t="shared" si="167"/>
        <v>1</v>
      </c>
      <c r="AJ630">
        <f>LOOKUP(A630,'Over to underbark'!$A$47:$A$48,'Over to underbark'!E$47:E$48)*M630</f>
        <v>59.809200000000004</v>
      </c>
      <c r="AK630" s="22">
        <f>LOOKUP(A630,'Over to underbark'!$A$47:$A$48,'Over to underbark'!$B$47:$B$48)*AJ630</f>
        <v>19.138944000000002</v>
      </c>
      <c r="AL630" s="22">
        <f>LOOKUP(A630,'Over to underbark'!$A$47:$A$48,'Over to underbark'!C$47:C$48)*AJ630</f>
        <v>29.306508000000001</v>
      </c>
      <c r="AM630" s="22">
        <f t="shared" si="168"/>
        <v>78.948144000000013</v>
      </c>
      <c r="AN630" s="36">
        <v>867</v>
      </c>
      <c r="AO630" s="23">
        <f t="shared" si="169"/>
        <v>157.89628800000003</v>
      </c>
      <c r="AQ630">
        <f t="shared" si="143"/>
        <v>0.68181818181818166</v>
      </c>
    </row>
    <row r="631" spans="1:43" x14ac:dyDescent="0.35">
      <c r="A631" t="s">
        <v>43</v>
      </c>
      <c r="B631">
        <v>12</v>
      </c>
      <c r="C631">
        <v>2</v>
      </c>
      <c r="D631" t="s">
        <v>42</v>
      </c>
      <c r="E631">
        <v>2</v>
      </c>
      <c r="F631">
        <v>1</v>
      </c>
      <c r="G631" s="30">
        <v>29</v>
      </c>
      <c r="H631" s="30">
        <v>12.026</v>
      </c>
      <c r="I631" s="30">
        <v>2148</v>
      </c>
      <c r="J631" s="30">
        <v>15.635999999999999</v>
      </c>
      <c r="K631" s="30">
        <v>41.247</v>
      </c>
      <c r="L631" s="30">
        <v>9.1999999999999998E-2</v>
      </c>
      <c r="M631" s="30">
        <v>197.42</v>
      </c>
      <c r="N631" s="30">
        <v>0.64400000000000002</v>
      </c>
      <c r="O631" s="29">
        <v>6.8079999999999998</v>
      </c>
      <c r="P631" s="31">
        <v>29</v>
      </c>
      <c r="Q631" s="31">
        <v>15.635999999999999</v>
      </c>
      <c r="R631" s="31">
        <v>163.19</v>
      </c>
      <c r="S631" s="31">
        <v>34.229999999999997</v>
      </c>
      <c r="T631" s="10" t="b">
        <f t="shared" si="157"/>
        <v>1</v>
      </c>
      <c r="U631" s="10" t="b">
        <f t="shared" si="158"/>
        <v>1</v>
      </c>
      <c r="V631" s="11">
        <f>VLOOKUP(IF(J631&lt;10, 10, IF(J631&gt;50,50,J631)),'Over to underbark'!$A$3:$C$43,IF(A631="Scots pine",3,IF(A631="Sitka spruce",2, "error")),TRUE)/100</f>
        <v>0.9</v>
      </c>
      <c r="W631">
        <f t="shared" si="159"/>
        <v>132.18390000000002</v>
      </c>
      <c r="X631">
        <f t="shared" si="160"/>
        <v>27.726299999999998</v>
      </c>
      <c r="Y631">
        <f t="shared" si="161"/>
        <v>17.767799999999994</v>
      </c>
      <c r="Z631">
        <f t="shared" si="162"/>
        <v>86.885755065000041</v>
      </c>
      <c r="AA631">
        <f t="shared" si="163"/>
        <v>23.424129000000001</v>
      </c>
      <c r="AB631">
        <f t="shared" si="164"/>
        <v>52.063198335000003</v>
      </c>
      <c r="AC631">
        <f t="shared" si="165"/>
        <v>15.304917599999998</v>
      </c>
      <c r="AD631">
        <f>LOOKUP($A631,'Over to underbark'!$A$47:$A$48,'Over to underbark'!E$47:E$48)*Z631</f>
        <v>28.672299171450014</v>
      </c>
      <c r="AE631">
        <f>LOOKUP($A631,'Over to underbark'!$A$47:$A$48,'Over to underbark'!E$47:E$48)*AA631</f>
        <v>7.7299625700000005</v>
      </c>
      <c r="AF631">
        <f>LOOKUP($A631,'Over to underbark'!$A$47:$A$48,'Over to underbark'!E$47:E$48)*AB631</f>
        <v>17.180855450550002</v>
      </c>
      <c r="AG631">
        <f>LOOKUP($A631,'Over to underbark'!$A$47:$A$48,'Over to underbark'!E$47:E$48)*AC631</f>
        <v>5.0506228079999991</v>
      </c>
      <c r="AH631" t="b">
        <f t="shared" si="166"/>
        <v>1</v>
      </c>
      <c r="AI631" t="b">
        <f t="shared" si="167"/>
        <v>1</v>
      </c>
      <c r="AJ631">
        <f>LOOKUP(A631,'Over to underbark'!$A$47:$A$48,'Over to underbark'!E$47:E$48)*M631</f>
        <v>65.148600000000002</v>
      </c>
      <c r="AK631" s="22">
        <f>LOOKUP(A631,'Over to underbark'!$A$47:$A$48,'Over to underbark'!$B$47:$B$48)*AJ631</f>
        <v>20.847552</v>
      </c>
      <c r="AL631" s="22">
        <f>LOOKUP(A631,'Over to underbark'!$A$47:$A$48,'Over to underbark'!C$47:C$48)*AJ631</f>
        <v>31.922813999999999</v>
      </c>
      <c r="AM631" s="22">
        <f t="shared" si="168"/>
        <v>85.996151999999995</v>
      </c>
      <c r="AN631" s="36">
        <v>868</v>
      </c>
      <c r="AO631" s="23">
        <f t="shared" si="169"/>
        <v>171.99230399999999</v>
      </c>
      <c r="AQ631">
        <f t="shared" si="143"/>
        <v>0.6818181818181821</v>
      </c>
    </row>
    <row r="632" spans="1:43" x14ac:dyDescent="0.35">
      <c r="A632" t="s">
        <v>43</v>
      </c>
      <c r="B632">
        <v>12</v>
      </c>
      <c r="C632">
        <v>2</v>
      </c>
      <c r="D632" t="s">
        <v>42</v>
      </c>
      <c r="E632">
        <v>2</v>
      </c>
      <c r="F632">
        <v>1</v>
      </c>
      <c r="G632" s="30">
        <v>30</v>
      </c>
      <c r="H632" s="30">
        <v>12.54</v>
      </c>
      <c r="I632" s="30">
        <v>2123</v>
      </c>
      <c r="J632" s="30">
        <v>16.05</v>
      </c>
      <c r="K632" s="30">
        <v>42.953000000000003</v>
      </c>
      <c r="L632" s="30">
        <v>0.10100000000000001</v>
      </c>
      <c r="M632" s="30">
        <v>213.6</v>
      </c>
      <c r="N632" s="30">
        <v>0.74299999999999999</v>
      </c>
      <c r="O632" s="29">
        <v>7.12</v>
      </c>
      <c r="P632" s="31">
        <v>30</v>
      </c>
      <c r="Q632" s="31">
        <v>16.05</v>
      </c>
      <c r="R632" s="31">
        <v>171.13800000000001</v>
      </c>
      <c r="S632" s="31">
        <v>42.462000000000003</v>
      </c>
      <c r="T632" s="10" t="b">
        <f t="shared" si="157"/>
        <v>1</v>
      </c>
      <c r="U632" s="10" t="b">
        <f t="shared" si="158"/>
        <v>1</v>
      </c>
      <c r="V632" s="11">
        <f>VLOOKUP(IF(J632&lt;10, 10, IF(J632&gt;50,50,J632)),'Over to underbark'!$A$3:$C$43,IF(A632="Scots pine",3,IF(A632="Sitka spruce",2, "error")),TRUE)/100</f>
        <v>0.89</v>
      </c>
      <c r="W632">
        <f t="shared" si="159"/>
        <v>137.08153799999999</v>
      </c>
      <c r="X632">
        <f t="shared" si="160"/>
        <v>34.012062</v>
      </c>
      <c r="Y632">
        <f t="shared" si="161"/>
        <v>21.1464</v>
      </c>
      <c r="Z632">
        <f t="shared" si="162"/>
        <v>93.163637400300004</v>
      </c>
      <c r="AA632">
        <f t="shared" si="163"/>
        <v>25.652169180000001</v>
      </c>
      <c r="AB632">
        <f t="shared" si="164"/>
        <v>54.649535195699997</v>
      </c>
      <c r="AC632">
        <f t="shared" si="165"/>
        <v>18.774658224000003</v>
      </c>
      <c r="AD632">
        <f>LOOKUP($A632,'Over to underbark'!$A$47:$A$48,'Over to underbark'!E$47:E$48)*Z632</f>
        <v>30.744000342099003</v>
      </c>
      <c r="AE632">
        <f>LOOKUP($A632,'Over to underbark'!$A$47:$A$48,'Over to underbark'!E$47:E$48)*AA632</f>
        <v>8.4652158294000017</v>
      </c>
      <c r="AF632">
        <f>LOOKUP($A632,'Over to underbark'!$A$47:$A$48,'Over to underbark'!E$47:E$48)*AB632</f>
        <v>18.034346614581001</v>
      </c>
      <c r="AG632">
        <f>LOOKUP($A632,'Over to underbark'!$A$47:$A$48,'Over to underbark'!E$47:E$48)*AC632</f>
        <v>6.1956372139200013</v>
      </c>
      <c r="AH632" t="b">
        <f t="shared" si="166"/>
        <v>1</v>
      </c>
      <c r="AI632" t="b">
        <f t="shared" si="167"/>
        <v>1</v>
      </c>
      <c r="AJ632">
        <f>LOOKUP(A632,'Over to underbark'!$A$47:$A$48,'Over to underbark'!E$47:E$48)*M632</f>
        <v>70.488</v>
      </c>
      <c r="AK632" s="22">
        <f>LOOKUP(A632,'Over to underbark'!$A$47:$A$48,'Over to underbark'!$B$47:$B$48)*AJ632</f>
        <v>22.556160000000002</v>
      </c>
      <c r="AL632" s="22">
        <f>LOOKUP(A632,'Over to underbark'!$A$47:$A$48,'Over to underbark'!C$47:C$48)*AJ632</f>
        <v>34.539119999999997</v>
      </c>
      <c r="AM632" s="22">
        <f t="shared" si="168"/>
        <v>93.044160000000005</v>
      </c>
      <c r="AN632" s="36">
        <v>869</v>
      </c>
      <c r="AO632" s="23">
        <f t="shared" si="169"/>
        <v>186.08832000000001</v>
      </c>
      <c r="AQ632">
        <f t="shared" si="143"/>
        <v>0.68181818181818188</v>
      </c>
    </row>
    <row r="633" spans="1:43" x14ac:dyDescent="0.35">
      <c r="A633" t="s">
        <v>43</v>
      </c>
      <c r="B633">
        <v>12</v>
      </c>
      <c r="C633">
        <v>2</v>
      </c>
      <c r="D633" t="s">
        <v>42</v>
      </c>
      <c r="E633">
        <v>2</v>
      </c>
      <c r="F633">
        <v>1</v>
      </c>
      <c r="G633" s="30">
        <v>31</v>
      </c>
      <c r="H633" s="30">
        <v>13.022</v>
      </c>
      <c r="I633" s="30">
        <v>2080</v>
      </c>
      <c r="J633" s="30">
        <v>16.443999999999999</v>
      </c>
      <c r="K633" s="30">
        <v>44.174999999999997</v>
      </c>
      <c r="L633" s="30">
        <v>0.111</v>
      </c>
      <c r="M633" s="30">
        <v>230.98</v>
      </c>
      <c r="N633" s="30">
        <v>1.028</v>
      </c>
      <c r="O633" s="29">
        <v>7.4509999999999996</v>
      </c>
      <c r="P633" s="31">
        <v>31</v>
      </c>
      <c r="Q633" s="31">
        <v>16.443999999999999</v>
      </c>
      <c r="R633" s="31">
        <v>179.477</v>
      </c>
      <c r="S633" s="31">
        <v>51.503</v>
      </c>
      <c r="T633" s="10" t="b">
        <f t="shared" si="157"/>
        <v>1</v>
      </c>
      <c r="U633" s="10" t="b">
        <f t="shared" si="158"/>
        <v>1</v>
      </c>
      <c r="V633" s="11">
        <f>VLOOKUP(IF(J633&lt;10, 10, IF(J633&gt;50,50,J633)),'Over to underbark'!$A$3:$C$43,IF(A633="Scots pine",3,IF(A633="Sitka spruce",2, "error")),TRUE)/100</f>
        <v>0.89</v>
      </c>
      <c r="W633">
        <f t="shared" si="159"/>
        <v>143.761077</v>
      </c>
      <c r="X633">
        <f t="shared" si="160"/>
        <v>41.253903000000001</v>
      </c>
      <c r="Y633">
        <f t="shared" si="161"/>
        <v>22.86702</v>
      </c>
      <c r="Z633">
        <f t="shared" si="162"/>
        <v>99.852119239950014</v>
      </c>
      <c r="AA633">
        <f t="shared" si="163"/>
        <v>27.24722847</v>
      </c>
      <c r="AB633">
        <f t="shared" si="164"/>
        <v>58.010497834049993</v>
      </c>
      <c r="AC633">
        <f t="shared" si="165"/>
        <v>22.772154456000003</v>
      </c>
      <c r="AD633">
        <f>LOOKUP($A633,'Over to underbark'!$A$47:$A$48,'Over to underbark'!E$47:E$48)*Z633</f>
        <v>32.951199349183504</v>
      </c>
      <c r="AE633">
        <f>LOOKUP($A633,'Over to underbark'!$A$47:$A$48,'Over to underbark'!E$47:E$48)*AA633</f>
        <v>8.9915853950999995</v>
      </c>
      <c r="AF633">
        <f>LOOKUP($A633,'Over to underbark'!$A$47:$A$48,'Over to underbark'!E$47:E$48)*AB633</f>
        <v>19.143464285236497</v>
      </c>
      <c r="AG633">
        <f>LOOKUP($A633,'Over to underbark'!$A$47:$A$48,'Over to underbark'!E$47:E$48)*AC633</f>
        <v>7.514810970480001</v>
      </c>
      <c r="AH633" t="b">
        <f t="shared" si="166"/>
        <v>1</v>
      </c>
      <c r="AI633" t="b">
        <f t="shared" si="167"/>
        <v>1</v>
      </c>
      <c r="AJ633">
        <f>LOOKUP(A633,'Over to underbark'!$A$47:$A$48,'Over to underbark'!E$47:E$48)*M633</f>
        <v>76.223399999999998</v>
      </c>
      <c r="AK633" s="22">
        <f>LOOKUP(A633,'Over to underbark'!$A$47:$A$48,'Over to underbark'!$B$47:$B$48)*AJ633</f>
        <v>24.391487999999999</v>
      </c>
      <c r="AL633" s="22">
        <f>LOOKUP(A633,'Over to underbark'!$A$47:$A$48,'Over to underbark'!C$47:C$48)*AJ633</f>
        <v>37.349466</v>
      </c>
      <c r="AM633" s="22">
        <f t="shared" si="168"/>
        <v>100.61488799999999</v>
      </c>
      <c r="AN633" s="36">
        <v>870</v>
      </c>
      <c r="AO633" s="23">
        <f t="shared" si="169"/>
        <v>201.22977599999999</v>
      </c>
      <c r="AQ633">
        <f t="shared" si="143"/>
        <v>0.68181818181818188</v>
      </c>
    </row>
    <row r="634" spans="1:43" x14ac:dyDescent="0.35">
      <c r="A634" t="s">
        <v>43</v>
      </c>
      <c r="B634">
        <v>12</v>
      </c>
      <c r="C634">
        <v>2</v>
      </c>
      <c r="D634" t="s">
        <v>42</v>
      </c>
      <c r="E634">
        <v>2</v>
      </c>
      <c r="F634">
        <v>1</v>
      </c>
      <c r="G634" s="30">
        <v>32</v>
      </c>
      <c r="H634" s="30">
        <v>13.504</v>
      </c>
      <c r="I634" s="30">
        <v>2038</v>
      </c>
      <c r="J634" s="30">
        <v>16.841000000000001</v>
      </c>
      <c r="K634" s="30">
        <v>45.396000000000001</v>
      </c>
      <c r="L634" s="30">
        <v>0.122</v>
      </c>
      <c r="M634" s="30">
        <v>248.36</v>
      </c>
      <c r="N634" s="30">
        <v>1.272</v>
      </c>
      <c r="O634" s="29">
        <v>7.7610000000000001</v>
      </c>
      <c r="P634" s="31">
        <v>32</v>
      </c>
      <c r="Q634" s="31">
        <v>16.841000000000001</v>
      </c>
      <c r="R634" s="31">
        <v>186.94399999999999</v>
      </c>
      <c r="S634" s="31">
        <v>61.415999999999997</v>
      </c>
      <c r="T634" s="10" t="b">
        <f t="shared" si="157"/>
        <v>1</v>
      </c>
      <c r="U634" s="10" t="b">
        <f t="shared" si="158"/>
        <v>1</v>
      </c>
      <c r="V634" s="11">
        <f>VLOOKUP(IF(J634&lt;10, 10, IF(J634&gt;50,50,J634)),'Over to underbark'!$A$3:$C$43,IF(A634="Scots pine",3,IF(A634="Sitka spruce",2, "error")),TRUE)/100</f>
        <v>0.89</v>
      </c>
      <c r="W634">
        <f t="shared" si="159"/>
        <v>149.742144</v>
      </c>
      <c r="X634">
        <f t="shared" si="160"/>
        <v>49.194215999999997</v>
      </c>
      <c r="Y634">
        <f t="shared" si="161"/>
        <v>24.587639999999997</v>
      </c>
      <c r="Z634">
        <f t="shared" si="162"/>
        <v>106.4013606864</v>
      </c>
      <c r="AA634">
        <f t="shared" si="163"/>
        <v>28.765455840000001</v>
      </c>
      <c r="AB634">
        <f t="shared" si="164"/>
        <v>61.201976241599994</v>
      </c>
      <c r="AC634">
        <f t="shared" si="165"/>
        <v>27.155207231999999</v>
      </c>
      <c r="AD634">
        <f>LOOKUP($A634,'Over to underbark'!$A$47:$A$48,'Over to underbark'!E$47:E$48)*Z634</f>
        <v>35.112449026512003</v>
      </c>
      <c r="AE634">
        <f>LOOKUP($A634,'Over to underbark'!$A$47:$A$48,'Over to underbark'!E$47:E$48)*AA634</f>
        <v>9.4926004272000011</v>
      </c>
      <c r="AF634">
        <f>LOOKUP($A634,'Over to underbark'!$A$47:$A$48,'Over to underbark'!E$47:E$48)*AB634</f>
        <v>20.196652159728</v>
      </c>
      <c r="AG634">
        <f>LOOKUP($A634,'Over to underbark'!$A$47:$A$48,'Over to underbark'!E$47:E$48)*AC634</f>
        <v>8.9612183865600006</v>
      </c>
      <c r="AH634" t="b">
        <f t="shared" si="166"/>
        <v>1</v>
      </c>
      <c r="AI634" t="b">
        <f t="shared" si="167"/>
        <v>1</v>
      </c>
      <c r="AJ634">
        <f>LOOKUP(A634,'Over to underbark'!$A$47:$A$48,'Over to underbark'!E$47:E$48)*M634</f>
        <v>81.958800000000011</v>
      </c>
      <c r="AK634" s="22">
        <f>LOOKUP(A634,'Over to underbark'!$A$47:$A$48,'Over to underbark'!$B$47:$B$48)*AJ634</f>
        <v>26.226816000000003</v>
      </c>
      <c r="AL634" s="22">
        <f>LOOKUP(A634,'Over to underbark'!$A$47:$A$48,'Over to underbark'!C$47:C$48)*AJ634</f>
        <v>40.159812000000002</v>
      </c>
      <c r="AM634" s="22">
        <f t="shared" si="168"/>
        <v>108.18561600000001</v>
      </c>
      <c r="AN634" s="36">
        <v>871</v>
      </c>
      <c r="AO634" s="23">
        <f t="shared" si="169"/>
        <v>216.37123200000002</v>
      </c>
      <c r="AQ634">
        <f t="shared" si="143"/>
        <v>0.68181818181818188</v>
      </c>
    </row>
    <row r="635" spans="1:43" x14ac:dyDescent="0.35">
      <c r="A635" t="s">
        <v>43</v>
      </c>
      <c r="B635">
        <v>12</v>
      </c>
      <c r="C635">
        <v>2</v>
      </c>
      <c r="D635" t="s">
        <v>42</v>
      </c>
      <c r="E635">
        <v>2</v>
      </c>
      <c r="F635">
        <v>1</v>
      </c>
      <c r="G635" s="30">
        <v>33</v>
      </c>
      <c r="H635" s="30">
        <v>13.986000000000001</v>
      </c>
      <c r="I635" s="30">
        <v>1995</v>
      </c>
      <c r="J635" s="30">
        <v>17.248999999999999</v>
      </c>
      <c r="K635" s="30">
        <v>46.618000000000002</v>
      </c>
      <c r="L635" s="30">
        <v>0.13300000000000001</v>
      </c>
      <c r="M635" s="30">
        <v>265.74</v>
      </c>
      <c r="N635" s="30">
        <v>1.4830000000000001</v>
      </c>
      <c r="O635" s="29">
        <v>8.0530000000000008</v>
      </c>
      <c r="P635" s="31">
        <v>33</v>
      </c>
      <c r="Q635" s="31">
        <v>17.248999999999999</v>
      </c>
      <c r="R635" s="31">
        <v>193.42</v>
      </c>
      <c r="S635" s="31">
        <v>72.319999999999993</v>
      </c>
      <c r="T635" s="10" t="b">
        <f t="shared" si="157"/>
        <v>1</v>
      </c>
      <c r="U635" s="10" t="b">
        <f t="shared" si="158"/>
        <v>1</v>
      </c>
      <c r="V635" s="11">
        <f>VLOOKUP(IF(J635&lt;10, 10, IF(J635&gt;50,50,J635)),'Over to underbark'!$A$3:$C$43,IF(A635="Scots pine",3,IF(A635="Sitka spruce",2, "error")),TRUE)/100</f>
        <v>0.9</v>
      </c>
      <c r="W635">
        <f t="shared" si="159"/>
        <v>156.67019999999999</v>
      </c>
      <c r="X635">
        <f t="shared" si="160"/>
        <v>58.579199999999993</v>
      </c>
      <c r="Y635">
        <f t="shared" si="161"/>
        <v>23.916599999999999</v>
      </c>
      <c r="Z635">
        <f t="shared" si="162"/>
        <v>112.71606056999998</v>
      </c>
      <c r="AA635">
        <f t="shared" si="163"/>
        <v>29.192022000000001</v>
      </c>
      <c r="AB635">
        <f t="shared" si="164"/>
        <v>64.922199029999987</v>
      </c>
      <c r="AC635">
        <f t="shared" si="165"/>
        <v>32.335718399999998</v>
      </c>
      <c r="AD635">
        <f>LOOKUP($A635,'Over to underbark'!$A$47:$A$48,'Over to underbark'!E$47:E$48)*Z635</f>
        <v>37.196299988099994</v>
      </c>
      <c r="AE635">
        <f>LOOKUP($A635,'Over to underbark'!$A$47:$A$48,'Over to underbark'!E$47:E$48)*AA635</f>
        <v>9.6333672600000018</v>
      </c>
      <c r="AF635">
        <f>LOOKUP($A635,'Over to underbark'!$A$47:$A$48,'Over to underbark'!E$47:E$48)*AB635</f>
        <v>21.424325679899997</v>
      </c>
      <c r="AG635">
        <f>LOOKUP($A635,'Over to underbark'!$A$47:$A$48,'Over to underbark'!E$47:E$48)*AC635</f>
        <v>10.670787072</v>
      </c>
      <c r="AH635" t="b">
        <f t="shared" si="166"/>
        <v>1</v>
      </c>
      <c r="AI635" t="b">
        <f t="shared" si="167"/>
        <v>1</v>
      </c>
      <c r="AJ635">
        <f>LOOKUP(A635,'Over to underbark'!$A$47:$A$48,'Over to underbark'!E$47:E$48)*M635</f>
        <v>87.694200000000009</v>
      </c>
      <c r="AK635" s="22">
        <f>LOOKUP(A635,'Over to underbark'!$A$47:$A$48,'Over to underbark'!$B$47:$B$48)*AJ635</f>
        <v>28.062144000000004</v>
      </c>
      <c r="AL635" s="22">
        <f>LOOKUP(A635,'Over to underbark'!$A$47:$A$48,'Over to underbark'!C$47:C$48)*AJ635</f>
        <v>42.970158000000005</v>
      </c>
      <c r="AM635" s="22">
        <f t="shared" si="168"/>
        <v>115.75634400000001</v>
      </c>
      <c r="AN635" s="36">
        <v>872</v>
      </c>
      <c r="AO635" s="23">
        <f t="shared" si="169"/>
        <v>231.51268800000003</v>
      </c>
      <c r="AQ635">
        <f t="shared" si="143"/>
        <v>0.68181818181818166</v>
      </c>
    </row>
    <row r="636" spans="1:43" x14ac:dyDescent="0.35">
      <c r="A636" t="s">
        <v>43</v>
      </c>
      <c r="B636">
        <v>12</v>
      </c>
      <c r="C636">
        <v>2</v>
      </c>
      <c r="D636" t="s">
        <v>42</v>
      </c>
      <c r="E636">
        <v>2</v>
      </c>
      <c r="F636">
        <v>1</v>
      </c>
      <c r="G636" s="30">
        <v>34</v>
      </c>
      <c r="H636" s="30">
        <v>14.468</v>
      </c>
      <c r="I636" s="30">
        <v>1953</v>
      </c>
      <c r="J636" s="30">
        <v>17.66</v>
      </c>
      <c r="K636" s="30">
        <v>47.84</v>
      </c>
      <c r="L636" s="30">
        <v>0.14499999999999999</v>
      </c>
      <c r="M636" s="30">
        <v>283.12</v>
      </c>
      <c r="N636" s="30">
        <v>1.667</v>
      </c>
      <c r="O636" s="29">
        <v>8.327</v>
      </c>
      <c r="P636" s="31">
        <v>34</v>
      </c>
      <c r="Q636" s="31">
        <v>17.66</v>
      </c>
      <c r="R636" s="31">
        <v>199.03399999999999</v>
      </c>
      <c r="S636" s="31">
        <v>84.085999999999999</v>
      </c>
      <c r="T636" s="10" t="b">
        <f t="shared" si="157"/>
        <v>1</v>
      </c>
      <c r="U636" s="10" t="b">
        <f t="shared" si="158"/>
        <v>1</v>
      </c>
      <c r="V636" s="11">
        <f>VLOOKUP(IF(J636&lt;10, 10, IF(J636&gt;50,50,J636)),'Over to underbark'!$A$3:$C$43,IF(A636="Scots pine",3,IF(A636="Sitka spruce",2, "error")),TRUE)/100</f>
        <v>0.9</v>
      </c>
      <c r="W636">
        <f t="shared" si="159"/>
        <v>161.21753999999999</v>
      </c>
      <c r="X636">
        <f t="shared" si="160"/>
        <v>68.109660000000005</v>
      </c>
      <c r="Y636">
        <f t="shared" si="161"/>
        <v>25.480799999999995</v>
      </c>
      <c r="Z636">
        <f t="shared" si="162"/>
        <v>118.95180219899997</v>
      </c>
      <c r="AA636">
        <f t="shared" si="163"/>
        <v>30.474329399999995</v>
      </c>
      <c r="AB636">
        <f t="shared" si="164"/>
        <v>67.785336080999983</v>
      </c>
      <c r="AC636">
        <f t="shared" si="165"/>
        <v>37.596532320000001</v>
      </c>
      <c r="AD636">
        <f>LOOKUP($A636,'Over to underbark'!$A$47:$A$48,'Over to underbark'!E$47:E$48)*Z636</f>
        <v>39.254094725669994</v>
      </c>
      <c r="AE636">
        <f>LOOKUP($A636,'Over to underbark'!$A$47:$A$48,'Over to underbark'!E$47:E$48)*AA636</f>
        <v>10.056528702</v>
      </c>
      <c r="AF636">
        <f>LOOKUP($A636,'Over to underbark'!$A$47:$A$48,'Over to underbark'!E$47:E$48)*AB636</f>
        <v>22.369160906729995</v>
      </c>
      <c r="AG636">
        <f>LOOKUP($A636,'Over to underbark'!$A$47:$A$48,'Over to underbark'!E$47:E$48)*AC636</f>
        <v>12.4068556656</v>
      </c>
      <c r="AH636" t="b">
        <f t="shared" si="166"/>
        <v>1</v>
      </c>
      <c r="AI636" t="b">
        <f t="shared" si="167"/>
        <v>1</v>
      </c>
      <c r="AJ636">
        <f>LOOKUP(A636,'Over to underbark'!$A$47:$A$48,'Over to underbark'!E$47:E$48)*M636</f>
        <v>93.429600000000008</v>
      </c>
      <c r="AK636" s="22">
        <f>LOOKUP(A636,'Over to underbark'!$A$47:$A$48,'Over to underbark'!$B$47:$B$48)*AJ636</f>
        <v>29.897472000000004</v>
      </c>
      <c r="AL636" s="22">
        <f>LOOKUP(A636,'Over to underbark'!$A$47:$A$48,'Over to underbark'!C$47:C$48)*AJ636</f>
        <v>45.780504000000001</v>
      </c>
      <c r="AM636" s="22">
        <f t="shared" si="168"/>
        <v>123.32707200000002</v>
      </c>
      <c r="AN636" s="36">
        <v>873</v>
      </c>
      <c r="AO636" s="23">
        <f t="shared" si="169"/>
        <v>246.65414400000003</v>
      </c>
      <c r="AQ636">
        <f t="shared" si="143"/>
        <v>0.68181818181818166</v>
      </c>
    </row>
    <row r="637" spans="1:43" x14ac:dyDescent="0.35">
      <c r="A637" t="s">
        <v>43</v>
      </c>
      <c r="B637">
        <v>12</v>
      </c>
      <c r="C637">
        <v>2</v>
      </c>
      <c r="D637" t="s">
        <v>42</v>
      </c>
      <c r="E637">
        <v>2</v>
      </c>
      <c r="F637">
        <v>1</v>
      </c>
      <c r="G637" s="30">
        <v>35</v>
      </c>
      <c r="H637" s="30">
        <v>14.95</v>
      </c>
      <c r="I637" s="30">
        <v>1911</v>
      </c>
      <c r="J637" s="30">
        <v>18.079999999999998</v>
      </c>
      <c r="K637" s="30">
        <v>49.061999999999998</v>
      </c>
      <c r="L637" s="30">
        <v>0.157</v>
      </c>
      <c r="M637" s="30">
        <v>300.5</v>
      </c>
      <c r="N637" s="30">
        <v>1.829</v>
      </c>
      <c r="O637" s="29">
        <v>8.5860000000000003</v>
      </c>
      <c r="P637" s="31">
        <v>35</v>
      </c>
      <c r="Q637" s="31">
        <v>18.079999999999998</v>
      </c>
      <c r="R637" s="31">
        <v>203.7</v>
      </c>
      <c r="S637" s="31">
        <v>96.8</v>
      </c>
      <c r="T637" s="10" t="b">
        <f t="shared" si="157"/>
        <v>1</v>
      </c>
      <c r="U637" s="10" t="b">
        <f t="shared" si="158"/>
        <v>1</v>
      </c>
      <c r="V637" s="11">
        <f>VLOOKUP(IF(J637&lt;10, 10, IF(J637&gt;50,50,J637)),'Over to underbark'!$A$3:$C$43,IF(A637="Scots pine",3,IF(A637="Sitka spruce",2, "error")),TRUE)/100</f>
        <v>0.9</v>
      </c>
      <c r="W637">
        <f t="shared" si="159"/>
        <v>164.99699999999999</v>
      </c>
      <c r="X637">
        <f t="shared" si="160"/>
        <v>78.408000000000001</v>
      </c>
      <c r="Y637">
        <f t="shared" si="161"/>
        <v>27.044999999999995</v>
      </c>
      <c r="Z637">
        <f t="shared" si="162"/>
        <v>125.03446694999998</v>
      </c>
      <c r="AA637">
        <f t="shared" si="163"/>
        <v>31.672169999999994</v>
      </c>
      <c r="AB637">
        <f t="shared" si="164"/>
        <v>70.462147049999984</v>
      </c>
      <c r="AC637">
        <f t="shared" si="165"/>
        <v>43.281216000000001</v>
      </c>
      <c r="AD637">
        <f>LOOKUP($A637,'Over to underbark'!$A$47:$A$48,'Over to underbark'!E$47:E$48)*Z637</f>
        <v>41.261374093499995</v>
      </c>
      <c r="AE637">
        <f>LOOKUP($A637,'Over to underbark'!$A$47:$A$48,'Over to underbark'!E$47:E$48)*AA637</f>
        <v>10.451816099999998</v>
      </c>
      <c r="AF637">
        <f>LOOKUP($A637,'Over to underbark'!$A$47:$A$48,'Over to underbark'!E$47:E$48)*AB637</f>
        <v>23.252508526499994</v>
      </c>
      <c r="AG637">
        <f>LOOKUP($A637,'Over to underbark'!$A$47:$A$48,'Over to underbark'!E$47:E$48)*AC637</f>
        <v>14.282801280000001</v>
      </c>
      <c r="AH637" t="b">
        <f t="shared" si="166"/>
        <v>1</v>
      </c>
      <c r="AI637" t="b">
        <f t="shared" si="167"/>
        <v>1</v>
      </c>
      <c r="AJ637">
        <f>LOOKUP(A637,'Over to underbark'!$A$47:$A$48,'Over to underbark'!E$47:E$48)*M637</f>
        <v>99.165000000000006</v>
      </c>
      <c r="AK637" s="22">
        <f>LOOKUP(A637,'Over to underbark'!$A$47:$A$48,'Over to underbark'!$B$47:$B$48)*AJ637</f>
        <v>31.732800000000001</v>
      </c>
      <c r="AL637" s="22">
        <f>LOOKUP(A637,'Over to underbark'!$A$47:$A$48,'Over to underbark'!C$47:C$48)*AJ637</f>
        <v>48.590850000000003</v>
      </c>
      <c r="AM637" s="22">
        <f t="shared" si="168"/>
        <v>130.89780000000002</v>
      </c>
      <c r="AN637" s="36">
        <v>874</v>
      </c>
      <c r="AO637" s="23">
        <f t="shared" si="169"/>
        <v>261.79560000000004</v>
      </c>
      <c r="AQ637">
        <f t="shared" si="143"/>
        <v>0.68181818181818166</v>
      </c>
    </row>
    <row r="638" spans="1:43" x14ac:dyDescent="0.35">
      <c r="A638" t="s">
        <v>43</v>
      </c>
      <c r="B638">
        <v>12</v>
      </c>
      <c r="C638">
        <v>2</v>
      </c>
      <c r="D638" t="s">
        <v>42</v>
      </c>
      <c r="E638">
        <v>2</v>
      </c>
      <c r="F638">
        <v>1</v>
      </c>
      <c r="G638" s="30">
        <v>36</v>
      </c>
      <c r="H638" s="30">
        <v>15.394</v>
      </c>
      <c r="I638" s="30">
        <v>1871</v>
      </c>
      <c r="J638" s="30">
        <v>18.454000000000001</v>
      </c>
      <c r="K638" s="30">
        <v>50.040999999999997</v>
      </c>
      <c r="L638" s="30">
        <v>0.17</v>
      </c>
      <c r="M638" s="30">
        <v>317.62</v>
      </c>
      <c r="N638" s="30">
        <v>2.1680000000000001</v>
      </c>
      <c r="O638" s="29">
        <v>8.8230000000000004</v>
      </c>
      <c r="P638" s="31">
        <v>36</v>
      </c>
      <c r="Q638" s="31">
        <v>18.454000000000001</v>
      </c>
      <c r="R638" s="31">
        <v>208.28100000000001</v>
      </c>
      <c r="S638" s="31">
        <v>109.339</v>
      </c>
      <c r="T638" s="10" t="b">
        <f t="shared" si="157"/>
        <v>1</v>
      </c>
      <c r="U638" s="10" t="b">
        <f t="shared" si="158"/>
        <v>1</v>
      </c>
      <c r="V638" s="11">
        <f>VLOOKUP(IF(J638&lt;10, 10, IF(J638&gt;50,50,J638)),'Over to underbark'!$A$3:$C$43,IF(A638="Scots pine",3,IF(A638="Sitka spruce",2, "error")),TRUE)/100</f>
        <v>0.9</v>
      </c>
      <c r="W638">
        <f t="shared" si="159"/>
        <v>168.70761000000002</v>
      </c>
      <c r="X638">
        <f t="shared" si="160"/>
        <v>88.56459000000001</v>
      </c>
      <c r="Y638">
        <f t="shared" si="161"/>
        <v>28.585799999999995</v>
      </c>
      <c r="Z638">
        <f t="shared" si="162"/>
        <v>131.02368265350003</v>
      </c>
      <c r="AA638">
        <f t="shared" si="163"/>
        <v>32.850737099999996</v>
      </c>
      <c r="AB638">
        <f t="shared" si="164"/>
        <v>73.095926566499998</v>
      </c>
      <c r="AC638">
        <f t="shared" si="165"/>
        <v>48.887653680000007</v>
      </c>
      <c r="AD638">
        <f>LOOKUP($A638,'Over to underbark'!$A$47:$A$48,'Over to underbark'!E$47:E$48)*Z638</f>
        <v>43.237815275655009</v>
      </c>
      <c r="AE638">
        <f>LOOKUP($A638,'Over to underbark'!$A$47:$A$48,'Over to underbark'!E$47:E$48)*AA638</f>
        <v>10.840743242999999</v>
      </c>
      <c r="AF638">
        <f>LOOKUP($A638,'Over to underbark'!$A$47:$A$48,'Over to underbark'!E$47:E$48)*AB638</f>
        <v>24.121655766945</v>
      </c>
      <c r="AG638">
        <f>LOOKUP($A638,'Over to underbark'!$A$47:$A$48,'Over to underbark'!E$47:E$48)*AC638</f>
        <v>16.132925714400002</v>
      </c>
      <c r="AH638" t="b">
        <f t="shared" si="166"/>
        <v>1</v>
      </c>
      <c r="AI638" t="b">
        <f t="shared" si="167"/>
        <v>1</v>
      </c>
      <c r="AJ638">
        <f>LOOKUP(A638,'Over to underbark'!$A$47:$A$48,'Over to underbark'!E$47:E$48)*M638</f>
        <v>104.81460000000001</v>
      </c>
      <c r="AK638" s="22">
        <f>LOOKUP(A638,'Over to underbark'!$A$47:$A$48,'Over to underbark'!$B$47:$B$48)*AJ638</f>
        <v>33.540672000000008</v>
      </c>
      <c r="AL638" s="22">
        <f>LOOKUP(A638,'Over to underbark'!$A$47:$A$48,'Over to underbark'!C$47:C$48)*AJ638</f>
        <v>51.359154000000004</v>
      </c>
      <c r="AM638" s="22">
        <f t="shared" si="168"/>
        <v>138.35527200000001</v>
      </c>
      <c r="AN638" s="36">
        <v>875</v>
      </c>
      <c r="AO638" s="23">
        <f t="shared" si="169"/>
        <v>276.71054400000003</v>
      </c>
      <c r="AQ638">
        <f t="shared" si="143"/>
        <v>0.68181818181818188</v>
      </c>
    </row>
    <row r="639" spans="1:43" x14ac:dyDescent="0.35">
      <c r="A639" t="s">
        <v>43</v>
      </c>
      <c r="B639">
        <v>12</v>
      </c>
      <c r="C639">
        <v>2</v>
      </c>
      <c r="D639" t="s">
        <v>42</v>
      </c>
      <c r="E639">
        <v>2</v>
      </c>
      <c r="F639">
        <v>1</v>
      </c>
      <c r="G639" s="30">
        <v>37</v>
      </c>
      <c r="H639" s="30">
        <v>15.837999999999999</v>
      </c>
      <c r="I639" s="30">
        <v>1832</v>
      </c>
      <c r="J639" s="30">
        <v>18.829999999999998</v>
      </c>
      <c r="K639" s="30">
        <v>51.018999999999998</v>
      </c>
      <c r="L639" s="30">
        <v>0.183</v>
      </c>
      <c r="M639" s="30">
        <v>334.74</v>
      </c>
      <c r="N639" s="30">
        <v>2.4710000000000001</v>
      </c>
      <c r="O639" s="29">
        <v>9.0470000000000006</v>
      </c>
      <c r="P639" s="31">
        <v>37</v>
      </c>
      <c r="Q639" s="31">
        <v>18.829999999999998</v>
      </c>
      <c r="R639" s="31">
        <v>212.16399999999999</v>
      </c>
      <c r="S639" s="31">
        <v>122.57599999999999</v>
      </c>
      <c r="T639" s="10" t="b">
        <f t="shared" si="157"/>
        <v>1</v>
      </c>
      <c r="U639" s="10" t="b">
        <f t="shared" si="158"/>
        <v>1</v>
      </c>
      <c r="V639" s="11">
        <f>VLOOKUP(IF(J639&lt;10, 10, IF(J639&gt;50,50,J639)),'Over to underbark'!$A$3:$C$43,IF(A639="Scots pine",3,IF(A639="Sitka spruce",2, "error")),TRUE)/100</f>
        <v>0.9</v>
      </c>
      <c r="W639">
        <f t="shared" si="159"/>
        <v>171.85283999999999</v>
      </c>
      <c r="X639">
        <f t="shared" si="160"/>
        <v>99.286559999999994</v>
      </c>
      <c r="Y639">
        <f t="shared" si="161"/>
        <v>30.126599999999996</v>
      </c>
      <c r="Z639">
        <f t="shared" si="162"/>
        <v>136.90018985399999</v>
      </c>
      <c r="AA639">
        <f t="shared" si="163"/>
        <v>33.967112399999998</v>
      </c>
      <c r="AB639">
        <f t="shared" si="164"/>
        <v>75.592516625999977</v>
      </c>
      <c r="AC639">
        <f t="shared" si="165"/>
        <v>54.806181119999998</v>
      </c>
      <c r="AD639">
        <f>LOOKUP($A639,'Over to underbark'!$A$47:$A$48,'Over to underbark'!E$47:E$48)*Z639</f>
        <v>45.177062651820002</v>
      </c>
      <c r="AE639">
        <f>LOOKUP($A639,'Over to underbark'!$A$47:$A$48,'Over to underbark'!E$47:E$48)*AA639</f>
        <v>11.209147092</v>
      </c>
      <c r="AF639">
        <f>LOOKUP($A639,'Over to underbark'!$A$47:$A$48,'Over to underbark'!E$47:E$48)*AB639</f>
        <v>24.945530486579994</v>
      </c>
      <c r="AG639">
        <f>LOOKUP($A639,'Over to underbark'!$A$47:$A$48,'Over to underbark'!E$47:E$48)*AC639</f>
        <v>18.086039769599999</v>
      </c>
      <c r="AH639" t="b">
        <f t="shared" si="166"/>
        <v>1</v>
      </c>
      <c r="AI639" t="b">
        <f t="shared" si="167"/>
        <v>1</v>
      </c>
      <c r="AJ639">
        <f>LOOKUP(A639,'Over to underbark'!$A$47:$A$48,'Over to underbark'!E$47:E$48)*M639</f>
        <v>110.46420000000001</v>
      </c>
      <c r="AK639" s="22">
        <f>LOOKUP(A639,'Over to underbark'!$A$47:$A$48,'Over to underbark'!$B$47:$B$48)*AJ639</f>
        <v>35.348544000000004</v>
      </c>
      <c r="AL639" s="22">
        <f>LOOKUP(A639,'Over to underbark'!$A$47:$A$48,'Over to underbark'!C$47:C$48)*AJ639</f>
        <v>54.127458000000004</v>
      </c>
      <c r="AM639" s="22">
        <f t="shared" si="168"/>
        <v>145.81274400000001</v>
      </c>
      <c r="AN639" s="36">
        <v>876</v>
      </c>
      <c r="AO639" s="23">
        <f t="shared" si="169"/>
        <v>291.62548800000002</v>
      </c>
      <c r="AQ639">
        <f t="shared" si="143"/>
        <v>0.68181818181818177</v>
      </c>
    </row>
    <row r="640" spans="1:43" x14ac:dyDescent="0.35">
      <c r="A640" t="s">
        <v>43</v>
      </c>
      <c r="B640">
        <v>12</v>
      </c>
      <c r="C640">
        <v>2</v>
      </c>
      <c r="D640" t="s">
        <v>42</v>
      </c>
      <c r="E640">
        <v>2</v>
      </c>
      <c r="F640">
        <v>1</v>
      </c>
      <c r="G640" s="30">
        <v>38</v>
      </c>
      <c r="H640" s="30">
        <v>16.282</v>
      </c>
      <c r="I640" s="30">
        <v>1792</v>
      </c>
      <c r="J640" s="30">
        <v>19.221</v>
      </c>
      <c r="K640" s="30">
        <v>51.997999999999998</v>
      </c>
      <c r="L640" s="30">
        <v>0.19600000000000001</v>
      </c>
      <c r="M640" s="30">
        <v>351.86</v>
      </c>
      <c r="N640" s="30">
        <v>2.742</v>
      </c>
      <c r="O640" s="29">
        <v>9.2590000000000003</v>
      </c>
      <c r="P640" s="31">
        <v>38</v>
      </c>
      <c r="Q640" s="31">
        <v>19.221</v>
      </c>
      <c r="R640" s="31">
        <v>215.11099999999999</v>
      </c>
      <c r="S640" s="31">
        <v>136.749</v>
      </c>
      <c r="T640" s="10" t="b">
        <f t="shared" si="157"/>
        <v>1</v>
      </c>
      <c r="U640" s="10" t="b">
        <f t="shared" si="158"/>
        <v>1</v>
      </c>
      <c r="V640" s="11">
        <f>VLOOKUP(IF(J640&lt;10, 10, IF(J640&gt;50,50,J640)),'Over to underbark'!$A$3:$C$43,IF(A640="Scots pine",3,IF(A640="Sitka spruce",2, "error")),TRUE)/100</f>
        <v>0.9</v>
      </c>
      <c r="W640">
        <f t="shared" si="159"/>
        <v>174.23991000000001</v>
      </c>
      <c r="X640">
        <f t="shared" si="160"/>
        <v>110.76669</v>
      </c>
      <c r="Y640">
        <f t="shared" si="161"/>
        <v>31.667399999999997</v>
      </c>
      <c r="Z640">
        <f t="shared" si="162"/>
        <v>142.6255578585</v>
      </c>
      <c r="AA640">
        <f t="shared" si="163"/>
        <v>35.000090100000001</v>
      </c>
      <c r="AB640">
        <f t="shared" si="164"/>
        <v>77.905139161500017</v>
      </c>
      <c r="AC640">
        <f t="shared" si="165"/>
        <v>61.14321288</v>
      </c>
      <c r="AD640">
        <f>LOOKUP($A640,'Over to underbark'!$A$47:$A$48,'Over to underbark'!E$47:E$48)*Z640</f>
        <v>47.066434093305006</v>
      </c>
      <c r="AE640">
        <f>LOOKUP($A640,'Over to underbark'!$A$47:$A$48,'Over to underbark'!E$47:E$48)*AA640</f>
        <v>11.550029733000001</v>
      </c>
      <c r="AF640">
        <f>LOOKUP($A640,'Over to underbark'!$A$47:$A$48,'Over to underbark'!E$47:E$48)*AB640</f>
        <v>25.708695923295007</v>
      </c>
      <c r="AG640">
        <f>LOOKUP($A640,'Over to underbark'!$A$47:$A$48,'Over to underbark'!E$47:E$48)*AC640</f>
        <v>20.1772602504</v>
      </c>
      <c r="AH640" t="b">
        <f t="shared" si="166"/>
        <v>1</v>
      </c>
      <c r="AI640" t="b">
        <f t="shared" si="167"/>
        <v>1</v>
      </c>
      <c r="AJ640">
        <f>LOOKUP(A640,'Over to underbark'!$A$47:$A$48,'Over to underbark'!E$47:E$48)*M640</f>
        <v>116.11380000000001</v>
      </c>
      <c r="AK640" s="22">
        <f>LOOKUP(A640,'Over to underbark'!$A$47:$A$48,'Over to underbark'!$B$47:$B$48)*AJ640</f>
        <v>37.156416000000007</v>
      </c>
      <c r="AL640" s="22">
        <f>LOOKUP(A640,'Over to underbark'!$A$47:$A$48,'Over to underbark'!C$47:C$48)*AJ640</f>
        <v>56.895762000000005</v>
      </c>
      <c r="AM640" s="22">
        <f t="shared" si="168"/>
        <v>153.270216</v>
      </c>
      <c r="AN640" s="36">
        <v>877</v>
      </c>
      <c r="AO640" s="23">
        <f t="shared" si="169"/>
        <v>306.54043200000001</v>
      </c>
      <c r="AQ640">
        <f t="shared" si="143"/>
        <v>0.68181818181818188</v>
      </c>
    </row>
    <row r="641" spans="1:43" x14ac:dyDescent="0.35">
      <c r="A641" t="s">
        <v>43</v>
      </c>
      <c r="B641">
        <v>12</v>
      </c>
      <c r="C641">
        <v>2</v>
      </c>
      <c r="D641" t="s">
        <v>42</v>
      </c>
      <c r="E641">
        <v>2</v>
      </c>
      <c r="F641">
        <v>1</v>
      </c>
      <c r="G641" s="30">
        <v>39</v>
      </c>
      <c r="H641" s="30">
        <v>16.725999999999999</v>
      </c>
      <c r="I641" s="30">
        <v>1753</v>
      </c>
      <c r="J641" s="30">
        <v>19.616</v>
      </c>
      <c r="K641" s="30">
        <v>52.975999999999999</v>
      </c>
      <c r="L641" s="30">
        <v>0.21</v>
      </c>
      <c r="M641" s="30">
        <v>368.98</v>
      </c>
      <c r="N641" s="30">
        <v>2.9870000000000001</v>
      </c>
      <c r="O641" s="29">
        <v>9.4610000000000003</v>
      </c>
      <c r="P641" s="31">
        <v>39</v>
      </c>
      <c r="Q641" s="31">
        <v>19.616</v>
      </c>
      <c r="R641" s="31">
        <v>217.34899999999999</v>
      </c>
      <c r="S641" s="31">
        <v>151.631</v>
      </c>
      <c r="T641" s="10" t="b">
        <f t="shared" si="157"/>
        <v>1</v>
      </c>
      <c r="U641" s="10" t="b">
        <f t="shared" si="158"/>
        <v>1</v>
      </c>
      <c r="V641" s="11">
        <f>VLOOKUP(IF(J641&lt;10, 10, IF(J641&gt;50,50,J641)),'Over to underbark'!$A$3:$C$43,IF(A641="Scots pine",3,IF(A641="Sitka spruce",2, "error")),TRUE)/100</f>
        <v>0.9</v>
      </c>
      <c r="W641">
        <f t="shared" si="159"/>
        <v>176.05269000000001</v>
      </c>
      <c r="X641">
        <f t="shared" si="160"/>
        <v>122.82111000000002</v>
      </c>
      <c r="Y641">
        <f t="shared" si="161"/>
        <v>33.208199999999998</v>
      </c>
      <c r="Z641">
        <f t="shared" si="162"/>
        <v>148.23644115150003</v>
      </c>
      <c r="AA641">
        <f t="shared" si="163"/>
        <v>35.969895899999997</v>
      </c>
      <c r="AB641">
        <f t="shared" si="164"/>
        <v>80.078410228500005</v>
      </c>
      <c r="AC641">
        <f t="shared" si="165"/>
        <v>67.797252720000003</v>
      </c>
      <c r="AD641">
        <f>LOOKUP($A641,'Over to underbark'!$A$47:$A$48,'Over to underbark'!E$47:E$48)*Z641</f>
        <v>48.91802557999501</v>
      </c>
      <c r="AE641">
        <f>LOOKUP($A641,'Over to underbark'!$A$47:$A$48,'Over to underbark'!E$47:E$48)*AA641</f>
        <v>11.870065647000001</v>
      </c>
      <c r="AF641">
        <f>LOOKUP($A641,'Over to underbark'!$A$47:$A$48,'Over to underbark'!E$47:E$48)*AB641</f>
        <v>26.425875375405003</v>
      </c>
      <c r="AG641">
        <f>LOOKUP($A641,'Over to underbark'!$A$47:$A$48,'Over to underbark'!E$47:E$48)*AC641</f>
        <v>22.373093397600002</v>
      </c>
      <c r="AH641" t="b">
        <f t="shared" si="166"/>
        <v>1</v>
      </c>
      <c r="AI641" t="b">
        <f t="shared" si="167"/>
        <v>1</v>
      </c>
      <c r="AJ641">
        <f>LOOKUP(A641,'Over to underbark'!$A$47:$A$48,'Over to underbark'!E$47:E$48)*M641</f>
        <v>121.76340000000002</v>
      </c>
      <c r="AK641" s="22">
        <f>LOOKUP(A641,'Over to underbark'!$A$47:$A$48,'Over to underbark'!$B$47:$B$48)*AJ641</f>
        <v>38.964288000000003</v>
      </c>
      <c r="AL641" s="22">
        <f>LOOKUP(A641,'Over to underbark'!$A$47:$A$48,'Over to underbark'!C$47:C$48)*AJ641</f>
        <v>59.664066000000005</v>
      </c>
      <c r="AM641" s="22">
        <f t="shared" si="168"/>
        <v>160.72768800000003</v>
      </c>
      <c r="AN641" s="36">
        <v>878</v>
      </c>
      <c r="AO641" s="23">
        <f t="shared" si="169"/>
        <v>321.45537600000006</v>
      </c>
      <c r="AQ641">
        <f t="shared" si="143"/>
        <v>0.68181818181818177</v>
      </c>
    </row>
    <row r="642" spans="1:43" x14ac:dyDescent="0.35">
      <c r="A642" t="s">
        <v>43</v>
      </c>
      <c r="B642">
        <v>12</v>
      </c>
      <c r="C642">
        <v>2</v>
      </c>
      <c r="D642" t="s">
        <v>42</v>
      </c>
      <c r="E642">
        <v>2</v>
      </c>
      <c r="F642">
        <v>1</v>
      </c>
      <c r="G642" s="30">
        <v>40</v>
      </c>
      <c r="H642" s="30">
        <v>17.170000000000002</v>
      </c>
      <c r="I642" s="30">
        <v>1714</v>
      </c>
      <c r="J642" s="30">
        <v>20.02</v>
      </c>
      <c r="K642" s="30">
        <v>53.954999999999998</v>
      </c>
      <c r="L642" s="30">
        <v>0.22500000000000001</v>
      </c>
      <c r="M642" s="30">
        <v>386.1</v>
      </c>
      <c r="N642" s="30">
        <v>3.2090000000000001</v>
      </c>
      <c r="O642" s="29">
        <v>9.6519999999999992</v>
      </c>
      <c r="P642" s="31">
        <v>40</v>
      </c>
      <c r="Q642" s="31">
        <v>20.02</v>
      </c>
      <c r="R642" s="31">
        <v>218.8</v>
      </c>
      <c r="S642" s="31">
        <v>167.3</v>
      </c>
      <c r="T642" s="10" t="b">
        <f t="shared" si="157"/>
        <v>1</v>
      </c>
      <c r="U642" s="10" t="b">
        <f t="shared" si="158"/>
        <v>1</v>
      </c>
      <c r="V642" s="11">
        <f>VLOOKUP(IF(J642&lt;10, 10, IF(J642&gt;50,50,J642)),'Over to underbark'!$A$3:$C$43,IF(A642="Scots pine",3,IF(A642="Sitka spruce",2, "error")),TRUE)/100</f>
        <v>0.9</v>
      </c>
      <c r="W642">
        <f t="shared" si="159"/>
        <v>177.22800000000001</v>
      </c>
      <c r="X642">
        <f t="shared" si="160"/>
        <v>135.51300000000003</v>
      </c>
      <c r="Y642">
        <f t="shared" si="161"/>
        <v>34.748999999999995</v>
      </c>
      <c r="Z642">
        <f t="shared" si="162"/>
        <v>153.72024480000002</v>
      </c>
      <c r="AA642">
        <f t="shared" si="163"/>
        <v>36.869579999999999</v>
      </c>
      <c r="AB642">
        <f t="shared" si="164"/>
        <v>82.096999199999999</v>
      </c>
      <c r="AC642">
        <f t="shared" si="165"/>
        <v>74.803176000000022</v>
      </c>
      <c r="AD642">
        <f>LOOKUP($A642,'Over to underbark'!$A$47:$A$48,'Over to underbark'!E$47:E$48)*Z642</f>
        <v>50.727680784000007</v>
      </c>
      <c r="AE642">
        <f>LOOKUP($A642,'Over to underbark'!$A$47:$A$48,'Over to underbark'!E$47:E$48)*AA642</f>
        <v>12.1669614</v>
      </c>
      <c r="AF642">
        <f>LOOKUP($A642,'Over to underbark'!$A$47:$A$48,'Over to underbark'!E$47:E$48)*AB642</f>
        <v>27.092009736000001</v>
      </c>
      <c r="AG642">
        <f>LOOKUP($A642,'Over to underbark'!$A$47:$A$48,'Over to underbark'!E$47:E$48)*AC642</f>
        <v>24.685048080000008</v>
      </c>
      <c r="AH642" t="b">
        <f t="shared" si="166"/>
        <v>1</v>
      </c>
      <c r="AI642" t="b">
        <f t="shared" si="167"/>
        <v>1</v>
      </c>
      <c r="AJ642">
        <f>LOOKUP(A642,'Over to underbark'!$A$47:$A$48,'Over to underbark'!E$47:E$48)*M642</f>
        <v>127.41300000000001</v>
      </c>
      <c r="AK642" s="22">
        <f>LOOKUP(A642,'Over to underbark'!$A$47:$A$48,'Over to underbark'!$B$47:$B$48)*AJ642</f>
        <v>40.772160000000007</v>
      </c>
      <c r="AL642" s="22">
        <f>LOOKUP(A642,'Over to underbark'!$A$47:$A$48,'Over to underbark'!C$47:C$48)*AJ642</f>
        <v>62.432370000000006</v>
      </c>
      <c r="AM642" s="22">
        <f t="shared" si="168"/>
        <v>168.18516000000002</v>
      </c>
      <c r="AN642" s="36">
        <v>879</v>
      </c>
      <c r="AO642" s="23">
        <f t="shared" si="169"/>
        <v>336.37032000000005</v>
      </c>
      <c r="AQ642">
        <f t="shared" si="143"/>
        <v>0.68181818181818177</v>
      </c>
    </row>
    <row r="643" spans="1:43" x14ac:dyDescent="0.35">
      <c r="A643" t="s">
        <v>43</v>
      </c>
      <c r="B643">
        <v>12</v>
      </c>
      <c r="C643">
        <v>2</v>
      </c>
      <c r="D643" t="s">
        <v>42</v>
      </c>
      <c r="E643">
        <v>2</v>
      </c>
      <c r="F643">
        <v>1</v>
      </c>
      <c r="G643" s="30">
        <v>41</v>
      </c>
      <c r="H643" s="30">
        <v>17.574000000000002</v>
      </c>
      <c r="I643" s="30">
        <v>1680</v>
      </c>
      <c r="J643" s="30">
        <v>20.363</v>
      </c>
      <c r="K643" s="30">
        <v>54.712000000000003</v>
      </c>
      <c r="L643" s="30">
        <v>0.23899999999999999</v>
      </c>
      <c r="M643" s="30">
        <v>401.88</v>
      </c>
      <c r="N643" s="30">
        <v>3.5609999999999999</v>
      </c>
      <c r="O643" s="29">
        <v>9.8019999999999996</v>
      </c>
      <c r="P643" s="31">
        <v>41</v>
      </c>
      <c r="Q643" s="31">
        <v>20.363</v>
      </c>
      <c r="R643" s="31">
        <v>220.262</v>
      </c>
      <c r="S643" s="31">
        <v>181.61799999999999</v>
      </c>
      <c r="T643" s="10" t="b">
        <f t="shared" si="157"/>
        <v>1</v>
      </c>
      <c r="U643" s="10" t="b">
        <f t="shared" si="158"/>
        <v>1</v>
      </c>
      <c r="V643" s="11">
        <f>VLOOKUP(IF(J643&lt;10, 10, IF(J643&gt;50,50,J643)),'Over to underbark'!$A$3:$C$43,IF(A643="Scots pine",3,IF(A643="Sitka spruce",2, "error")),TRUE)/100</f>
        <v>0.9</v>
      </c>
      <c r="W643">
        <f t="shared" si="159"/>
        <v>178.41222000000002</v>
      </c>
      <c r="X643">
        <f t="shared" si="160"/>
        <v>147.11058</v>
      </c>
      <c r="Y643">
        <f t="shared" si="161"/>
        <v>36.169199999999989</v>
      </c>
      <c r="Z643">
        <f t="shared" si="162"/>
        <v>158.79494045700002</v>
      </c>
      <c r="AA643">
        <f t="shared" si="163"/>
        <v>37.709944199999995</v>
      </c>
      <c r="AB643">
        <f t="shared" si="164"/>
        <v>83.982075183000006</v>
      </c>
      <c r="AC643">
        <f t="shared" si="165"/>
        <v>81.205040159999996</v>
      </c>
      <c r="AD643">
        <f>LOOKUP($A643,'Over to underbark'!$A$47:$A$48,'Over to underbark'!E$47:E$48)*Z643</f>
        <v>52.402330350810011</v>
      </c>
      <c r="AE643">
        <f>LOOKUP($A643,'Over to underbark'!$A$47:$A$48,'Over to underbark'!E$47:E$48)*AA643</f>
        <v>12.444281585999999</v>
      </c>
      <c r="AF643">
        <f>LOOKUP($A643,'Over to underbark'!$A$47:$A$48,'Over to underbark'!E$47:E$48)*AB643</f>
        <v>27.714084810390002</v>
      </c>
      <c r="AG643">
        <f>LOOKUP($A643,'Over to underbark'!$A$47:$A$48,'Over to underbark'!E$47:E$48)*AC643</f>
        <v>26.7976632528</v>
      </c>
      <c r="AH643" t="b">
        <f t="shared" si="166"/>
        <v>1</v>
      </c>
      <c r="AI643" t="b">
        <f t="shared" si="167"/>
        <v>1</v>
      </c>
      <c r="AJ643">
        <f>LOOKUP(A643,'Over to underbark'!$A$47:$A$48,'Over to underbark'!E$47:E$48)*M643</f>
        <v>132.62040000000002</v>
      </c>
      <c r="AK643" s="22">
        <f>LOOKUP(A643,'Over to underbark'!$A$47:$A$48,'Over to underbark'!$B$47:$B$48)*AJ643</f>
        <v>42.438528000000005</v>
      </c>
      <c r="AL643" s="22">
        <f>LOOKUP(A643,'Over to underbark'!$A$47:$A$48,'Over to underbark'!C$47:C$48)*AJ643</f>
        <v>64.983996000000005</v>
      </c>
      <c r="AM643" s="22">
        <f t="shared" si="168"/>
        <v>175.05892800000004</v>
      </c>
      <c r="AN643" s="36">
        <v>880</v>
      </c>
      <c r="AO643" s="23">
        <f t="shared" si="169"/>
        <v>350.11785600000007</v>
      </c>
      <c r="AQ643">
        <f t="shared" si="143"/>
        <v>0.68181818181818166</v>
      </c>
    </row>
    <row r="644" spans="1:43" x14ac:dyDescent="0.35">
      <c r="A644" t="s">
        <v>43</v>
      </c>
      <c r="B644">
        <v>12</v>
      </c>
      <c r="C644">
        <v>2</v>
      </c>
      <c r="D644" t="s">
        <v>42</v>
      </c>
      <c r="E644">
        <v>2</v>
      </c>
      <c r="F644">
        <v>1</v>
      </c>
      <c r="G644" s="30">
        <v>42</v>
      </c>
      <c r="H644" s="30">
        <v>17.978000000000002</v>
      </c>
      <c r="I644" s="30">
        <v>1647</v>
      </c>
      <c r="J644" s="30">
        <v>20.707999999999998</v>
      </c>
      <c r="K644" s="30">
        <v>55.47</v>
      </c>
      <c r="L644" s="30">
        <v>0.254</v>
      </c>
      <c r="M644" s="30">
        <v>417.66</v>
      </c>
      <c r="N644" s="30">
        <v>3.8849999999999998</v>
      </c>
      <c r="O644" s="29">
        <v>9.9440000000000008</v>
      </c>
      <c r="P644" s="31">
        <v>42</v>
      </c>
      <c r="Q644" s="31">
        <v>20.707999999999998</v>
      </c>
      <c r="R644" s="31">
        <v>221.24299999999999</v>
      </c>
      <c r="S644" s="31">
        <v>196.417</v>
      </c>
      <c r="T644" s="10" t="b">
        <f t="shared" si="157"/>
        <v>1</v>
      </c>
      <c r="U644" s="10" t="b">
        <f t="shared" si="158"/>
        <v>1</v>
      </c>
      <c r="V644" s="11">
        <f>VLOOKUP(IF(J644&lt;10, 10, IF(J644&gt;50,50,J644)),'Over to underbark'!$A$3:$C$43,IF(A644="Scots pine",3,IF(A644="Sitka spruce",2, "error")),TRUE)/100</f>
        <v>0.9</v>
      </c>
      <c r="W644">
        <f t="shared" si="159"/>
        <v>179.20683</v>
      </c>
      <c r="X644">
        <f t="shared" si="160"/>
        <v>159.09777000000003</v>
      </c>
      <c r="Y644">
        <f t="shared" si="161"/>
        <v>37.589399999999991</v>
      </c>
      <c r="Z644">
        <f t="shared" si="162"/>
        <v>163.7919673605</v>
      </c>
      <c r="AA644">
        <f t="shared" si="163"/>
        <v>38.5074513</v>
      </c>
      <c r="AB644">
        <f t="shared" si="164"/>
        <v>85.772612299499997</v>
      </c>
      <c r="AC644">
        <f t="shared" si="165"/>
        <v>87.821969040000027</v>
      </c>
      <c r="AD644">
        <f>LOOKUP($A644,'Over to underbark'!$A$47:$A$48,'Over to underbark'!E$47:E$48)*Z644</f>
        <v>54.051349228965002</v>
      </c>
      <c r="AE644">
        <f>LOOKUP($A644,'Over to underbark'!$A$47:$A$48,'Over to underbark'!E$47:E$48)*AA644</f>
        <v>12.707458929000001</v>
      </c>
      <c r="AF644">
        <f>LOOKUP($A644,'Over to underbark'!$A$47:$A$48,'Over to underbark'!E$47:E$48)*AB644</f>
        <v>28.304962058834999</v>
      </c>
      <c r="AG644">
        <f>LOOKUP($A644,'Over to underbark'!$A$47:$A$48,'Over to underbark'!E$47:E$48)*AC644</f>
        <v>28.98124978320001</v>
      </c>
      <c r="AH644" t="b">
        <f t="shared" si="166"/>
        <v>1</v>
      </c>
      <c r="AI644" t="b">
        <f t="shared" si="167"/>
        <v>1</v>
      </c>
      <c r="AJ644">
        <f>LOOKUP(A644,'Over to underbark'!$A$47:$A$48,'Over to underbark'!E$47:E$48)*M644</f>
        <v>137.82780000000002</v>
      </c>
      <c r="AK644" s="22">
        <f>LOOKUP(A644,'Over to underbark'!$A$47:$A$48,'Over to underbark'!$B$47:$B$48)*AJ644</f>
        <v>44.104896000000011</v>
      </c>
      <c r="AL644" s="22">
        <f>LOOKUP(A644,'Over to underbark'!$A$47:$A$48,'Over to underbark'!C$47:C$48)*AJ644</f>
        <v>67.535622000000018</v>
      </c>
      <c r="AM644" s="22">
        <f t="shared" si="168"/>
        <v>181.93269600000002</v>
      </c>
      <c r="AN644" s="36">
        <v>881</v>
      </c>
      <c r="AO644" s="23">
        <f t="shared" si="169"/>
        <v>363.86539200000004</v>
      </c>
      <c r="AQ644">
        <f t="shared" ref="AQ644:AQ707" si="170">(AD644+AE644+AF644+AG644)/AM644</f>
        <v>0.68181818181818188</v>
      </c>
    </row>
    <row r="645" spans="1:43" x14ac:dyDescent="0.35">
      <c r="A645" t="s">
        <v>43</v>
      </c>
      <c r="B645">
        <v>12</v>
      </c>
      <c r="C645">
        <v>2</v>
      </c>
      <c r="D645" t="s">
        <v>42</v>
      </c>
      <c r="E645">
        <v>2</v>
      </c>
      <c r="F645">
        <v>1</v>
      </c>
      <c r="G645" s="30">
        <v>43</v>
      </c>
      <c r="H645" s="30">
        <v>18.382000000000001</v>
      </c>
      <c r="I645" s="30">
        <v>1613</v>
      </c>
      <c r="J645" s="30">
        <v>21.067</v>
      </c>
      <c r="K645" s="30">
        <v>56.226999999999997</v>
      </c>
      <c r="L645" s="30">
        <v>0.26900000000000002</v>
      </c>
      <c r="M645" s="30">
        <v>433.44</v>
      </c>
      <c r="N645" s="30">
        <v>4.1829999999999998</v>
      </c>
      <c r="O645" s="29">
        <v>10.08</v>
      </c>
      <c r="P645" s="31">
        <v>43</v>
      </c>
      <c r="Q645" s="31">
        <v>21.067</v>
      </c>
      <c r="R645" s="31">
        <v>221.49700000000001</v>
      </c>
      <c r="S645" s="31">
        <v>211.94300000000001</v>
      </c>
      <c r="T645" s="10" t="b">
        <f t="shared" si="157"/>
        <v>1</v>
      </c>
      <c r="U645" s="10" t="b">
        <f t="shared" si="158"/>
        <v>1</v>
      </c>
      <c r="V645" s="11">
        <f>VLOOKUP(IF(J645&lt;10, 10, IF(J645&gt;50,50,J645)),'Over to underbark'!$A$3:$C$43,IF(A645="Scots pine",3,IF(A645="Sitka spruce",2, "error")),TRUE)/100</f>
        <v>0.9</v>
      </c>
      <c r="W645">
        <f t="shared" si="159"/>
        <v>179.41257000000002</v>
      </c>
      <c r="X645">
        <f t="shared" si="160"/>
        <v>171.67383000000001</v>
      </c>
      <c r="Y645">
        <f t="shared" si="161"/>
        <v>39.009599999999999</v>
      </c>
      <c r="Z645">
        <f t="shared" si="162"/>
        <v>168.67160302950003</v>
      </c>
      <c r="AA645">
        <f t="shared" si="163"/>
        <v>39.240182700000005</v>
      </c>
      <c r="AB645">
        <f t="shared" si="164"/>
        <v>87.42026011050001</v>
      </c>
      <c r="AC645">
        <f t="shared" si="165"/>
        <v>94.763954160000011</v>
      </c>
      <c r="AD645">
        <f>LOOKUP($A645,'Over to underbark'!$A$47:$A$48,'Over to underbark'!E$47:E$48)*Z645</f>
        <v>55.661628999735015</v>
      </c>
      <c r="AE645">
        <f>LOOKUP($A645,'Over to underbark'!$A$47:$A$48,'Over to underbark'!E$47:E$48)*AA645</f>
        <v>12.949260291000002</v>
      </c>
      <c r="AF645">
        <f>LOOKUP($A645,'Over to underbark'!$A$47:$A$48,'Over to underbark'!E$47:E$48)*AB645</f>
        <v>28.848685836465005</v>
      </c>
      <c r="AG645">
        <f>LOOKUP($A645,'Over to underbark'!$A$47:$A$48,'Over to underbark'!E$47:E$48)*AC645</f>
        <v>31.272104872800004</v>
      </c>
      <c r="AH645" t="b">
        <f t="shared" si="166"/>
        <v>1</v>
      </c>
      <c r="AI645" t="b">
        <f t="shared" si="167"/>
        <v>1</v>
      </c>
      <c r="AJ645">
        <f>LOOKUP(A645,'Over to underbark'!$A$47:$A$48,'Over to underbark'!E$47:E$48)*M645</f>
        <v>143.0352</v>
      </c>
      <c r="AK645" s="22">
        <f>LOOKUP(A645,'Over to underbark'!$A$47:$A$48,'Over to underbark'!$B$47:$B$48)*AJ645</f>
        <v>45.771264000000002</v>
      </c>
      <c r="AL645" s="22">
        <f>LOOKUP(A645,'Over to underbark'!$A$47:$A$48,'Over to underbark'!C$47:C$48)*AJ645</f>
        <v>70.087248000000002</v>
      </c>
      <c r="AM645" s="22">
        <f t="shared" si="168"/>
        <v>188.80646400000001</v>
      </c>
      <c r="AN645" s="36">
        <v>882</v>
      </c>
      <c r="AO645" s="23">
        <f t="shared" si="169"/>
        <v>377.61292800000001</v>
      </c>
      <c r="AQ645">
        <f t="shared" si="170"/>
        <v>0.68181818181818199</v>
      </c>
    </row>
    <row r="646" spans="1:43" x14ac:dyDescent="0.35">
      <c r="A646" t="s">
        <v>43</v>
      </c>
      <c r="B646">
        <v>12</v>
      </c>
      <c r="C646">
        <v>2</v>
      </c>
      <c r="D646" t="s">
        <v>42</v>
      </c>
      <c r="E646">
        <v>2</v>
      </c>
      <c r="F646">
        <v>1</v>
      </c>
      <c r="G646" s="30">
        <v>44</v>
      </c>
      <c r="H646" s="30">
        <v>18.786000000000001</v>
      </c>
      <c r="I646" s="30">
        <v>1580</v>
      </c>
      <c r="J646" s="30">
        <v>21.428999999999998</v>
      </c>
      <c r="K646" s="30">
        <v>56.984999999999999</v>
      </c>
      <c r="L646" s="30">
        <v>0.28399999999999997</v>
      </c>
      <c r="M646" s="30">
        <v>449.22</v>
      </c>
      <c r="N646" s="30">
        <v>4.4580000000000002</v>
      </c>
      <c r="O646" s="29">
        <v>10.210000000000001</v>
      </c>
      <c r="P646" s="31">
        <v>44</v>
      </c>
      <c r="Q646" s="31">
        <v>21.428999999999998</v>
      </c>
      <c r="R646" s="31">
        <v>221.28100000000001</v>
      </c>
      <c r="S646" s="31">
        <v>227.93899999999999</v>
      </c>
      <c r="T646" s="10" t="b">
        <f t="shared" si="157"/>
        <v>1</v>
      </c>
      <c r="U646" s="10" t="b">
        <f t="shared" si="158"/>
        <v>1</v>
      </c>
      <c r="V646" s="11">
        <f>VLOOKUP(IF(J646&lt;10, 10, IF(J646&gt;50,50,J646)),'Over to underbark'!$A$3:$C$43,IF(A646="Scots pine",3,IF(A646="Sitka spruce",2, "error")),TRUE)/100</f>
        <v>0.9</v>
      </c>
      <c r="W646">
        <f t="shared" si="159"/>
        <v>179.23761000000002</v>
      </c>
      <c r="X646">
        <f t="shared" si="160"/>
        <v>184.63058999999998</v>
      </c>
      <c r="Y646">
        <f t="shared" si="161"/>
        <v>40.4298</v>
      </c>
      <c r="Z646">
        <f t="shared" si="162"/>
        <v>173.47534615350003</v>
      </c>
      <c r="AA646">
        <f t="shared" si="163"/>
        <v>39.931037099999998</v>
      </c>
      <c r="AB646">
        <f t="shared" si="164"/>
        <v>88.975531066499997</v>
      </c>
      <c r="AC646">
        <f t="shared" si="165"/>
        <v>101.91608567999999</v>
      </c>
      <c r="AD646">
        <f>LOOKUP($A646,'Over to underbark'!$A$47:$A$48,'Over to underbark'!E$47:E$48)*Z646</f>
        <v>57.246864230655014</v>
      </c>
      <c r="AE646">
        <f>LOOKUP($A646,'Over to underbark'!$A$47:$A$48,'Over to underbark'!E$47:E$48)*AA646</f>
        <v>13.177242243</v>
      </c>
      <c r="AF646">
        <f>LOOKUP($A646,'Over to underbark'!$A$47:$A$48,'Over to underbark'!E$47:E$48)*AB646</f>
        <v>29.361925251944999</v>
      </c>
      <c r="AG646">
        <f>LOOKUP($A646,'Over to underbark'!$A$47:$A$48,'Over to underbark'!E$47:E$48)*AC646</f>
        <v>33.632308274400003</v>
      </c>
      <c r="AH646" t="b">
        <f t="shared" si="166"/>
        <v>1</v>
      </c>
      <c r="AI646" t="b">
        <f t="shared" si="167"/>
        <v>1</v>
      </c>
      <c r="AJ646">
        <f>LOOKUP(A646,'Over to underbark'!$A$47:$A$48,'Over to underbark'!E$47:E$48)*M646</f>
        <v>148.24260000000001</v>
      </c>
      <c r="AK646" s="22">
        <f>LOOKUP(A646,'Over to underbark'!$A$47:$A$48,'Over to underbark'!$B$47:$B$48)*AJ646</f>
        <v>47.437632000000001</v>
      </c>
      <c r="AL646" s="22">
        <f>LOOKUP(A646,'Over to underbark'!$A$47:$A$48,'Over to underbark'!C$47:C$48)*AJ646</f>
        <v>72.638874000000001</v>
      </c>
      <c r="AM646" s="22">
        <f t="shared" si="168"/>
        <v>195.68023200000002</v>
      </c>
      <c r="AN646" s="36">
        <v>883</v>
      </c>
      <c r="AO646" s="23">
        <f t="shared" si="169"/>
        <v>391.36046400000004</v>
      </c>
      <c r="AQ646">
        <f t="shared" si="170"/>
        <v>0.68181818181818177</v>
      </c>
    </row>
    <row r="647" spans="1:43" x14ac:dyDescent="0.35">
      <c r="A647" t="s">
        <v>43</v>
      </c>
      <c r="B647">
        <v>12</v>
      </c>
      <c r="C647">
        <v>2</v>
      </c>
      <c r="D647" t="s">
        <v>42</v>
      </c>
      <c r="E647">
        <v>2</v>
      </c>
      <c r="F647">
        <v>1</v>
      </c>
      <c r="G647" s="30">
        <v>45</v>
      </c>
      <c r="H647" s="30">
        <v>19.190000000000001</v>
      </c>
      <c r="I647" s="30">
        <v>1547</v>
      </c>
      <c r="J647" s="30">
        <v>21.8</v>
      </c>
      <c r="K647" s="30">
        <v>57.741999999999997</v>
      </c>
      <c r="L647" s="30">
        <v>0.30099999999999999</v>
      </c>
      <c r="M647" s="30">
        <v>465</v>
      </c>
      <c r="N647" s="30">
        <v>4.7130000000000001</v>
      </c>
      <c r="O647" s="29">
        <v>10.333</v>
      </c>
      <c r="P647" s="31">
        <v>45</v>
      </c>
      <c r="Q647" s="31">
        <v>21.8</v>
      </c>
      <c r="R647" s="31">
        <v>220.48400000000001</v>
      </c>
      <c r="S647" s="31">
        <v>244.51599999999999</v>
      </c>
      <c r="T647" s="10" t="b">
        <f t="shared" si="157"/>
        <v>1</v>
      </c>
      <c r="U647" s="10" t="b">
        <f t="shared" si="158"/>
        <v>1</v>
      </c>
      <c r="V647" s="11">
        <f>VLOOKUP(IF(J647&lt;10, 10, IF(J647&gt;50,50,J647)),'Over to underbark'!$A$3:$C$43,IF(A647="Scots pine",3,IF(A647="Sitka spruce",2, "error")),TRUE)/100</f>
        <v>0.9</v>
      </c>
      <c r="W647">
        <f t="shared" si="159"/>
        <v>178.59204000000003</v>
      </c>
      <c r="X647">
        <f t="shared" si="160"/>
        <v>198.05796000000001</v>
      </c>
      <c r="Y647">
        <f t="shared" si="161"/>
        <v>41.849999999999987</v>
      </c>
      <c r="Z647">
        <f t="shared" si="162"/>
        <v>178.185273174</v>
      </c>
      <c r="AA647">
        <f t="shared" si="163"/>
        <v>40.570124399999997</v>
      </c>
      <c r="AB647">
        <f t="shared" si="164"/>
        <v>90.416608506000003</v>
      </c>
      <c r="AC647">
        <f t="shared" si="165"/>
        <v>109.32799392000001</v>
      </c>
      <c r="AD647">
        <f>LOOKUP($A647,'Over to underbark'!$A$47:$A$48,'Over to underbark'!E$47:E$48)*Z647</f>
        <v>58.801140147420007</v>
      </c>
      <c r="AE647">
        <f>LOOKUP($A647,'Over to underbark'!$A$47:$A$48,'Over to underbark'!E$47:E$48)*AA647</f>
        <v>13.388141052</v>
      </c>
      <c r="AF647">
        <f>LOOKUP($A647,'Over to underbark'!$A$47:$A$48,'Over to underbark'!E$47:E$48)*AB647</f>
        <v>29.837480806980004</v>
      </c>
      <c r="AG647">
        <f>LOOKUP($A647,'Over to underbark'!$A$47:$A$48,'Over to underbark'!E$47:E$48)*AC647</f>
        <v>36.078237993600005</v>
      </c>
      <c r="AH647" t="b">
        <f t="shared" si="166"/>
        <v>1</v>
      </c>
      <c r="AI647" t="b">
        <f t="shared" si="167"/>
        <v>1</v>
      </c>
      <c r="AJ647">
        <f>LOOKUP(A647,'Over to underbark'!$A$47:$A$48,'Over to underbark'!E$47:E$48)*M647</f>
        <v>153.45000000000002</v>
      </c>
      <c r="AK647" s="22">
        <f>LOOKUP(A647,'Over to underbark'!$A$47:$A$48,'Over to underbark'!$B$47:$B$48)*AJ647</f>
        <v>49.104000000000006</v>
      </c>
      <c r="AL647" s="22">
        <f>LOOKUP(A647,'Over to underbark'!$A$47:$A$48,'Over to underbark'!C$47:C$48)*AJ647</f>
        <v>75.1905</v>
      </c>
      <c r="AM647" s="22">
        <f t="shared" si="168"/>
        <v>202.55400000000003</v>
      </c>
      <c r="AN647" s="36">
        <v>884</v>
      </c>
      <c r="AO647" s="23">
        <f t="shared" si="169"/>
        <v>405.10800000000006</v>
      </c>
      <c r="AQ647">
        <f t="shared" si="170"/>
        <v>0.68181818181818177</v>
      </c>
    </row>
    <row r="648" spans="1:43" x14ac:dyDescent="0.35">
      <c r="A648" t="s">
        <v>43</v>
      </c>
      <c r="B648">
        <v>12</v>
      </c>
      <c r="C648">
        <v>2</v>
      </c>
      <c r="D648" t="s">
        <v>42</v>
      </c>
      <c r="E648">
        <v>2</v>
      </c>
      <c r="F648">
        <v>1</v>
      </c>
      <c r="G648" s="30">
        <v>46</v>
      </c>
      <c r="H648" s="30">
        <v>19.545999999999999</v>
      </c>
      <c r="I648" s="30">
        <v>1518</v>
      </c>
      <c r="J648" s="30">
        <v>22.117000000000001</v>
      </c>
      <c r="K648" s="30">
        <v>58.32</v>
      </c>
      <c r="L648" s="30">
        <v>0.315</v>
      </c>
      <c r="M648" s="30">
        <v>478.82</v>
      </c>
      <c r="N648" s="30">
        <v>5.056</v>
      </c>
      <c r="O648" s="29">
        <v>10.409000000000001</v>
      </c>
      <c r="P648" s="31">
        <v>46</v>
      </c>
      <c r="Q648" s="31">
        <v>22.117000000000001</v>
      </c>
      <c r="R648" s="31">
        <v>219.67500000000001</v>
      </c>
      <c r="S648" s="31">
        <v>259.14499999999998</v>
      </c>
      <c r="T648" s="10" t="b">
        <f t="shared" si="157"/>
        <v>1</v>
      </c>
      <c r="U648" s="10" t="b">
        <f t="shared" si="158"/>
        <v>1</v>
      </c>
      <c r="V648" s="11">
        <f>VLOOKUP(IF(J648&lt;10, 10, IF(J648&gt;50,50,J648)),'Over to underbark'!$A$3:$C$43,IF(A648="Scots pine",3,IF(A648="Sitka spruce",2, "error")),TRUE)/100</f>
        <v>0.9</v>
      </c>
      <c r="W648">
        <f t="shared" si="159"/>
        <v>177.93675000000002</v>
      </c>
      <c r="X648">
        <f t="shared" si="160"/>
        <v>209.90744999999998</v>
      </c>
      <c r="Y648">
        <f t="shared" si="161"/>
        <v>43.093799999999987</v>
      </c>
      <c r="Z648">
        <f t="shared" si="162"/>
        <v>182.29226771250001</v>
      </c>
      <c r="AA648">
        <f t="shared" si="163"/>
        <v>41.119942499999993</v>
      </c>
      <c r="AB648">
        <f t="shared" si="164"/>
        <v>91.656877387500003</v>
      </c>
      <c r="AC648">
        <f t="shared" si="165"/>
        <v>115.86891239999999</v>
      </c>
      <c r="AD648">
        <f>LOOKUP($A648,'Over to underbark'!$A$47:$A$48,'Over to underbark'!E$47:E$48)*Z648</f>
        <v>60.156448345125007</v>
      </c>
      <c r="AE648">
        <f>LOOKUP($A648,'Over to underbark'!$A$47:$A$48,'Over to underbark'!E$47:E$48)*AA648</f>
        <v>13.569581024999998</v>
      </c>
      <c r="AF648">
        <f>LOOKUP($A648,'Over to underbark'!$A$47:$A$48,'Over to underbark'!E$47:E$48)*AB648</f>
        <v>30.246769537875004</v>
      </c>
      <c r="AG648">
        <f>LOOKUP($A648,'Over to underbark'!$A$47:$A$48,'Over to underbark'!E$47:E$48)*AC648</f>
        <v>38.236741091999995</v>
      </c>
      <c r="AH648" t="b">
        <f t="shared" si="166"/>
        <v>1</v>
      </c>
      <c r="AI648" t="b">
        <f t="shared" si="167"/>
        <v>1</v>
      </c>
      <c r="AJ648">
        <f>LOOKUP(A648,'Over to underbark'!$A$47:$A$48,'Over to underbark'!E$47:E$48)*M648</f>
        <v>158.01060000000001</v>
      </c>
      <c r="AK648" s="22">
        <f>LOOKUP(A648,'Over to underbark'!$A$47:$A$48,'Over to underbark'!$B$47:$B$48)*AJ648</f>
        <v>50.563392000000007</v>
      </c>
      <c r="AL648" s="22">
        <f>LOOKUP(A648,'Over to underbark'!$A$47:$A$48,'Over to underbark'!C$47:C$48)*AJ648</f>
        <v>77.425194000000005</v>
      </c>
      <c r="AM648" s="22">
        <f t="shared" si="168"/>
        <v>208.57399200000003</v>
      </c>
      <c r="AN648" s="36">
        <v>885</v>
      </c>
      <c r="AO648" s="23">
        <f t="shared" si="169"/>
        <v>417.14798400000006</v>
      </c>
      <c r="AQ648">
        <f t="shared" si="170"/>
        <v>0.68181818181818177</v>
      </c>
    </row>
    <row r="649" spans="1:43" x14ac:dyDescent="0.35">
      <c r="A649" t="s">
        <v>43</v>
      </c>
      <c r="B649">
        <v>12</v>
      </c>
      <c r="C649">
        <v>2</v>
      </c>
      <c r="D649" t="s">
        <v>42</v>
      </c>
      <c r="E649">
        <v>2</v>
      </c>
      <c r="F649">
        <v>1</v>
      </c>
      <c r="G649" s="30">
        <v>47</v>
      </c>
      <c r="H649" s="30">
        <v>19.902000000000001</v>
      </c>
      <c r="I649" s="30">
        <v>1490</v>
      </c>
      <c r="J649" s="30">
        <v>22.434000000000001</v>
      </c>
      <c r="K649" s="30">
        <v>58.896999999999998</v>
      </c>
      <c r="L649" s="30">
        <v>0.33100000000000002</v>
      </c>
      <c r="M649" s="30">
        <v>492.64</v>
      </c>
      <c r="N649" s="30">
        <v>5.3780000000000001</v>
      </c>
      <c r="O649" s="29">
        <v>10.481999999999999</v>
      </c>
      <c r="P649" s="31">
        <v>47</v>
      </c>
      <c r="Q649" s="31">
        <v>22.434000000000001</v>
      </c>
      <c r="R649" s="31">
        <v>218.614</v>
      </c>
      <c r="S649" s="31">
        <v>274.02600000000001</v>
      </c>
      <c r="T649" s="10" t="b">
        <f t="shared" si="157"/>
        <v>1</v>
      </c>
      <c r="U649" s="10" t="b">
        <f t="shared" si="158"/>
        <v>1</v>
      </c>
      <c r="V649" s="11">
        <f>VLOOKUP(IF(J649&lt;10, 10, IF(J649&gt;50,50,J649)),'Over to underbark'!$A$3:$C$43,IF(A649="Scots pine",3,IF(A649="Sitka spruce",2, "error")),TRUE)/100</f>
        <v>0.9</v>
      </c>
      <c r="W649">
        <f t="shared" si="159"/>
        <v>177.07733999999999</v>
      </c>
      <c r="X649">
        <f t="shared" si="160"/>
        <v>221.96106</v>
      </c>
      <c r="Y649">
        <f t="shared" si="161"/>
        <v>44.337599999999988</v>
      </c>
      <c r="Z649">
        <f t="shared" si="162"/>
        <v>186.358570929</v>
      </c>
      <c r="AA649">
        <f t="shared" si="163"/>
        <v>41.647307399999988</v>
      </c>
      <c r="AB649">
        <f t="shared" si="164"/>
        <v>92.847616550999987</v>
      </c>
      <c r="AC649">
        <f t="shared" si="165"/>
        <v>122.52250512000001</v>
      </c>
      <c r="AD649">
        <f>LOOKUP($A649,'Over to underbark'!$A$47:$A$48,'Over to underbark'!E$47:E$48)*Z649</f>
        <v>61.498328406570003</v>
      </c>
      <c r="AE649">
        <f>LOOKUP($A649,'Over to underbark'!$A$47:$A$48,'Over to underbark'!E$47:E$48)*AA649</f>
        <v>13.743611441999997</v>
      </c>
      <c r="AF649">
        <f>LOOKUP($A649,'Over to underbark'!$A$47:$A$48,'Over to underbark'!E$47:E$48)*AB649</f>
        <v>30.639713461829999</v>
      </c>
      <c r="AG649">
        <f>LOOKUP($A649,'Over to underbark'!$A$47:$A$48,'Over to underbark'!E$47:E$48)*AC649</f>
        <v>40.432426689600007</v>
      </c>
      <c r="AH649" t="b">
        <f t="shared" si="166"/>
        <v>1</v>
      </c>
      <c r="AI649" t="b">
        <f t="shared" si="167"/>
        <v>1</v>
      </c>
      <c r="AJ649">
        <f>LOOKUP(A649,'Over to underbark'!$A$47:$A$48,'Over to underbark'!E$47:E$48)*M649</f>
        <v>162.5712</v>
      </c>
      <c r="AK649" s="22">
        <f>LOOKUP(A649,'Over to underbark'!$A$47:$A$48,'Over to underbark'!$B$47:$B$48)*AJ649</f>
        <v>52.022784000000001</v>
      </c>
      <c r="AL649" s="22">
        <f>LOOKUP(A649,'Over to underbark'!$A$47:$A$48,'Over to underbark'!C$47:C$48)*AJ649</f>
        <v>79.659887999999995</v>
      </c>
      <c r="AM649" s="22">
        <f t="shared" si="168"/>
        <v>214.59398400000001</v>
      </c>
      <c r="AN649" s="36">
        <v>886</v>
      </c>
      <c r="AO649" s="23">
        <f t="shared" si="169"/>
        <v>429.18796800000001</v>
      </c>
      <c r="AQ649">
        <f t="shared" si="170"/>
        <v>0.68181818181818177</v>
      </c>
    </row>
    <row r="650" spans="1:43" x14ac:dyDescent="0.35">
      <c r="A650" t="s">
        <v>43</v>
      </c>
      <c r="B650">
        <v>12</v>
      </c>
      <c r="C650">
        <v>2</v>
      </c>
      <c r="D650" t="s">
        <v>42</v>
      </c>
      <c r="E650">
        <v>2</v>
      </c>
      <c r="F650">
        <v>1</v>
      </c>
      <c r="G650" s="30">
        <v>48</v>
      </c>
      <c r="H650" s="30">
        <v>20.257999999999999</v>
      </c>
      <c r="I650" s="30">
        <v>1461</v>
      </c>
      <c r="J650" s="30">
        <v>22.765999999999998</v>
      </c>
      <c r="K650" s="30">
        <v>59.473999999999997</v>
      </c>
      <c r="L650" s="30">
        <v>0.34699999999999998</v>
      </c>
      <c r="M650" s="30">
        <v>506.46</v>
      </c>
      <c r="N650" s="30">
        <v>5.68</v>
      </c>
      <c r="O650" s="29">
        <v>10.551</v>
      </c>
      <c r="P650" s="31">
        <v>48</v>
      </c>
      <c r="Q650" s="31">
        <v>22.765999999999998</v>
      </c>
      <c r="R650" s="31">
        <v>216.96799999999999</v>
      </c>
      <c r="S650" s="31">
        <v>289.49200000000002</v>
      </c>
      <c r="T650" s="10" t="b">
        <f t="shared" si="157"/>
        <v>1</v>
      </c>
      <c r="U650" s="10" t="b">
        <f t="shared" si="158"/>
        <v>1</v>
      </c>
      <c r="V650" s="11">
        <f>VLOOKUP(IF(J650&lt;10, 10, IF(J650&gt;50,50,J650)),'Over to underbark'!$A$3:$C$43,IF(A650="Scots pine",3,IF(A650="Sitka spruce",2, "error")),TRUE)/100</f>
        <v>0.9</v>
      </c>
      <c r="W650">
        <f t="shared" si="159"/>
        <v>175.74408</v>
      </c>
      <c r="X650">
        <f t="shared" si="160"/>
        <v>234.48851999999999</v>
      </c>
      <c r="Y650">
        <f t="shared" si="161"/>
        <v>45.581399999999995</v>
      </c>
      <c r="Z650">
        <f t="shared" si="162"/>
        <v>190.33041214800002</v>
      </c>
      <c r="AA650">
        <f t="shared" si="163"/>
        <v>42.122548799999997</v>
      </c>
      <c r="AB650">
        <f t="shared" si="164"/>
        <v>93.923376012000006</v>
      </c>
      <c r="AC650">
        <f t="shared" si="165"/>
        <v>129.43766303999999</v>
      </c>
      <c r="AD650">
        <f>LOOKUP($A650,'Over to underbark'!$A$47:$A$48,'Over to underbark'!E$47:E$48)*Z650</f>
        <v>62.80903600884001</v>
      </c>
      <c r="AE650">
        <f>LOOKUP($A650,'Over to underbark'!$A$47:$A$48,'Over to underbark'!E$47:E$48)*AA650</f>
        <v>13.900441104</v>
      </c>
      <c r="AF650">
        <f>LOOKUP($A650,'Over to underbark'!$A$47:$A$48,'Over to underbark'!E$47:E$48)*AB650</f>
        <v>30.994714083960002</v>
      </c>
      <c r="AG650">
        <f>LOOKUP($A650,'Over to underbark'!$A$47:$A$48,'Over to underbark'!E$47:E$48)*AC650</f>
        <v>42.714428803200001</v>
      </c>
      <c r="AH650" t="b">
        <f t="shared" si="166"/>
        <v>1</v>
      </c>
      <c r="AI650" t="b">
        <f t="shared" si="167"/>
        <v>1</v>
      </c>
      <c r="AJ650">
        <f>LOOKUP(A650,'Over to underbark'!$A$47:$A$48,'Over to underbark'!E$47:E$48)*M650</f>
        <v>167.1318</v>
      </c>
      <c r="AK650" s="22">
        <f>LOOKUP(A650,'Over to underbark'!$A$47:$A$48,'Over to underbark'!$B$47:$B$48)*AJ650</f>
        <v>53.482176000000003</v>
      </c>
      <c r="AL650" s="22">
        <f>LOOKUP(A650,'Over to underbark'!$A$47:$A$48,'Over to underbark'!C$47:C$48)*AJ650</f>
        <v>81.894582</v>
      </c>
      <c r="AM650" s="22">
        <f t="shared" si="168"/>
        <v>220.61397600000001</v>
      </c>
      <c r="AN650" s="36">
        <v>887</v>
      </c>
      <c r="AO650" s="23">
        <f t="shared" si="169"/>
        <v>441.22795200000002</v>
      </c>
      <c r="AQ650">
        <f t="shared" si="170"/>
        <v>0.68181818181818177</v>
      </c>
    </row>
    <row r="651" spans="1:43" x14ac:dyDescent="0.35">
      <c r="A651" t="s">
        <v>43</v>
      </c>
      <c r="B651">
        <v>12</v>
      </c>
      <c r="C651">
        <v>2</v>
      </c>
      <c r="D651" t="s">
        <v>42</v>
      </c>
      <c r="E651">
        <v>2</v>
      </c>
      <c r="F651">
        <v>1</v>
      </c>
      <c r="G651" s="30">
        <v>49</v>
      </c>
      <c r="H651" s="30">
        <v>20.614000000000001</v>
      </c>
      <c r="I651" s="30">
        <v>1433</v>
      </c>
      <c r="J651" s="30">
        <v>23.099</v>
      </c>
      <c r="K651" s="30">
        <v>60.052</v>
      </c>
      <c r="L651" s="30">
        <v>0.36299999999999999</v>
      </c>
      <c r="M651" s="30">
        <v>520.28</v>
      </c>
      <c r="N651" s="30">
        <v>5.9640000000000004</v>
      </c>
      <c r="O651" s="29">
        <v>10.618</v>
      </c>
      <c r="P651" s="31">
        <v>49</v>
      </c>
      <c r="Q651" s="31">
        <v>23.099</v>
      </c>
      <c r="R651" s="31">
        <v>215.078</v>
      </c>
      <c r="S651" s="31">
        <v>305.202</v>
      </c>
      <c r="T651" s="10" t="b">
        <f t="shared" si="157"/>
        <v>1</v>
      </c>
      <c r="U651" s="10" t="b">
        <f t="shared" si="158"/>
        <v>1</v>
      </c>
      <c r="V651" s="11">
        <f>VLOOKUP(IF(J651&lt;10, 10, IF(J651&gt;50,50,J651)),'Over to underbark'!$A$3:$C$43,IF(A651="Scots pine",3,IF(A651="Sitka spruce",2, "error")),TRUE)/100</f>
        <v>0.9</v>
      </c>
      <c r="W651">
        <f t="shared" si="159"/>
        <v>174.21317999999999</v>
      </c>
      <c r="X651">
        <f t="shared" si="160"/>
        <v>247.21362000000002</v>
      </c>
      <c r="Y651">
        <f t="shared" si="161"/>
        <v>46.825199999999988</v>
      </c>
      <c r="Z651">
        <f t="shared" si="162"/>
        <v>194.26285383300001</v>
      </c>
      <c r="AA651">
        <f t="shared" si="163"/>
        <v>42.576049799999993</v>
      </c>
      <c r="AB651">
        <f t="shared" si="164"/>
        <v>94.951178126999991</v>
      </c>
      <c r="AC651">
        <f t="shared" si="165"/>
        <v>136.46191823999999</v>
      </c>
      <c r="AD651">
        <f>LOOKUP($A651,'Over to underbark'!$A$47:$A$48,'Over to underbark'!E$47:E$48)*Z651</f>
        <v>64.106741764890003</v>
      </c>
      <c r="AE651">
        <f>LOOKUP($A651,'Over to underbark'!$A$47:$A$48,'Over to underbark'!E$47:E$48)*AA651</f>
        <v>14.050096433999999</v>
      </c>
      <c r="AF651">
        <f>LOOKUP($A651,'Over to underbark'!$A$47:$A$48,'Over to underbark'!E$47:E$48)*AB651</f>
        <v>31.333888781909998</v>
      </c>
      <c r="AG651">
        <f>LOOKUP($A651,'Over to underbark'!$A$47:$A$48,'Over to underbark'!E$47:E$48)*AC651</f>
        <v>45.032433019199999</v>
      </c>
      <c r="AH651" t="b">
        <f t="shared" si="166"/>
        <v>1</v>
      </c>
      <c r="AI651" t="b">
        <f t="shared" si="167"/>
        <v>1</v>
      </c>
      <c r="AJ651">
        <f>LOOKUP(A651,'Over to underbark'!$A$47:$A$48,'Over to underbark'!E$47:E$48)*M651</f>
        <v>171.69239999999999</v>
      </c>
      <c r="AK651" s="22">
        <f>LOOKUP(A651,'Over to underbark'!$A$47:$A$48,'Over to underbark'!$B$47:$B$48)*AJ651</f>
        <v>54.941567999999997</v>
      </c>
      <c r="AL651" s="22">
        <f>LOOKUP(A651,'Over to underbark'!$A$47:$A$48,'Over to underbark'!C$47:C$48)*AJ651</f>
        <v>84.12927599999999</v>
      </c>
      <c r="AM651" s="22">
        <f t="shared" si="168"/>
        <v>226.63396799999998</v>
      </c>
      <c r="AN651" s="36">
        <v>888</v>
      </c>
      <c r="AO651" s="23">
        <f t="shared" si="169"/>
        <v>453.26793599999996</v>
      </c>
      <c r="AQ651">
        <f t="shared" si="170"/>
        <v>0.68181818181818188</v>
      </c>
    </row>
    <row r="652" spans="1:43" x14ac:dyDescent="0.35">
      <c r="A652" t="s">
        <v>43</v>
      </c>
      <c r="B652">
        <v>12</v>
      </c>
      <c r="C652">
        <v>2</v>
      </c>
      <c r="D652" t="s">
        <v>42</v>
      </c>
      <c r="E652">
        <v>2</v>
      </c>
      <c r="F652">
        <v>1</v>
      </c>
      <c r="G652" s="30">
        <v>50</v>
      </c>
      <c r="H652" s="30">
        <v>20.97</v>
      </c>
      <c r="I652" s="30">
        <v>1405</v>
      </c>
      <c r="J652" s="30">
        <v>23.44</v>
      </c>
      <c r="K652" s="30">
        <v>60.628999999999998</v>
      </c>
      <c r="L652" s="30">
        <v>0.38</v>
      </c>
      <c r="M652" s="30">
        <v>534.1</v>
      </c>
      <c r="N652" s="30">
        <v>6.2320000000000002</v>
      </c>
      <c r="O652" s="29">
        <v>10.682</v>
      </c>
      <c r="P652" s="31">
        <v>50</v>
      </c>
      <c r="Q652" s="31">
        <v>23.44</v>
      </c>
      <c r="R652" s="31">
        <v>212.797</v>
      </c>
      <c r="S652" s="31">
        <v>321.303</v>
      </c>
      <c r="T652" s="10" t="b">
        <f t="shared" si="157"/>
        <v>1</v>
      </c>
      <c r="U652" s="10" t="b">
        <f t="shared" si="158"/>
        <v>1</v>
      </c>
      <c r="V652" s="11">
        <f>VLOOKUP(IF(J652&lt;10, 10, IF(J652&gt;50,50,J652)),'Over to underbark'!$A$3:$C$43,IF(A652="Scots pine",3,IF(A652="Sitka spruce",2, "error")),TRUE)/100</f>
        <v>0.9</v>
      </c>
      <c r="W652">
        <f t="shared" si="159"/>
        <v>172.36557000000002</v>
      </c>
      <c r="X652">
        <f t="shared" si="160"/>
        <v>260.25543000000005</v>
      </c>
      <c r="Y652">
        <f t="shared" si="161"/>
        <v>48.068999999999996</v>
      </c>
      <c r="Z652">
        <f t="shared" si="162"/>
        <v>198.13215937950005</v>
      </c>
      <c r="AA652">
        <f t="shared" si="163"/>
        <v>42.994712700000001</v>
      </c>
      <c r="AB652">
        <f t="shared" si="164"/>
        <v>95.902130560500012</v>
      </c>
      <c r="AC652">
        <f t="shared" si="165"/>
        <v>143.66099736000004</v>
      </c>
      <c r="AD652">
        <f>LOOKUP($A652,'Over to underbark'!$A$47:$A$48,'Over to underbark'!E$47:E$48)*Z652</f>
        <v>65.383612595235022</v>
      </c>
      <c r="AE652">
        <f>LOOKUP($A652,'Over to underbark'!$A$47:$A$48,'Over to underbark'!E$47:E$48)*AA652</f>
        <v>14.188255191000001</v>
      </c>
      <c r="AF652">
        <f>LOOKUP($A652,'Over to underbark'!$A$47:$A$48,'Over to underbark'!E$47:E$48)*AB652</f>
        <v>31.647703084965006</v>
      </c>
      <c r="AG652">
        <f>LOOKUP($A652,'Over to underbark'!$A$47:$A$48,'Over to underbark'!E$47:E$48)*AC652</f>
        <v>47.408129128800013</v>
      </c>
      <c r="AH652" t="b">
        <f t="shared" si="166"/>
        <v>1</v>
      </c>
      <c r="AI652" t="b">
        <f t="shared" si="167"/>
        <v>1</v>
      </c>
      <c r="AJ652">
        <f>LOOKUP(A652,'Over to underbark'!$A$47:$A$48,'Over to underbark'!E$47:E$48)*M652</f>
        <v>176.25300000000001</v>
      </c>
      <c r="AK652" s="22">
        <f>LOOKUP(A652,'Over to underbark'!$A$47:$A$48,'Over to underbark'!$B$47:$B$48)*AJ652</f>
        <v>56.400960000000005</v>
      </c>
      <c r="AL652" s="22">
        <f>LOOKUP(A652,'Over to underbark'!$A$47:$A$48,'Over to underbark'!C$47:C$48)*AJ652</f>
        <v>86.363970000000009</v>
      </c>
      <c r="AM652" s="22">
        <f t="shared" si="168"/>
        <v>232.65396000000001</v>
      </c>
      <c r="AN652" s="36">
        <v>889</v>
      </c>
      <c r="AO652" s="23">
        <f t="shared" si="169"/>
        <v>465.30792000000002</v>
      </c>
      <c r="AQ652">
        <f t="shared" si="170"/>
        <v>0.68181818181818188</v>
      </c>
    </row>
    <row r="653" spans="1:43" x14ac:dyDescent="0.35">
      <c r="A653" t="s">
        <v>43</v>
      </c>
      <c r="B653">
        <v>12</v>
      </c>
      <c r="C653">
        <v>2</v>
      </c>
      <c r="D653" t="s">
        <v>42</v>
      </c>
      <c r="E653">
        <v>2</v>
      </c>
      <c r="F653">
        <v>1</v>
      </c>
      <c r="G653" s="30">
        <v>51</v>
      </c>
      <c r="H653" s="30">
        <v>21.274000000000001</v>
      </c>
      <c r="I653" s="30">
        <v>1382</v>
      </c>
      <c r="J653" s="30">
        <v>23.722999999999999</v>
      </c>
      <c r="K653" s="30">
        <v>61.085999999999999</v>
      </c>
      <c r="L653" s="30">
        <v>0.39500000000000002</v>
      </c>
      <c r="M653" s="30">
        <v>545.84</v>
      </c>
      <c r="N653" s="30">
        <v>6.5369999999999999</v>
      </c>
      <c r="O653" s="29">
        <v>10.702999999999999</v>
      </c>
      <c r="P653" s="31">
        <v>51</v>
      </c>
      <c r="Q653" s="31">
        <v>23.722999999999999</v>
      </c>
      <c r="R653" s="31">
        <v>210.86600000000001</v>
      </c>
      <c r="S653" s="31">
        <v>334.97399999999999</v>
      </c>
      <c r="T653" s="10" t="b">
        <f t="shared" si="157"/>
        <v>1</v>
      </c>
      <c r="U653" s="10" t="b">
        <f t="shared" si="158"/>
        <v>1</v>
      </c>
      <c r="V653" s="11">
        <f>VLOOKUP(IF(J653&lt;10, 10, IF(J653&gt;50,50,J653)),'Over to underbark'!$A$3:$C$43,IF(A653="Scots pine",3,IF(A653="Sitka spruce",2, "error")),TRUE)/100</f>
        <v>0.9</v>
      </c>
      <c r="W653">
        <f t="shared" si="159"/>
        <v>170.80146000000002</v>
      </c>
      <c r="X653">
        <f t="shared" si="160"/>
        <v>271.32894000000005</v>
      </c>
      <c r="Y653">
        <f t="shared" si="161"/>
        <v>49.125599999999991</v>
      </c>
      <c r="Z653">
        <f t="shared" si="162"/>
        <v>201.42019025100004</v>
      </c>
      <c r="AA653">
        <f t="shared" si="163"/>
        <v>43.350960599999993</v>
      </c>
      <c r="AB653">
        <f t="shared" si="164"/>
        <v>96.711274269</v>
      </c>
      <c r="AC653">
        <f t="shared" si="165"/>
        <v>149.77357488000001</v>
      </c>
      <c r="AD653">
        <f>LOOKUP($A653,'Over to underbark'!$A$47:$A$48,'Over to underbark'!E$47:E$48)*Z653</f>
        <v>66.468662782830009</v>
      </c>
      <c r="AE653">
        <f>LOOKUP($A653,'Over to underbark'!$A$47:$A$48,'Over to underbark'!E$47:E$48)*AA653</f>
        <v>14.305816997999999</v>
      </c>
      <c r="AF653">
        <f>LOOKUP($A653,'Over to underbark'!$A$47:$A$48,'Over to underbark'!E$47:E$48)*AB653</f>
        <v>31.914720508770003</v>
      </c>
      <c r="AG653">
        <f>LOOKUP($A653,'Over to underbark'!$A$47:$A$48,'Over to underbark'!E$47:E$48)*AC653</f>
        <v>49.425279710400005</v>
      </c>
      <c r="AH653" t="b">
        <f t="shared" si="166"/>
        <v>1</v>
      </c>
      <c r="AI653" t="b">
        <f t="shared" si="167"/>
        <v>1</v>
      </c>
      <c r="AJ653">
        <f>LOOKUP(A653,'Over to underbark'!$A$47:$A$48,'Over to underbark'!E$47:E$48)*M653</f>
        <v>180.12720000000002</v>
      </c>
      <c r="AK653" s="22">
        <f>LOOKUP(A653,'Over to underbark'!$A$47:$A$48,'Over to underbark'!$B$47:$B$48)*AJ653</f>
        <v>57.640704000000007</v>
      </c>
      <c r="AL653" s="22">
        <f>LOOKUP(A653,'Over to underbark'!$A$47:$A$48,'Over to underbark'!C$47:C$48)*AJ653</f>
        <v>88.262328000000011</v>
      </c>
      <c r="AM653" s="22">
        <f t="shared" si="168"/>
        <v>237.76790400000002</v>
      </c>
      <c r="AN653" s="36">
        <v>890</v>
      </c>
      <c r="AO653" s="23">
        <f t="shared" si="169"/>
        <v>475.53580800000003</v>
      </c>
      <c r="AQ653">
        <f t="shared" si="170"/>
        <v>0.68181818181818188</v>
      </c>
    </row>
    <row r="654" spans="1:43" x14ac:dyDescent="0.35">
      <c r="A654" t="s">
        <v>43</v>
      </c>
      <c r="B654">
        <v>12</v>
      </c>
      <c r="C654">
        <v>2</v>
      </c>
      <c r="D654" t="s">
        <v>42</v>
      </c>
      <c r="E654">
        <v>2</v>
      </c>
      <c r="F654">
        <v>1</v>
      </c>
      <c r="G654" s="30">
        <v>52</v>
      </c>
      <c r="H654" s="30">
        <v>21.577999999999999</v>
      </c>
      <c r="I654" s="30">
        <v>1360</v>
      </c>
      <c r="J654" s="30">
        <v>24.003</v>
      </c>
      <c r="K654" s="30">
        <v>61.542999999999999</v>
      </c>
      <c r="L654" s="30">
        <v>0.41</v>
      </c>
      <c r="M654" s="30">
        <v>557.58000000000004</v>
      </c>
      <c r="N654" s="30">
        <v>6.8280000000000003</v>
      </c>
      <c r="O654" s="29">
        <v>10.723000000000001</v>
      </c>
      <c r="P654" s="31">
        <v>52</v>
      </c>
      <c r="Q654" s="31">
        <v>24.003</v>
      </c>
      <c r="R654" s="31">
        <v>208.87799999999999</v>
      </c>
      <c r="S654" s="31">
        <v>348.702</v>
      </c>
      <c r="T654" s="10" t="b">
        <f t="shared" si="157"/>
        <v>1</v>
      </c>
      <c r="U654" s="10" t="b">
        <f t="shared" si="158"/>
        <v>1</v>
      </c>
      <c r="V654" s="11">
        <f>VLOOKUP(IF(J654&lt;10, 10, IF(J654&gt;50,50,J654)),'Over to underbark'!$A$3:$C$43,IF(A654="Scots pine",3,IF(A654="Sitka spruce",2, "error")),TRUE)/100</f>
        <v>0.9</v>
      </c>
      <c r="W654">
        <f t="shared" si="159"/>
        <v>169.19118</v>
      </c>
      <c r="X654">
        <f t="shared" si="160"/>
        <v>282.44862000000001</v>
      </c>
      <c r="Y654">
        <f t="shared" si="161"/>
        <v>50.18219999999998</v>
      </c>
      <c r="Z654">
        <f t="shared" si="162"/>
        <v>204.69901713299998</v>
      </c>
      <c r="AA654">
        <f t="shared" si="163"/>
        <v>43.702129799999994</v>
      </c>
      <c r="AB654">
        <f t="shared" si="164"/>
        <v>97.509214827000008</v>
      </c>
      <c r="AC654">
        <f t="shared" si="165"/>
        <v>155.91163824</v>
      </c>
      <c r="AD654">
        <f>LOOKUP($A654,'Over to underbark'!$A$47:$A$48,'Over to underbark'!E$47:E$48)*Z654</f>
        <v>67.550675653889996</v>
      </c>
      <c r="AE654">
        <f>LOOKUP($A654,'Over to underbark'!$A$47:$A$48,'Over to underbark'!E$47:E$48)*AA654</f>
        <v>14.421702834</v>
      </c>
      <c r="AF654">
        <f>LOOKUP($A654,'Over to underbark'!$A$47:$A$48,'Over to underbark'!E$47:E$48)*AB654</f>
        <v>32.178040892910005</v>
      </c>
      <c r="AG654">
        <f>LOOKUP($A654,'Over to underbark'!$A$47:$A$48,'Over to underbark'!E$47:E$48)*AC654</f>
        <v>51.450840619200001</v>
      </c>
      <c r="AH654" t="b">
        <f t="shared" si="166"/>
        <v>1</v>
      </c>
      <c r="AI654" t="b">
        <f t="shared" si="167"/>
        <v>1</v>
      </c>
      <c r="AJ654">
        <f>LOOKUP(A654,'Over to underbark'!$A$47:$A$48,'Over to underbark'!E$47:E$48)*M654</f>
        <v>184.00140000000002</v>
      </c>
      <c r="AK654" s="22">
        <f>LOOKUP(A654,'Over to underbark'!$A$47:$A$48,'Over to underbark'!$B$47:$B$48)*AJ654</f>
        <v>58.880448000000008</v>
      </c>
      <c r="AL654" s="22">
        <f>LOOKUP(A654,'Over to underbark'!$A$47:$A$48,'Over to underbark'!C$47:C$48)*AJ654</f>
        <v>90.160686000000013</v>
      </c>
      <c r="AM654" s="22">
        <f t="shared" si="168"/>
        <v>242.88184800000002</v>
      </c>
      <c r="AN654" s="36">
        <v>891</v>
      </c>
      <c r="AO654" s="23">
        <f t="shared" si="169"/>
        <v>485.76369600000004</v>
      </c>
      <c r="AQ654">
        <f t="shared" si="170"/>
        <v>0.68181818181818177</v>
      </c>
    </row>
    <row r="655" spans="1:43" x14ac:dyDescent="0.35">
      <c r="A655" t="s">
        <v>43</v>
      </c>
      <c r="B655">
        <v>12</v>
      </c>
      <c r="C655">
        <v>2</v>
      </c>
      <c r="D655" t="s">
        <v>42</v>
      </c>
      <c r="E655">
        <v>2</v>
      </c>
      <c r="F655">
        <v>1</v>
      </c>
      <c r="G655" s="30">
        <v>53</v>
      </c>
      <c r="H655" s="30">
        <v>21.882000000000001</v>
      </c>
      <c r="I655" s="30">
        <v>1337</v>
      </c>
      <c r="J655" s="30">
        <v>24.298999999999999</v>
      </c>
      <c r="K655" s="30">
        <v>61.999000000000002</v>
      </c>
      <c r="L655" s="30">
        <v>0.42599999999999999</v>
      </c>
      <c r="M655" s="30">
        <v>569.32000000000005</v>
      </c>
      <c r="N655" s="30">
        <v>7.1040000000000001</v>
      </c>
      <c r="O655" s="29">
        <v>10.742000000000001</v>
      </c>
      <c r="P655" s="31">
        <v>53</v>
      </c>
      <c r="Q655" s="31">
        <v>24.298999999999999</v>
      </c>
      <c r="R655" s="31">
        <v>206.40700000000001</v>
      </c>
      <c r="S655" s="31">
        <v>362.91300000000001</v>
      </c>
      <c r="T655" s="10" t="b">
        <f t="shared" si="157"/>
        <v>1</v>
      </c>
      <c r="U655" s="10" t="b">
        <f t="shared" si="158"/>
        <v>1</v>
      </c>
      <c r="V655" s="11">
        <f>VLOOKUP(IF(J655&lt;10, 10, IF(J655&gt;50,50,J655)),'Over to underbark'!$A$3:$C$43,IF(A655="Scots pine",3,IF(A655="Sitka spruce",2, "error")),TRUE)/100</f>
        <v>0.9</v>
      </c>
      <c r="W655">
        <f t="shared" si="159"/>
        <v>167.18967000000001</v>
      </c>
      <c r="X655">
        <f t="shared" si="160"/>
        <v>293.95953000000003</v>
      </c>
      <c r="Y655">
        <f t="shared" si="161"/>
        <v>51.238799999999991</v>
      </c>
      <c r="Z655">
        <f t="shared" si="162"/>
        <v>207.89985231450001</v>
      </c>
      <c r="AA655">
        <f t="shared" si="163"/>
        <v>44.010263699999996</v>
      </c>
      <c r="AB655">
        <f t="shared" si="164"/>
        <v>98.212223425499985</v>
      </c>
      <c r="AC655">
        <f t="shared" si="165"/>
        <v>162.26566056000001</v>
      </c>
      <c r="AD655">
        <f>LOOKUP($A655,'Over to underbark'!$A$47:$A$48,'Over to underbark'!E$47:E$48)*Z655</f>
        <v>68.606951263785007</v>
      </c>
      <c r="AE655">
        <f>LOOKUP($A655,'Over to underbark'!$A$47:$A$48,'Over to underbark'!E$47:E$48)*AA655</f>
        <v>14.523387021</v>
      </c>
      <c r="AF655">
        <f>LOOKUP($A655,'Over to underbark'!$A$47:$A$48,'Over to underbark'!E$47:E$48)*AB655</f>
        <v>32.410033730414995</v>
      </c>
      <c r="AG655">
        <f>LOOKUP($A655,'Over to underbark'!$A$47:$A$48,'Over to underbark'!E$47:E$48)*AC655</f>
        <v>53.547667984800007</v>
      </c>
      <c r="AH655" t="b">
        <f t="shared" si="166"/>
        <v>1</v>
      </c>
      <c r="AI655" t="b">
        <f t="shared" si="167"/>
        <v>1</v>
      </c>
      <c r="AJ655">
        <f>LOOKUP(A655,'Over to underbark'!$A$47:$A$48,'Over to underbark'!E$47:E$48)*M655</f>
        <v>187.87560000000002</v>
      </c>
      <c r="AK655" s="22">
        <f>LOOKUP(A655,'Over to underbark'!$A$47:$A$48,'Over to underbark'!$B$47:$B$48)*AJ655</f>
        <v>60.12019200000001</v>
      </c>
      <c r="AL655" s="22">
        <f>LOOKUP(A655,'Over to underbark'!$A$47:$A$48,'Over to underbark'!C$47:C$48)*AJ655</f>
        <v>92.059044000000014</v>
      </c>
      <c r="AM655" s="22">
        <f t="shared" si="168"/>
        <v>247.99579200000002</v>
      </c>
      <c r="AN655" s="36">
        <v>892</v>
      </c>
      <c r="AO655" s="23">
        <f t="shared" si="169"/>
        <v>495.99158400000005</v>
      </c>
      <c r="AQ655">
        <f t="shared" si="170"/>
        <v>0.68181818181818177</v>
      </c>
    </row>
    <row r="656" spans="1:43" x14ac:dyDescent="0.35">
      <c r="A656" t="s">
        <v>43</v>
      </c>
      <c r="B656">
        <v>12</v>
      </c>
      <c r="C656">
        <v>2</v>
      </c>
      <c r="D656" t="s">
        <v>42</v>
      </c>
      <c r="E656">
        <v>2</v>
      </c>
      <c r="F656">
        <v>1</v>
      </c>
      <c r="G656" s="30">
        <v>54</v>
      </c>
      <c r="H656" s="30">
        <v>22.186</v>
      </c>
      <c r="I656" s="30">
        <v>1315</v>
      </c>
      <c r="J656" s="30">
        <v>24.591000000000001</v>
      </c>
      <c r="K656" s="30">
        <v>62.456000000000003</v>
      </c>
      <c r="L656" s="30">
        <v>0.442</v>
      </c>
      <c r="M656" s="30">
        <v>581.05999999999995</v>
      </c>
      <c r="N656" s="30">
        <v>7.3680000000000003</v>
      </c>
      <c r="O656" s="29">
        <v>10.76</v>
      </c>
      <c r="P656" s="31">
        <v>54</v>
      </c>
      <c r="Q656" s="31">
        <v>24.591000000000001</v>
      </c>
      <c r="R656" s="31">
        <v>203.922</v>
      </c>
      <c r="S656" s="31">
        <v>377.13799999999998</v>
      </c>
      <c r="T656" s="10" t="b">
        <f t="shared" si="157"/>
        <v>1</v>
      </c>
      <c r="U656" s="10" t="b">
        <f t="shared" si="158"/>
        <v>1</v>
      </c>
      <c r="V656" s="11">
        <f>VLOOKUP(IF(J656&lt;10, 10, IF(J656&gt;50,50,J656)),'Over to underbark'!$A$3:$C$43,IF(A656="Scots pine",3,IF(A656="Sitka spruce",2, "error")),TRUE)/100</f>
        <v>0.9</v>
      </c>
      <c r="W656">
        <f t="shared" si="159"/>
        <v>165.17681999999999</v>
      </c>
      <c r="X656">
        <f t="shared" si="160"/>
        <v>305.48178000000001</v>
      </c>
      <c r="Y656">
        <f t="shared" si="161"/>
        <v>52.295399999999987</v>
      </c>
      <c r="Z656">
        <f t="shared" si="162"/>
        <v>211.098426867</v>
      </c>
      <c r="AA656">
        <f t="shared" si="163"/>
        <v>44.317150199999993</v>
      </c>
      <c r="AB656">
        <f t="shared" si="164"/>
        <v>98.912480372999994</v>
      </c>
      <c r="AC656">
        <f t="shared" si="165"/>
        <v>168.62594256000003</v>
      </c>
      <c r="AD656">
        <f>LOOKUP($A656,'Over to underbark'!$A$47:$A$48,'Over to underbark'!E$47:E$48)*Z656</f>
        <v>69.662480866110002</v>
      </c>
      <c r="AE656">
        <f>LOOKUP($A656,'Over to underbark'!$A$47:$A$48,'Over to underbark'!E$47:E$48)*AA656</f>
        <v>14.624659565999998</v>
      </c>
      <c r="AF656">
        <f>LOOKUP($A656,'Over to underbark'!$A$47:$A$48,'Over to underbark'!E$47:E$48)*AB656</f>
        <v>32.64111852309</v>
      </c>
      <c r="AG656">
        <f>LOOKUP($A656,'Over to underbark'!$A$47:$A$48,'Over to underbark'!E$47:E$48)*AC656</f>
        <v>55.646561044800009</v>
      </c>
      <c r="AH656" t="b">
        <f t="shared" si="166"/>
        <v>1</v>
      </c>
      <c r="AI656" t="b">
        <f t="shared" si="167"/>
        <v>1</v>
      </c>
      <c r="AJ656">
        <f>LOOKUP(A656,'Over to underbark'!$A$47:$A$48,'Over to underbark'!E$47:E$48)*M656</f>
        <v>191.74979999999999</v>
      </c>
      <c r="AK656" s="22">
        <f>LOOKUP(A656,'Over to underbark'!$A$47:$A$48,'Over to underbark'!$B$47:$B$48)*AJ656</f>
        <v>61.359935999999998</v>
      </c>
      <c r="AL656" s="22">
        <f>LOOKUP(A656,'Over to underbark'!$A$47:$A$48,'Over to underbark'!C$47:C$48)*AJ656</f>
        <v>93.957402000000002</v>
      </c>
      <c r="AM656" s="22">
        <f t="shared" si="168"/>
        <v>253.109736</v>
      </c>
      <c r="AN656" s="36">
        <v>893</v>
      </c>
      <c r="AO656" s="23">
        <f t="shared" si="169"/>
        <v>506.219472</v>
      </c>
      <c r="AQ656">
        <f t="shared" si="170"/>
        <v>0.68181818181818177</v>
      </c>
    </row>
    <row r="657" spans="1:43" x14ac:dyDescent="0.35">
      <c r="A657" t="s">
        <v>43</v>
      </c>
      <c r="B657">
        <v>12</v>
      </c>
      <c r="C657">
        <v>2</v>
      </c>
      <c r="D657" t="s">
        <v>42</v>
      </c>
      <c r="E657">
        <v>2</v>
      </c>
      <c r="F657">
        <v>1</v>
      </c>
      <c r="G657" s="30">
        <v>55</v>
      </c>
      <c r="H657" s="30">
        <v>22.49</v>
      </c>
      <c r="I657" s="30">
        <v>1293</v>
      </c>
      <c r="J657" s="30">
        <v>24.89</v>
      </c>
      <c r="K657" s="30">
        <v>62.912999999999997</v>
      </c>
      <c r="L657" s="30">
        <v>0.45800000000000002</v>
      </c>
      <c r="M657" s="30">
        <v>592.79999999999995</v>
      </c>
      <c r="N657" s="30">
        <v>7.62</v>
      </c>
      <c r="O657" s="29">
        <v>10.778</v>
      </c>
      <c r="P657" s="31">
        <v>55</v>
      </c>
      <c r="Q657" s="31">
        <v>24.89</v>
      </c>
      <c r="R657" s="31">
        <v>201.18299999999999</v>
      </c>
      <c r="S657" s="31">
        <v>391.61700000000002</v>
      </c>
      <c r="T657" s="10" t="b">
        <f t="shared" si="157"/>
        <v>1</v>
      </c>
      <c r="U657" s="10" t="b">
        <f t="shared" si="158"/>
        <v>1</v>
      </c>
      <c r="V657" s="11">
        <f>VLOOKUP(IF(J657&lt;10, 10, IF(J657&gt;50,50,J657)),'Over to underbark'!$A$3:$C$43,IF(A657="Scots pine",3,IF(A657="Sitka spruce",2, "error")),TRUE)/100</f>
        <v>0.9</v>
      </c>
      <c r="W657">
        <f t="shared" si="159"/>
        <v>162.95822999999999</v>
      </c>
      <c r="X657">
        <f t="shared" si="160"/>
        <v>317.20977000000005</v>
      </c>
      <c r="Y657">
        <f t="shared" si="161"/>
        <v>53.35199999999999</v>
      </c>
      <c r="Z657">
        <f t="shared" si="162"/>
        <v>214.25598715049998</v>
      </c>
      <c r="AA657">
        <f t="shared" si="163"/>
        <v>44.601405299999996</v>
      </c>
      <c r="AB657">
        <f t="shared" si="164"/>
        <v>99.562814509500001</v>
      </c>
      <c r="AC657">
        <f t="shared" si="165"/>
        <v>175.09979304000004</v>
      </c>
      <c r="AD657">
        <f>LOOKUP($A657,'Over to underbark'!$A$47:$A$48,'Over to underbark'!E$47:E$48)*Z657</f>
        <v>70.704475759665002</v>
      </c>
      <c r="AE657">
        <f>LOOKUP($A657,'Over to underbark'!$A$47:$A$48,'Over to underbark'!E$47:E$48)*AA657</f>
        <v>14.718463749</v>
      </c>
      <c r="AF657">
        <f>LOOKUP($A657,'Over to underbark'!$A$47:$A$48,'Over to underbark'!E$47:E$48)*AB657</f>
        <v>32.855728788135004</v>
      </c>
      <c r="AG657">
        <f>LOOKUP($A657,'Over to underbark'!$A$47:$A$48,'Over to underbark'!E$47:E$48)*AC657</f>
        <v>57.782931703200013</v>
      </c>
      <c r="AH657" t="b">
        <f t="shared" si="166"/>
        <v>1</v>
      </c>
      <c r="AI657" t="b">
        <f t="shared" si="167"/>
        <v>1</v>
      </c>
      <c r="AJ657">
        <f>LOOKUP(A657,'Over to underbark'!$A$47:$A$48,'Over to underbark'!E$47:E$48)*M657</f>
        <v>195.624</v>
      </c>
      <c r="AK657" s="22">
        <f>LOOKUP(A657,'Over to underbark'!$A$47:$A$48,'Over to underbark'!$B$47:$B$48)*AJ657</f>
        <v>62.599679999999999</v>
      </c>
      <c r="AL657" s="22">
        <f>LOOKUP(A657,'Over to underbark'!$A$47:$A$48,'Over to underbark'!C$47:C$48)*AJ657</f>
        <v>95.855759999999989</v>
      </c>
      <c r="AM657" s="22">
        <f t="shared" si="168"/>
        <v>258.22368</v>
      </c>
      <c r="AN657" s="36">
        <v>894</v>
      </c>
      <c r="AO657" s="23">
        <f t="shared" si="169"/>
        <v>516.44736</v>
      </c>
      <c r="AQ657">
        <f t="shared" si="170"/>
        <v>0.68181818181818177</v>
      </c>
    </row>
    <row r="658" spans="1:43" x14ac:dyDescent="0.35">
      <c r="A658" t="s">
        <v>43</v>
      </c>
      <c r="B658">
        <v>12</v>
      </c>
      <c r="C658">
        <v>2</v>
      </c>
      <c r="D658" t="s">
        <v>42</v>
      </c>
      <c r="E658">
        <v>2</v>
      </c>
      <c r="F658">
        <v>1</v>
      </c>
      <c r="G658" s="30">
        <v>56</v>
      </c>
      <c r="H658" s="30">
        <v>22.74</v>
      </c>
      <c r="I658" s="30">
        <v>1276</v>
      </c>
      <c r="J658" s="30">
        <v>25.138000000000002</v>
      </c>
      <c r="K658" s="30">
        <v>63.326999999999998</v>
      </c>
      <c r="L658" s="30">
        <v>0.47199999999999998</v>
      </c>
      <c r="M658" s="30">
        <v>602.58000000000004</v>
      </c>
      <c r="N658" s="30">
        <v>7.8849999999999998</v>
      </c>
      <c r="O658" s="29">
        <v>10.76</v>
      </c>
      <c r="P658" s="31">
        <v>56</v>
      </c>
      <c r="Q658" s="31">
        <v>25.138000000000002</v>
      </c>
      <c r="R658" s="31">
        <v>198.86099999999999</v>
      </c>
      <c r="S658" s="31">
        <v>403.71899999999999</v>
      </c>
      <c r="T658" s="10" t="b">
        <f t="shared" si="157"/>
        <v>1</v>
      </c>
      <c r="U658" s="10" t="b">
        <f t="shared" si="158"/>
        <v>1</v>
      </c>
      <c r="V658" s="11">
        <f>VLOOKUP(IF(J658&lt;10, 10, IF(J658&gt;50,50,J658)),'Over to underbark'!$A$3:$C$43,IF(A658="Scots pine",3,IF(A658="Sitka spruce",2, "error")),TRUE)/100</f>
        <v>0.9</v>
      </c>
      <c r="W658">
        <f t="shared" si="159"/>
        <v>161.07740999999999</v>
      </c>
      <c r="X658">
        <f t="shared" si="160"/>
        <v>327.01239000000004</v>
      </c>
      <c r="Y658">
        <f t="shared" si="161"/>
        <v>54.232199999999992</v>
      </c>
      <c r="Z658">
        <f t="shared" si="162"/>
        <v>216.87988708349999</v>
      </c>
      <c r="AA658">
        <f t="shared" si="163"/>
        <v>44.834615099999994</v>
      </c>
      <c r="AB658">
        <f t="shared" si="164"/>
        <v>100.0966585365</v>
      </c>
      <c r="AC658">
        <f t="shared" si="165"/>
        <v>180.51083928000003</v>
      </c>
      <c r="AD658">
        <f>LOOKUP($A658,'Over to underbark'!$A$47:$A$48,'Over to underbark'!E$47:E$48)*Z658</f>
        <v>71.570362737555001</v>
      </c>
      <c r="AE658">
        <f>LOOKUP($A658,'Over to underbark'!$A$47:$A$48,'Over to underbark'!E$47:E$48)*AA658</f>
        <v>14.795422982999998</v>
      </c>
      <c r="AF658">
        <f>LOOKUP($A658,'Over to underbark'!$A$47:$A$48,'Over to underbark'!E$47:E$48)*AB658</f>
        <v>33.031897317045001</v>
      </c>
      <c r="AG658">
        <f>LOOKUP($A658,'Over to underbark'!$A$47:$A$48,'Over to underbark'!E$47:E$48)*AC658</f>
        <v>59.568576962400009</v>
      </c>
      <c r="AH658" t="b">
        <f t="shared" si="166"/>
        <v>1</v>
      </c>
      <c r="AI658" t="b">
        <f t="shared" si="167"/>
        <v>1</v>
      </c>
      <c r="AJ658">
        <f>LOOKUP(A658,'Over to underbark'!$A$47:$A$48,'Over to underbark'!E$47:E$48)*M658</f>
        <v>198.85140000000001</v>
      </c>
      <c r="AK658" s="22">
        <f>LOOKUP(A658,'Over to underbark'!$A$47:$A$48,'Over to underbark'!$B$47:$B$48)*AJ658</f>
        <v>63.632448000000004</v>
      </c>
      <c r="AL658" s="22">
        <f>LOOKUP(A658,'Over to underbark'!$A$47:$A$48,'Over to underbark'!C$47:C$48)*AJ658</f>
        <v>97.437186000000011</v>
      </c>
      <c r="AM658" s="22">
        <f t="shared" si="168"/>
        <v>262.48384800000002</v>
      </c>
      <c r="AN658" s="36">
        <v>895</v>
      </c>
      <c r="AO658" s="23">
        <f t="shared" si="169"/>
        <v>524.96769600000005</v>
      </c>
      <c r="AQ658">
        <f t="shared" si="170"/>
        <v>0.68181818181818177</v>
      </c>
    </row>
    <row r="659" spans="1:43" x14ac:dyDescent="0.35">
      <c r="A659" t="s">
        <v>43</v>
      </c>
      <c r="B659">
        <v>12</v>
      </c>
      <c r="C659">
        <v>2</v>
      </c>
      <c r="D659" t="s">
        <v>42</v>
      </c>
      <c r="E659">
        <v>2</v>
      </c>
      <c r="F659">
        <v>1</v>
      </c>
      <c r="G659" s="30">
        <v>57</v>
      </c>
      <c r="H659" s="30">
        <v>22.99</v>
      </c>
      <c r="I659" s="30">
        <v>1259</v>
      </c>
      <c r="J659" s="30">
        <v>25.388999999999999</v>
      </c>
      <c r="K659" s="30">
        <v>63.74</v>
      </c>
      <c r="L659" s="30">
        <v>0.48599999999999999</v>
      </c>
      <c r="M659" s="30">
        <v>612.36</v>
      </c>
      <c r="N659" s="30">
        <v>8.14</v>
      </c>
      <c r="O659" s="29">
        <v>10.743</v>
      </c>
      <c r="P659" s="31">
        <v>57</v>
      </c>
      <c r="Q659" s="31">
        <v>25.388999999999999</v>
      </c>
      <c r="R659" s="31">
        <v>196.41800000000001</v>
      </c>
      <c r="S659" s="31">
        <v>415.94200000000001</v>
      </c>
      <c r="T659" s="10" t="b">
        <f t="shared" si="157"/>
        <v>1</v>
      </c>
      <c r="U659" s="10" t="b">
        <f t="shared" si="158"/>
        <v>1</v>
      </c>
      <c r="V659" s="11">
        <f>VLOOKUP(IF(J659&lt;10, 10, IF(J659&gt;50,50,J659)),'Over to underbark'!$A$3:$C$43,IF(A659="Scots pine",3,IF(A659="Sitka spruce",2, "error")),TRUE)/100</f>
        <v>0.9</v>
      </c>
      <c r="W659">
        <f t="shared" si="159"/>
        <v>159.09858000000003</v>
      </c>
      <c r="X659">
        <f t="shared" si="160"/>
        <v>336.91302000000002</v>
      </c>
      <c r="Y659">
        <f t="shared" si="161"/>
        <v>55.112399999999987</v>
      </c>
      <c r="Z659">
        <f t="shared" si="162"/>
        <v>219.48424872300004</v>
      </c>
      <c r="AA659">
        <f t="shared" si="163"/>
        <v>45.057043799999995</v>
      </c>
      <c r="AB659">
        <f t="shared" si="164"/>
        <v>100.60672043700001</v>
      </c>
      <c r="AC659">
        <f t="shared" si="165"/>
        <v>185.97598704000004</v>
      </c>
      <c r="AD659">
        <f>LOOKUP($A659,'Over to underbark'!$A$47:$A$48,'Over to underbark'!E$47:E$48)*Z659</f>
        <v>72.429802078590015</v>
      </c>
      <c r="AE659">
        <f>LOOKUP($A659,'Over to underbark'!$A$47:$A$48,'Over to underbark'!E$47:E$48)*AA659</f>
        <v>14.868824453999999</v>
      </c>
      <c r="AF659">
        <f>LOOKUP($A659,'Over to underbark'!$A$47:$A$48,'Over to underbark'!E$47:E$48)*AB659</f>
        <v>33.200217744210001</v>
      </c>
      <c r="AG659">
        <f>LOOKUP($A659,'Over to underbark'!$A$47:$A$48,'Over to underbark'!E$47:E$48)*AC659</f>
        <v>61.372075723200012</v>
      </c>
      <c r="AH659" t="b">
        <f t="shared" si="166"/>
        <v>1</v>
      </c>
      <c r="AI659" t="b">
        <f t="shared" si="167"/>
        <v>1</v>
      </c>
      <c r="AJ659">
        <f>LOOKUP(A659,'Over to underbark'!$A$47:$A$48,'Over to underbark'!E$47:E$48)*M659</f>
        <v>202.0788</v>
      </c>
      <c r="AK659" s="22">
        <f>LOOKUP(A659,'Over to underbark'!$A$47:$A$48,'Over to underbark'!$B$47:$B$48)*AJ659</f>
        <v>64.665216000000001</v>
      </c>
      <c r="AL659" s="22">
        <f>LOOKUP(A659,'Over to underbark'!$A$47:$A$48,'Over to underbark'!C$47:C$48)*AJ659</f>
        <v>99.018612000000005</v>
      </c>
      <c r="AM659" s="22">
        <f t="shared" si="168"/>
        <v>266.74401599999999</v>
      </c>
      <c r="AN659" s="36">
        <v>896</v>
      </c>
      <c r="AO659" s="23">
        <f t="shared" si="169"/>
        <v>533.48803199999998</v>
      </c>
      <c r="AQ659">
        <f t="shared" si="170"/>
        <v>0.68181818181818188</v>
      </c>
    </row>
    <row r="660" spans="1:43" x14ac:dyDescent="0.35">
      <c r="A660" t="s">
        <v>43</v>
      </c>
      <c r="B660">
        <v>12</v>
      </c>
      <c r="C660">
        <v>2</v>
      </c>
      <c r="D660" t="s">
        <v>42</v>
      </c>
      <c r="E660">
        <v>2</v>
      </c>
      <c r="F660">
        <v>1</v>
      </c>
      <c r="G660" s="30">
        <v>58</v>
      </c>
      <c r="H660" s="30">
        <v>23.24</v>
      </c>
      <c r="I660" s="30">
        <v>1242</v>
      </c>
      <c r="J660" s="30">
        <v>25.645</v>
      </c>
      <c r="K660" s="30">
        <v>64.153999999999996</v>
      </c>
      <c r="L660" s="30">
        <v>0.501</v>
      </c>
      <c r="M660" s="30">
        <v>622.14</v>
      </c>
      <c r="N660" s="30">
        <v>8.3849999999999998</v>
      </c>
      <c r="O660" s="29">
        <v>10.727</v>
      </c>
      <c r="P660" s="31">
        <v>58</v>
      </c>
      <c r="Q660" s="31">
        <v>25.645</v>
      </c>
      <c r="R660" s="31">
        <v>193.81700000000001</v>
      </c>
      <c r="S660" s="31">
        <v>428.32299999999998</v>
      </c>
      <c r="T660" s="10" t="b">
        <f t="shared" si="157"/>
        <v>1</v>
      </c>
      <c r="U660" s="10" t="b">
        <f t="shared" si="158"/>
        <v>1</v>
      </c>
      <c r="V660" s="11">
        <f>VLOOKUP(IF(J660&lt;10, 10, IF(J660&gt;50,50,J660)),'Over to underbark'!$A$3:$C$43,IF(A660="Scots pine",3,IF(A660="Sitka spruce",2, "error")),TRUE)/100</f>
        <v>0.9</v>
      </c>
      <c r="W660">
        <f t="shared" si="159"/>
        <v>156.99177</v>
      </c>
      <c r="X660">
        <f t="shared" si="160"/>
        <v>346.94163000000003</v>
      </c>
      <c r="Y660">
        <f t="shared" si="161"/>
        <v>55.992599999999989</v>
      </c>
      <c r="Z660">
        <f t="shared" si="162"/>
        <v>222.06309754949999</v>
      </c>
      <c r="AA660">
        <f t="shared" si="163"/>
        <v>45.265394699999995</v>
      </c>
      <c r="AB660">
        <f t="shared" si="164"/>
        <v>101.0857279905</v>
      </c>
      <c r="AC660">
        <f t="shared" si="165"/>
        <v>191.51177976000002</v>
      </c>
      <c r="AD660">
        <f>LOOKUP($A660,'Over to underbark'!$A$47:$A$48,'Over to underbark'!E$47:E$48)*Z660</f>
        <v>73.280822191335005</v>
      </c>
      <c r="AE660">
        <f>LOOKUP($A660,'Over to underbark'!$A$47:$A$48,'Over to underbark'!E$47:E$48)*AA660</f>
        <v>14.937580250999998</v>
      </c>
      <c r="AF660">
        <f>LOOKUP($A660,'Over to underbark'!$A$47:$A$48,'Over to underbark'!E$47:E$48)*AB660</f>
        <v>33.358290236865002</v>
      </c>
      <c r="AG660">
        <f>LOOKUP($A660,'Over to underbark'!$A$47:$A$48,'Over to underbark'!E$47:E$48)*AC660</f>
        <v>63.198887320800011</v>
      </c>
      <c r="AH660" t="b">
        <f t="shared" si="166"/>
        <v>1</v>
      </c>
      <c r="AI660" t="b">
        <f t="shared" si="167"/>
        <v>1</v>
      </c>
      <c r="AJ660">
        <f>LOOKUP(A660,'Over to underbark'!$A$47:$A$48,'Over to underbark'!E$47:E$48)*M660</f>
        <v>205.30620000000002</v>
      </c>
      <c r="AK660" s="22">
        <f>LOOKUP(A660,'Over to underbark'!$A$47:$A$48,'Over to underbark'!$B$47:$B$48)*AJ660</f>
        <v>65.697984000000005</v>
      </c>
      <c r="AL660" s="22">
        <f>LOOKUP(A660,'Over to underbark'!$A$47:$A$48,'Over to underbark'!C$47:C$48)*AJ660</f>
        <v>100.60003800000001</v>
      </c>
      <c r="AM660" s="22">
        <f t="shared" si="168"/>
        <v>271.00418400000001</v>
      </c>
      <c r="AN660" s="36">
        <v>897</v>
      </c>
      <c r="AO660" s="23">
        <f t="shared" si="169"/>
        <v>542.00836800000002</v>
      </c>
      <c r="AQ660">
        <f t="shared" si="170"/>
        <v>0.68181818181818188</v>
      </c>
    </row>
    <row r="661" spans="1:43" x14ac:dyDescent="0.35">
      <c r="A661" t="s">
        <v>43</v>
      </c>
      <c r="B661">
        <v>12</v>
      </c>
      <c r="C661">
        <v>2</v>
      </c>
      <c r="D661" t="s">
        <v>42</v>
      </c>
      <c r="E661">
        <v>2</v>
      </c>
      <c r="F661">
        <v>1</v>
      </c>
      <c r="G661" s="30">
        <v>59</v>
      </c>
      <c r="H661" s="30">
        <v>23.49</v>
      </c>
      <c r="I661" s="30">
        <v>1225</v>
      </c>
      <c r="J661" s="30">
        <v>25.905999999999999</v>
      </c>
      <c r="K661" s="30">
        <v>64.567999999999998</v>
      </c>
      <c r="L661" s="30">
        <v>0.51600000000000001</v>
      </c>
      <c r="M661" s="30">
        <v>631.91999999999996</v>
      </c>
      <c r="N661" s="30">
        <v>8.6210000000000004</v>
      </c>
      <c r="O661" s="29">
        <v>10.711</v>
      </c>
      <c r="P661" s="31">
        <v>59</v>
      </c>
      <c r="Q661" s="31">
        <v>25.905999999999999</v>
      </c>
      <c r="R661" s="31">
        <v>191.065</v>
      </c>
      <c r="S661" s="31">
        <v>440.85500000000002</v>
      </c>
      <c r="T661" s="10" t="b">
        <f t="shared" si="157"/>
        <v>1</v>
      </c>
      <c r="U661" s="10" t="b">
        <f t="shared" si="158"/>
        <v>1</v>
      </c>
      <c r="V661" s="11">
        <f>VLOOKUP(IF(J661&lt;10, 10, IF(J661&gt;50,50,J661)),'Over to underbark'!$A$3:$C$43,IF(A661="Scots pine",3,IF(A661="Sitka spruce",2, "error")),TRUE)/100</f>
        <v>0.9</v>
      </c>
      <c r="W661">
        <f t="shared" si="159"/>
        <v>154.76265000000001</v>
      </c>
      <c r="X661">
        <f t="shared" si="160"/>
        <v>357.09255000000007</v>
      </c>
      <c r="Y661">
        <f t="shared" si="161"/>
        <v>56.872799999999991</v>
      </c>
      <c r="Z661">
        <f t="shared" si="162"/>
        <v>224.61756387750003</v>
      </c>
      <c r="AA661">
        <f t="shared" si="163"/>
        <v>45.460291499999997</v>
      </c>
      <c r="AB661">
        <f t="shared" si="164"/>
        <v>101.53505702250001</v>
      </c>
      <c r="AC661">
        <f t="shared" si="165"/>
        <v>197.11508760000007</v>
      </c>
      <c r="AD661">
        <f>LOOKUP($A661,'Over to underbark'!$A$47:$A$48,'Over to underbark'!E$47:E$48)*Z661</f>
        <v>74.123796079575015</v>
      </c>
      <c r="AE661">
        <f>LOOKUP($A661,'Over to underbark'!$A$47:$A$48,'Over to underbark'!E$47:E$48)*AA661</f>
        <v>15.001896195</v>
      </c>
      <c r="AF661">
        <f>LOOKUP($A661,'Over to underbark'!$A$47:$A$48,'Over to underbark'!E$47:E$48)*AB661</f>
        <v>33.506568817425006</v>
      </c>
      <c r="AG661">
        <f>LOOKUP($A661,'Over to underbark'!$A$47:$A$48,'Over to underbark'!E$47:E$48)*AC661</f>
        <v>65.047978908000019</v>
      </c>
      <c r="AH661" t="b">
        <f t="shared" si="166"/>
        <v>1</v>
      </c>
      <c r="AI661" t="b">
        <f t="shared" si="167"/>
        <v>1</v>
      </c>
      <c r="AJ661">
        <f>LOOKUP(A661,'Over to underbark'!$A$47:$A$48,'Over to underbark'!E$47:E$48)*M661</f>
        <v>208.53360000000001</v>
      </c>
      <c r="AK661" s="22">
        <f>LOOKUP(A661,'Over to underbark'!$A$47:$A$48,'Over to underbark'!$B$47:$B$48)*AJ661</f>
        <v>66.73075200000001</v>
      </c>
      <c r="AL661" s="22">
        <f>LOOKUP(A661,'Over to underbark'!$A$47:$A$48,'Over to underbark'!C$47:C$48)*AJ661</f>
        <v>102.18146400000001</v>
      </c>
      <c r="AM661" s="22">
        <f t="shared" si="168"/>
        <v>275.26435200000003</v>
      </c>
      <c r="AN661" s="36">
        <v>898</v>
      </c>
      <c r="AO661" s="23">
        <f t="shared" si="169"/>
        <v>550.52870400000006</v>
      </c>
      <c r="AQ661">
        <f t="shared" si="170"/>
        <v>0.68181818181818188</v>
      </c>
    </row>
    <row r="662" spans="1:43" x14ac:dyDescent="0.35">
      <c r="A662" t="s">
        <v>43</v>
      </c>
      <c r="B662">
        <v>12</v>
      </c>
      <c r="C662">
        <v>2</v>
      </c>
      <c r="D662" t="s">
        <v>42</v>
      </c>
      <c r="E662">
        <v>2</v>
      </c>
      <c r="F662">
        <v>1</v>
      </c>
      <c r="G662" s="30">
        <v>60</v>
      </c>
      <c r="H662" s="30">
        <v>23.74</v>
      </c>
      <c r="I662" s="30">
        <v>1209</v>
      </c>
      <c r="J662" s="30">
        <v>26.16</v>
      </c>
      <c r="K662" s="30">
        <v>64.981999999999999</v>
      </c>
      <c r="L662" s="30">
        <v>0.53100000000000003</v>
      </c>
      <c r="M662" s="30">
        <v>641.70000000000005</v>
      </c>
      <c r="N662" s="30">
        <v>8.8490000000000002</v>
      </c>
      <c r="O662" s="29">
        <v>10.695</v>
      </c>
      <c r="P662" s="31">
        <v>60</v>
      </c>
      <c r="Q662" s="31">
        <v>26.16</v>
      </c>
      <c r="R662" s="31">
        <v>188.43199999999999</v>
      </c>
      <c r="S662" s="31">
        <v>453.26799999999997</v>
      </c>
      <c r="T662" s="10" t="b">
        <f t="shared" si="157"/>
        <v>1</v>
      </c>
      <c r="U662" s="10" t="b">
        <f t="shared" si="158"/>
        <v>1</v>
      </c>
      <c r="V662" s="11">
        <f>VLOOKUP(IF(J662&lt;10, 10, IF(J662&gt;50,50,J662)),'Over to underbark'!$A$3:$C$43,IF(A662="Scots pine",3,IF(A662="Sitka spruce",2, "error")),TRUE)/100</f>
        <v>0.9</v>
      </c>
      <c r="W662">
        <f t="shared" si="159"/>
        <v>152.62992</v>
      </c>
      <c r="X662">
        <f t="shared" si="160"/>
        <v>367.14708000000002</v>
      </c>
      <c r="Y662">
        <f t="shared" si="161"/>
        <v>57.752999999999986</v>
      </c>
      <c r="Z662">
        <f t="shared" si="162"/>
        <v>227.19124555199997</v>
      </c>
      <c r="AA662">
        <f t="shared" si="163"/>
        <v>45.665791199999994</v>
      </c>
      <c r="AB662">
        <f t="shared" si="164"/>
        <v>102.00777508799999</v>
      </c>
      <c r="AC662">
        <f t="shared" si="165"/>
        <v>202.66518816000001</v>
      </c>
      <c r="AD662">
        <f>LOOKUP($A662,'Over to underbark'!$A$47:$A$48,'Over to underbark'!E$47:E$48)*Z662</f>
        <v>74.973111032159991</v>
      </c>
      <c r="AE662">
        <f>LOOKUP($A662,'Over to underbark'!$A$47:$A$48,'Over to underbark'!E$47:E$48)*AA662</f>
        <v>15.069711095999999</v>
      </c>
      <c r="AF662">
        <f>LOOKUP($A662,'Over to underbark'!$A$47:$A$48,'Over to underbark'!E$47:E$48)*AB662</f>
        <v>33.662565779040001</v>
      </c>
      <c r="AG662">
        <f>LOOKUP($A662,'Over to underbark'!$A$47:$A$48,'Over to underbark'!E$47:E$48)*AC662</f>
        <v>66.879512092800013</v>
      </c>
      <c r="AH662" t="b">
        <f t="shared" si="166"/>
        <v>1</v>
      </c>
      <c r="AI662" t="b">
        <f t="shared" si="167"/>
        <v>1</v>
      </c>
      <c r="AJ662">
        <f>LOOKUP(A662,'Over to underbark'!$A$47:$A$48,'Over to underbark'!E$47:E$48)*M662</f>
        <v>211.76100000000002</v>
      </c>
      <c r="AK662" s="22">
        <f>LOOKUP(A662,'Over to underbark'!$A$47:$A$48,'Over to underbark'!$B$47:$B$48)*AJ662</f>
        <v>67.763520000000014</v>
      </c>
      <c r="AL662" s="22">
        <f>LOOKUP(A662,'Over to underbark'!$A$47:$A$48,'Over to underbark'!C$47:C$48)*AJ662</f>
        <v>103.76289000000001</v>
      </c>
      <c r="AM662" s="22">
        <f t="shared" si="168"/>
        <v>279.52452000000005</v>
      </c>
      <c r="AN662" s="36">
        <v>899</v>
      </c>
      <c r="AO662" s="23">
        <f t="shared" si="169"/>
        <v>559.0490400000001</v>
      </c>
      <c r="AQ662">
        <f t="shared" si="170"/>
        <v>0.68181818181818166</v>
      </c>
    </row>
    <row r="663" spans="1:43" x14ac:dyDescent="0.35">
      <c r="A663" t="s">
        <v>43</v>
      </c>
      <c r="B663">
        <v>12</v>
      </c>
      <c r="C663">
        <v>2</v>
      </c>
      <c r="D663" t="s">
        <v>42</v>
      </c>
      <c r="E663">
        <v>2</v>
      </c>
      <c r="F663">
        <v>1</v>
      </c>
      <c r="G663" s="30">
        <v>61</v>
      </c>
      <c r="H663" s="30">
        <v>23.946000000000002</v>
      </c>
      <c r="I663" s="30">
        <v>1196</v>
      </c>
      <c r="J663" s="30">
        <v>26.373999999999999</v>
      </c>
      <c r="K663" s="30">
        <v>65.340999999999994</v>
      </c>
      <c r="L663" s="30">
        <v>0.54300000000000004</v>
      </c>
      <c r="M663" s="30">
        <v>649.9</v>
      </c>
      <c r="N663" s="30">
        <v>9.0739999999999998</v>
      </c>
      <c r="O663" s="29">
        <v>10.654</v>
      </c>
      <c r="P663" s="31">
        <v>61</v>
      </c>
      <c r="Q663" s="31">
        <v>26.373999999999999</v>
      </c>
      <c r="R663" s="31">
        <v>186.17599999999999</v>
      </c>
      <c r="S663" s="31">
        <v>463.72399999999999</v>
      </c>
      <c r="T663" s="10" t="b">
        <f t="shared" si="157"/>
        <v>1</v>
      </c>
      <c r="U663" s="10" t="b">
        <f t="shared" si="158"/>
        <v>1</v>
      </c>
      <c r="V663" s="11">
        <f>VLOOKUP(IF(J663&lt;10, 10, IF(J663&gt;50,50,J663)),'Over to underbark'!$A$3:$C$43,IF(A663="Scots pine",3,IF(A663="Sitka spruce",2, "error")),TRUE)/100</f>
        <v>0.9</v>
      </c>
      <c r="W663">
        <f t="shared" si="159"/>
        <v>150.80256</v>
      </c>
      <c r="X663">
        <f t="shared" si="160"/>
        <v>375.61644000000001</v>
      </c>
      <c r="Y663">
        <f t="shared" si="161"/>
        <v>58.490999999999985</v>
      </c>
      <c r="Z663">
        <f t="shared" si="162"/>
        <v>229.34132733600001</v>
      </c>
      <c r="AA663">
        <f t="shared" si="163"/>
        <v>45.833781599999995</v>
      </c>
      <c r="AB663">
        <f t="shared" si="164"/>
        <v>102.394616184</v>
      </c>
      <c r="AC663">
        <f t="shared" si="165"/>
        <v>207.34027488000001</v>
      </c>
      <c r="AD663">
        <f>LOOKUP($A663,'Over to underbark'!$A$47:$A$48,'Over to underbark'!E$47:E$48)*Z663</f>
        <v>75.682638020880006</v>
      </c>
      <c r="AE663">
        <f>LOOKUP($A663,'Over to underbark'!$A$47:$A$48,'Over to underbark'!E$47:E$48)*AA663</f>
        <v>15.125147927999999</v>
      </c>
      <c r="AF663">
        <f>LOOKUP($A663,'Over to underbark'!$A$47:$A$48,'Over to underbark'!E$47:E$48)*AB663</f>
        <v>33.790223340720004</v>
      </c>
      <c r="AG663">
        <f>LOOKUP($A663,'Over to underbark'!$A$47:$A$48,'Over to underbark'!E$47:E$48)*AC663</f>
        <v>68.422290710400006</v>
      </c>
      <c r="AH663" t="b">
        <f t="shared" si="166"/>
        <v>1</v>
      </c>
      <c r="AI663" t="b">
        <f t="shared" si="167"/>
        <v>1</v>
      </c>
      <c r="AJ663">
        <f>LOOKUP(A663,'Over to underbark'!$A$47:$A$48,'Over to underbark'!E$47:E$48)*M663</f>
        <v>214.46700000000001</v>
      </c>
      <c r="AK663" s="22">
        <f>LOOKUP(A663,'Over to underbark'!$A$47:$A$48,'Over to underbark'!$B$47:$B$48)*AJ663</f>
        <v>68.629440000000002</v>
      </c>
      <c r="AL663" s="22">
        <f>LOOKUP(A663,'Over to underbark'!$A$47:$A$48,'Over to underbark'!C$47:C$48)*AJ663</f>
        <v>105.08883</v>
      </c>
      <c r="AM663" s="22">
        <f t="shared" si="168"/>
        <v>283.09644000000003</v>
      </c>
      <c r="AN663" s="36">
        <v>900</v>
      </c>
      <c r="AO663" s="23">
        <f t="shared" si="169"/>
        <v>566.19288000000006</v>
      </c>
      <c r="AQ663">
        <f t="shared" si="170"/>
        <v>0.68181818181818177</v>
      </c>
    </row>
    <row r="664" spans="1:43" x14ac:dyDescent="0.35">
      <c r="A664" t="s">
        <v>43</v>
      </c>
      <c r="B664">
        <v>12</v>
      </c>
      <c r="C664">
        <v>2</v>
      </c>
      <c r="D664" t="s">
        <v>42</v>
      </c>
      <c r="E664">
        <v>2</v>
      </c>
      <c r="F664">
        <v>1</v>
      </c>
      <c r="G664" s="30">
        <v>62</v>
      </c>
      <c r="H664" s="30">
        <v>24.152000000000001</v>
      </c>
      <c r="I664" s="30">
        <v>1183</v>
      </c>
      <c r="J664" s="30">
        <v>26.591999999999999</v>
      </c>
      <c r="K664" s="30">
        <v>65.7</v>
      </c>
      <c r="L664" s="30">
        <v>0.55600000000000005</v>
      </c>
      <c r="M664" s="30">
        <v>658.1</v>
      </c>
      <c r="N664" s="30">
        <v>9.2929999999999993</v>
      </c>
      <c r="O664" s="29">
        <v>10.615</v>
      </c>
      <c r="P664" s="31">
        <v>62</v>
      </c>
      <c r="Q664" s="31">
        <v>26.591999999999999</v>
      </c>
      <c r="R664" s="31">
        <v>183.816</v>
      </c>
      <c r="S664" s="31">
        <v>474.28399999999999</v>
      </c>
      <c r="T664" s="10" t="b">
        <f t="shared" si="157"/>
        <v>1</v>
      </c>
      <c r="U664" s="10" t="b">
        <f t="shared" si="158"/>
        <v>1</v>
      </c>
      <c r="V664" s="11">
        <f>VLOOKUP(IF(J664&lt;10, 10, IF(J664&gt;50,50,J664)),'Over to underbark'!$A$3:$C$43,IF(A664="Scots pine",3,IF(A664="Sitka spruce",2, "error")),TRUE)/100</f>
        <v>0.9</v>
      </c>
      <c r="W664">
        <f t="shared" si="159"/>
        <v>148.89096000000001</v>
      </c>
      <c r="X664">
        <f t="shared" si="160"/>
        <v>384.17003999999997</v>
      </c>
      <c r="Y664">
        <f t="shared" si="161"/>
        <v>59.228999999999992</v>
      </c>
      <c r="Z664">
        <f t="shared" si="162"/>
        <v>231.474615876</v>
      </c>
      <c r="AA664">
        <f t="shared" si="163"/>
        <v>45.992505600000001</v>
      </c>
      <c r="AB664">
        <f t="shared" si="164"/>
        <v>102.76101644400001</v>
      </c>
      <c r="AC664">
        <f t="shared" si="165"/>
        <v>212.06186208</v>
      </c>
      <c r="AD664">
        <f>LOOKUP($A664,'Over to underbark'!$A$47:$A$48,'Over to underbark'!E$47:E$48)*Z664</f>
        <v>76.386623239080009</v>
      </c>
      <c r="AE664">
        <f>LOOKUP($A664,'Over to underbark'!$A$47:$A$48,'Over to underbark'!E$47:E$48)*AA664</f>
        <v>15.177526848000001</v>
      </c>
      <c r="AF664">
        <f>LOOKUP($A664,'Over to underbark'!$A$47:$A$48,'Over to underbark'!E$47:E$48)*AB664</f>
        <v>33.911135426520005</v>
      </c>
      <c r="AG664">
        <f>LOOKUP($A664,'Over to underbark'!$A$47:$A$48,'Over to underbark'!E$47:E$48)*AC664</f>
        <v>69.980414486400008</v>
      </c>
      <c r="AH664" t="b">
        <f t="shared" si="166"/>
        <v>1</v>
      </c>
      <c r="AI664" t="b">
        <f t="shared" si="167"/>
        <v>1</v>
      </c>
      <c r="AJ664">
        <f>LOOKUP(A664,'Over to underbark'!$A$47:$A$48,'Over to underbark'!E$47:E$48)*M664</f>
        <v>217.17300000000003</v>
      </c>
      <c r="AK664" s="22">
        <f>LOOKUP(A664,'Over to underbark'!$A$47:$A$48,'Over to underbark'!$B$47:$B$48)*AJ664</f>
        <v>69.495360000000005</v>
      </c>
      <c r="AL664" s="22">
        <f>LOOKUP(A664,'Over to underbark'!$A$47:$A$48,'Over to underbark'!C$47:C$48)*AJ664</f>
        <v>106.41477000000002</v>
      </c>
      <c r="AM664" s="22">
        <f t="shared" si="168"/>
        <v>286.66836000000001</v>
      </c>
      <c r="AN664" s="36">
        <v>901</v>
      </c>
      <c r="AO664" s="23">
        <f t="shared" si="169"/>
        <v>573.33672000000001</v>
      </c>
      <c r="AQ664">
        <f t="shared" si="170"/>
        <v>0.68181818181818188</v>
      </c>
    </row>
    <row r="665" spans="1:43" x14ac:dyDescent="0.35">
      <c r="A665" t="s">
        <v>43</v>
      </c>
      <c r="B665">
        <v>12</v>
      </c>
      <c r="C665">
        <v>2</v>
      </c>
      <c r="D665" t="s">
        <v>42</v>
      </c>
      <c r="E665">
        <v>2</v>
      </c>
      <c r="F665">
        <v>1</v>
      </c>
      <c r="G665" s="30">
        <v>63</v>
      </c>
      <c r="H665" s="30">
        <v>24.358000000000001</v>
      </c>
      <c r="I665" s="30">
        <v>1170</v>
      </c>
      <c r="J665" s="30">
        <v>26.812000000000001</v>
      </c>
      <c r="K665" s="30">
        <v>66.058999999999997</v>
      </c>
      <c r="L665" s="30">
        <v>0.56899999999999995</v>
      </c>
      <c r="M665" s="30">
        <v>666.3</v>
      </c>
      <c r="N665" s="30">
        <v>9.5050000000000008</v>
      </c>
      <c r="O665" s="29">
        <v>10.576000000000001</v>
      </c>
      <c r="P665" s="31">
        <v>63</v>
      </c>
      <c r="Q665" s="31">
        <v>26.812000000000001</v>
      </c>
      <c r="R665" s="31">
        <v>181.398</v>
      </c>
      <c r="S665" s="31">
        <v>484.90199999999999</v>
      </c>
      <c r="T665" s="10" t="b">
        <f t="shared" si="157"/>
        <v>1</v>
      </c>
      <c r="U665" s="10" t="b">
        <f t="shared" si="158"/>
        <v>1</v>
      </c>
      <c r="V665" s="11">
        <f>VLOOKUP(IF(J665&lt;10, 10, IF(J665&gt;50,50,J665)),'Over to underbark'!$A$3:$C$43,IF(A665="Scots pine",3,IF(A665="Sitka spruce",2, "error")),TRUE)/100</f>
        <v>0.9</v>
      </c>
      <c r="W665">
        <f t="shared" si="159"/>
        <v>146.93237999999999</v>
      </c>
      <c r="X665">
        <f t="shared" si="160"/>
        <v>392.77062000000001</v>
      </c>
      <c r="Y665">
        <f t="shared" si="161"/>
        <v>59.966999999999985</v>
      </c>
      <c r="Z665">
        <f t="shared" si="162"/>
        <v>233.598538953</v>
      </c>
      <c r="AA665">
        <f t="shared" si="163"/>
        <v>46.146061799999991</v>
      </c>
      <c r="AB665">
        <f t="shared" si="164"/>
        <v>103.116017007</v>
      </c>
      <c r="AC665">
        <f t="shared" si="165"/>
        <v>216.80938224000002</v>
      </c>
      <c r="AD665">
        <f>LOOKUP($A665,'Over to underbark'!$A$47:$A$48,'Over to underbark'!E$47:E$48)*Z665</f>
        <v>77.087517854490002</v>
      </c>
      <c r="AE665">
        <f>LOOKUP($A665,'Over to underbark'!$A$47:$A$48,'Over to underbark'!E$47:E$48)*AA665</f>
        <v>15.228200393999998</v>
      </c>
      <c r="AF665">
        <f>LOOKUP($A665,'Over to underbark'!$A$47:$A$48,'Over to underbark'!E$47:E$48)*AB665</f>
        <v>34.02828561231</v>
      </c>
      <c r="AG665">
        <f>LOOKUP($A665,'Over to underbark'!$A$47:$A$48,'Over to underbark'!E$47:E$48)*AC665</f>
        <v>71.547096139200008</v>
      </c>
      <c r="AH665" t="b">
        <f t="shared" si="166"/>
        <v>1</v>
      </c>
      <c r="AI665" t="b">
        <f t="shared" si="167"/>
        <v>1</v>
      </c>
      <c r="AJ665">
        <f>LOOKUP(A665,'Over to underbark'!$A$47:$A$48,'Over to underbark'!E$47:E$48)*M665</f>
        <v>219.87899999999999</v>
      </c>
      <c r="AK665" s="22">
        <f>LOOKUP(A665,'Over to underbark'!$A$47:$A$48,'Over to underbark'!$B$47:$B$48)*AJ665</f>
        <v>70.361279999999994</v>
      </c>
      <c r="AL665" s="22">
        <f>LOOKUP(A665,'Over to underbark'!$A$47:$A$48,'Over to underbark'!C$47:C$48)*AJ665</f>
        <v>107.74070999999999</v>
      </c>
      <c r="AM665" s="22">
        <f t="shared" si="168"/>
        <v>290.24027999999998</v>
      </c>
      <c r="AN665" s="36">
        <v>902</v>
      </c>
      <c r="AO665" s="23">
        <f t="shared" si="169"/>
        <v>580.48055999999997</v>
      </c>
      <c r="AQ665">
        <f t="shared" si="170"/>
        <v>0.68181818181818188</v>
      </c>
    </row>
    <row r="666" spans="1:43" x14ac:dyDescent="0.35">
      <c r="A666" t="s">
        <v>43</v>
      </c>
      <c r="B666">
        <v>12</v>
      </c>
      <c r="C666">
        <v>2</v>
      </c>
      <c r="D666" t="s">
        <v>42</v>
      </c>
      <c r="E666">
        <v>2</v>
      </c>
      <c r="F666">
        <v>1</v>
      </c>
      <c r="G666" s="30">
        <v>64</v>
      </c>
      <c r="H666" s="30">
        <v>24.564</v>
      </c>
      <c r="I666" s="30">
        <v>1157</v>
      </c>
      <c r="J666" s="30">
        <v>27.035</v>
      </c>
      <c r="K666" s="30">
        <v>66.418000000000006</v>
      </c>
      <c r="L666" s="30">
        <v>0.58299999999999996</v>
      </c>
      <c r="M666" s="30">
        <v>674.5</v>
      </c>
      <c r="N666" s="30">
        <v>9.7100000000000009</v>
      </c>
      <c r="O666" s="29">
        <v>10.539</v>
      </c>
      <c r="P666" s="31">
        <v>64</v>
      </c>
      <c r="Q666" s="31">
        <v>27.035</v>
      </c>
      <c r="R666" s="31">
        <v>178.905</v>
      </c>
      <c r="S666" s="31">
        <v>495.59500000000003</v>
      </c>
      <c r="T666" s="10" t="b">
        <f t="shared" si="157"/>
        <v>1</v>
      </c>
      <c r="U666" s="10" t="b">
        <f t="shared" si="158"/>
        <v>1</v>
      </c>
      <c r="V666" s="11">
        <f>VLOOKUP(IF(J666&lt;10, 10, IF(J666&gt;50,50,J666)),'Over to underbark'!$A$3:$C$43,IF(A666="Scots pine",3,IF(A666="Sitka spruce",2, "error")),TRUE)/100</f>
        <v>0.9</v>
      </c>
      <c r="W666">
        <f t="shared" si="159"/>
        <v>144.91305</v>
      </c>
      <c r="X666">
        <f t="shared" si="160"/>
        <v>401.43195000000003</v>
      </c>
      <c r="Y666">
        <f t="shared" si="161"/>
        <v>60.704999999999991</v>
      </c>
      <c r="Z666">
        <f t="shared" si="162"/>
        <v>235.71035151749996</v>
      </c>
      <c r="AA666">
        <f t="shared" si="163"/>
        <v>46.292935499999999</v>
      </c>
      <c r="AB666">
        <f t="shared" si="164"/>
        <v>103.4562765825</v>
      </c>
      <c r="AC666">
        <f t="shared" si="165"/>
        <v>221.59043640000002</v>
      </c>
      <c r="AD666">
        <f>LOOKUP($A666,'Over to underbark'!$A$47:$A$48,'Over to underbark'!E$47:E$48)*Z666</f>
        <v>77.784416000774996</v>
      </c>
      <c r="AE666">
        <f>LOOKUP($A666,'Over to underbark'!$A$47:$A$48,'Over to underbark'!E$47:E$48)*AA666</f>
        <v>15.276668715</v>
      </c>
      <c r="AF666">
        <f>LOOKUP($A666,'Over to underbark'!$A$47:$A$48,'Over to underbark'!E$47:E$48)*AB666</f>
        <v>34.140571272225003</v>
      </c>
      <c r="AG666">
        <f>LOOKUP($A666,'Over to underbark'!$A$47:$A$48,'Over to underbark'!E$47:E$48)*AC666</f>
        <v>73.124844012000011</v>
      </c>
      <c r="AH666" t="b">
        <f t="shared" si="166"/>
        <v>1</v>
      </c>
      <c r="AI666" t="b">
        <f t="shared" si="167"/>
        <v>1</v>
      </c>
      <c r="AJ666">
        <f>LOOKUP(A666,'Over to underbark'!$A$47:$A$48,'Over to underbark'!E$47:E$48)*M666</f>
        <v>222.58500000000001</v>
      </c>
      <c r="AK666" s="22">
        <f>LOOKUP(A666,'Over to underbark'!$A$47:$A$48,'Over to underbark'!$B$47:$B$48)*AJ666</f>
        <v>71.227200000000011</v>
      </c>
      <c r="AL666" s="22">
        <f>LOOKUP(A666,'Over to underbark'!$A$47:$A$48,'Over to underbark'!C$47:C$48)*AJ666</f>
        <v>109.06665</v>
      </c>
      <c r="AM666" s="22">
        <f t="shared" si="168"/>
        <v>293.81220000000002</v>
      </c>
      <c r="AN666" s="36">
        <v>903</v>
      </c>
      <c r="AO666" s="23">
        <f t="shared" si="169"/>
        <v>587.62440000000004</v>
      </c>
      <c r="AQ666">
        <f t="shared" si="170"/>
        <v>0.68181818181818177</v>
      </c>
    </row>
    <row r="667" spans="1:43" x14ac:dyDescent="0.35">
      <c r="A667" t="s">
        <v>43</v>
      </c>
      <c r="B667">
        <v>12</v>
      </c>
      <c r="C667">
        <v>2</v>
      </c>
      <c r="D667" t="s">
        <v>42</v>
      </c>
      <c r="E667">
        <v>2</v>
      </c>
      <c r="F667">
        <v>1</v>
      </c>
      <c r="G667" s="30">
        <v>65</v>
      </c>
      <c r="H667" s="30">
        <v>24.77</v>
      </c>
      <c r="I667" s="30">
        <v>1145</v>
      </c>
      <c r="J667" s="30">
        <v>27.25</v>
      </c>
      <c r="K667" s="30">
        <v>66.777000000000001</v>
      </c>
      <c r="L667" s="30">
        <v>0.59599999999999997</v>
      </c>
      <c r="M667" s="30">
        <v>682.7</v>
      </c>
      <c r="N667" s="30">
        <v>9.91</v>
      </c>
      <c r="O667" s="29">
        <v>10.503</v>
      </c>
      <c r="P667" s="31">
        <v>65</v>
      </c>
      <c r="Q667" s="31">
        <v>27.25</v>
      </c>
      <c r="R667" s="31">
        <v>176.56899999999999</v>
      </c>
      <c r="S667" s="31">
        <v>506.13099999999997</v>
      </c>
      <c r="T667" s="10" t="b">
        <f t="shared" si="157"/>
        <v>1</v>
      </c>
      <c r="U667" s="10" t="b">
        <f t="shared" si="158"/>
        <v>1</v>
      </c>
      <c r="V667" s="11">
        <f>VLOOKUP(IF(J667&lt;10, 10, IF(J667&gt;50,50,J667)),'Over to underbark'!$A$3:$C$43,IF(A667="Scots pine",3,IF(A667="Sitka spruce",2, "error")),TRUE)/100</f>
        <v>0.9</v>
      </c>
      <c r="W667">
        <f t="shared" si="159"/>
        <v>143.02088999999998</v>
      </c>
      <c r="X667">
        <f t="shared" si="160"/>
        <v>409.96611000000001</v>
      </c>
      <c r="Y667">
        <f t="shared" si="161"/>
        <v>61.442999999999984</v>
      </c>
      <c r="Z667">
        <f t="shared" si="162"/>
        <v>237.84751542150002</v>
      </c>
      <c r="AA667">
        <f t="shared" si="163"/>
        <v>46.453797899999991</v>
      </c>
      <c r="AB667">
        <f t="shared" si="164"/>
        <v>103.82739395849998</v>
      </c>
      <c r="AC667">
        <f t="shared" si="165"/>
        <v>226.30129272000002</v>
      </c>
      <c r="AD667">
        <f>LOOKUP($A667,'Over to underbark'!$A$47:$A$48,'Over to underbark'!E$47:E$48)*Z667</f>
        <v>78.489680089095003</v>
      </c>
      <c r="AE667">
        <f>LOOKUP($A667,'Over to underbark'!$A$47:$A$48,'Over to underbark'!E$47:E$48)*AA667</f>
        <v>15.329753306999997</v>
      </c>
      <c r="AF667">
        <f>LOOKUP($A667,'Over to underbark'!$A$47:$A$48,'Over to underbark'!E$47:E$48)*AB667</f>
        <v>34.263040006304998</v>
      </c>
      <c r="AG667">
        <f>LOOKUP($A667,'Over to underbark'!$A$47:$A$48,'Over to underbark'!E$47:E$48)*AC667</f>
        <v>74.679426597600013</v>
      </c>
      <c r="AH667" t="b">
        <f t="shared" si="166"/>
        <v>1</v>
      </c>
      <c r="AI667" t="b">
        <f t="shared" si="167"/>
        <v>1</v>
      </c>
      <c r="AJ667">
        <f>LOOKUP(A667,'Over to underbark'!$A$47:$A$48,'Over to underbark'!E$47:E$48)*M667</f>
        <v>225.29100000000003</v>
      </c>
      <c r="AK667" s="22">
        <f>LOOKUP(A667,'Over to underbark'!$A$47:$A$48,'Over to underbark'!$B$47:$B$48)*AJ667</f>
        <v>72.093120000000013</v>
      </c>
      <c r="AL667" s="22">
        <f>LOOKUP(A667,'Over to underbark'!$A$47:$A$48,'Over to underbark'!C$47:C$48)*AJ667</f>
        <v>110.39259000000001</v>
      </c>
      <c r="AM667" s="22">
        <f t="shared" si="168"/>
        <v>297.38412000000005</v>
      </c>
      <c r="AN667" s="36">
        <v>904</v>
      </c>
      <c r="AO667" s="23">
        <f t="shared" si="169"/>
        <v>594.76824000000011</v>
      </c>
      <c r="AQ667">
        <f t="shared" si="170"/>
        <v>0.68181818181818177</v>
      </c>
    </row>
    <row r="668" spans="1:43" x14ac:dyDescent="0.35">
      <c r="A668" t="s">
        <v>43</v>
      </c>
      <c r="B668">
        <v>12</v>
      </c>
      <c r="C668">
        <v>2</v>
      </c>
      <c r="D668" t="s">
        <v>42</v>
      </c>
      <c r="E668">
        <v>2</v>
      </c>
      <c r="F668">
        <v>1</v>
      </c>
      <c r="G668" s="30">
        <v>66</v>
      </c>
      <c r="H668" s="30">
        <v>24.95</v>
      </c>
      <c r="I668" s="30">
        <v>1134</v>
      </c>
      <c r="J668" s="30">
        <v>27.443999999999999</v>
      </c>
      <c r="K668" s="30">
        <v>67.081999999999994</v>
      </c>
      <c r="L668" s="30">
        <v>0.60799999999999998</v>
      </c>
      <c r="M668" s="30">
        <v>689.84</v>
      </c>
      <c r="N668" s="30">
        <v>10.097</v>
      </c>
      <c r="O668" s="29">
        <v>10.452</v>
      </c>
      <c r="P668" s="31">
        <v>66</v>
      </c>
      <c r="Q668" s="31">
        <v>27.443999999999999</v>
      </c>
      <c r="R668" s="31">
        <v>174.38800000000001</v>
      </c>
      <c r="S668" s="31">
        <v>515.452</v>
      </c>
      <c r="T668" s="10" t="b">
        <f t="shared" si="157"/>
        <v>1</v>
      </c>
      <c r="U668" s="10" t="b">
        <f t="shared" si="158"/>
        <v>1</v>
      </c>
      <c r="V668" s="11">
        <f>VLOOKUP(IF(J668&lt;10, 10, IF(J668&gt;50,50,J668)),'Over to underbark'!$A$3:$C$43,IF(A668="Scots pine",3,IF(A668="Sitka spruce",2, "error")),TRUE)/100</f>
        <v>0.9</v>
      </c>
      <c r="W668">
        <f t="shared" si="159"/>
        <v>141.25428000000002</v>
      </c>
      <c r="X668">
        <f t="shared" si="160"/>
        <v>417.51612000000006</v>
      </c>
      <c r="Y668">
        <f t="shared" si="161"/>
        <v>62.085599999999985</v>
      </c>
      <c r="Z668">
        <f t="shared" si="162"/>
        <v>239.68467991800003</v>
      </c>
      <c r="AA668">
        <f t="shared" si="163"/>
        <v>46.580770799999996</v>
      </c>
      <c r="AB668">
        <f t="shared" si="164"/>
        <v>104.12165104200002</v>
      </c>
      <c r="AC668">
        <f t="shared" si="165"/>
        <v>230.46889824000004</v>
      </c>
      <c r="AD668">
        <f>LOOKUP($A668,'Over to underbark'!$A$47:$A$48,'Over to underbark'!E$47:E$48)*Z668</f>
        <v>79.095944372940011</v>
      </c>
      <c r="AE668">
        <f>LOOKUP($A668,'Over to underbark'!$A$47:$A$48,'Over to underbark'!E$47:E$48)*AA668</f>
        <v>15.371654363999999</v>
      </c>
      <c r="AF668">
        <f>LOOKUP($A668,'Over to underbark'!$A$47:$A$48,'Over to underbark'!E$47:E$48)*AB668</f>
        <v>34.360144843860013</v>
      </c>
      <c r="AG668">
        <f>LOOKUP($A668,'Over to underbark'!$A$47:$A$48,'Over to underbark'!E$47:E$48)*AC668</f>
        <v>76.054736419200012</v>
      </c>
      <c r="AH668" t="b">
        <f t="shared" si="166"/>
        <v>1</v>
      </c>
      <c r="AI668" t="b">
        <f t="shared" si="167"/>
        <v>1</v>
      </c>
      <c r="AJ668">
        <f>LOOKUP(A668,'Over to underbark'!$A$47:$A$48,'Over to underbark'!E$47:E$48)*M668</f>
        <v>227.64720000000003</v>
      </c>
      <c r="AK668" s="22">
        <f>LOOKUP(A668,'Over to underbark'!$A$47:$A$48,'Over to underbark'!$B$47:$B$48)*AJ668</f>
        <v>72.847104000000016</v>
      </c>
      <c r="AL668" s="22">
        <f>LOOKUP(A668,'Over to underbark'!$A$47:$A$48,'Over to underbark'!C$47:C$48)*AJ668</f>
        <v>111.54712800000001</v>
      </c>
      <c r="AM668" s="22">
        <f t="shared" si="168"/>
        <v>300.49430400000006</v>
      </c>
      <c r="AN668" s="36">
        <v>905</v>
      </c>
      <c r="AO668" s="23">
        <f t="shared" si="169"/>
        <v>600.98860800000011</v>
      </c>
      <c r="AQ668">
        <f t="shared" si="170"/>
        <v>0.68181818181818188</v>
      </c>
    </row>
    <row r="669" spans="1:43" x14ac:dyDescent="0.35">
      <c r="A669" t="s">
        <v>43</v>
      </c>
      <c r="B669">
        <v>12</v>
      </c>
      <c r="C669">
        <v>2</v>
      </c>
      <c r="D669" t="s">
        <v>42</v>
      </c>
      <c r="E669">
        <v>2</v>
      </c>
      <c r="F669">
        <v>1</v>
      </c>
      <c r="G669" s="30">
        <v>67</v>
      </c>
      <c r="H669" s="30">
        <v>25.13</v>
      </c>
      <c r="I669" s="30">
        <v>1123</v>
      </c>
      <c r="J669" s="30">
        <v>27.640999999999998</v>
      </c>
      <c r="K669" s="30">
        <v>67.387</v>
      </c>
      <c r="L669" s="30">
        <v>0.621</v>
      </c>
      <c r="M669" s="30">
        <v>696.98</v>
      </c>
      <c r="N669" s="30">
        <v>10.28</v>
      </c>
      <c r="O669" s="29">
        <v>10.403</v>
      </c>
      <c r="P669" s="31">
        <v>67</v>
      </c>
      <c r="Q669" s="31">
        <v>27.640999999999998</v>
      </c>
      <c r="R669" s="31">
        <v>172.142</v>
      </c>
      <c r="S669" s="31">
        <v>524.83799999999997</v>
      </c>
      <c r="T669" s="10" t="b">
        <f t="shared" si="157"/>
        <v>1</v>
      </c>
      <c r="U669" s="10" t="b">
        <f t="shared" si="158"/>
        <v>1</v>
      </c>
      <c r="V669" s="11">
        <f>VLOOKUP(IF(J669&lt;10, 10, IF(J669&gt;50,50,J669)),'Over to underbark'!$A$3:$C$43,IF(A669="Scots pine",3,IF(A669="Sitka spruce",2, "error")),TRUE)/100</f>
        <v>0.9</v>
      </c>
      <c r="W669">
        <f t="shared" si="159"/>
        <v>139.43502000000001</v>
      </c>
      <c r="X669">
        <f t="shared" si="160"/>
        <v>425.11878000000002</v>
      </c>
      <c r="Y669">
        <f t="shared" si="161"/>
        <v>62.728199999999987</v>
      </c>
      <c r="Z669">
        <f t="shared" si="162"/>
        <v>241.51134863700003</v>
      </c>
      <c r="AA669">
        <f t="shared" si="163"/>
        <v>46.701952199999994</v>
      </c>
      <c r="AB669">
        <f t="shared" si="164"/>
        <v>104.403132603</v>
      </c>
      <c r="AC669">
        <f t="shared" si="165"/>
        <v>234.66556656</v>
      </c>
      <c r="AD669">
        <f>LOOKUP($A669,'Over to underbark'!$A$47:$A$48,'Over to underbark'!E$47:E$48)*Z669</f>
        <v>79.698745050210007</v>
      </c>
      <c r="AE669">
        <f>LOOKUP($A669,'Over to underbark'!$A$47:$A$48,'Over to underbark'!E$47:E$48)*AA669</f>
        <v>15.411644225999998</v>
      </c>
      <c r="AF669">
        <f>LOOKUP($A669,'Over to underbark'!$A$47:$A$48,'Over to underbark'!E$47:E$48)*AB669</f>
        <v>34.453033758990003</v>
      </c>
      <c r="AG669">
        <f>LOOKUP($A669,'Over to underbark'!$A$47:$A$48,'Over to underbark'!E$47:E$48)*AC669</f>
        <v>77.439636964800002</v>
      </c>
      <c r="AH669" t="b">
        <f t="shared" si="166"/>
        <v>1</v>
      </c>
      <c r="AI669" t="b">
        <f t="shared" si="167"/>
        <v>1</v>
      </c>
      <c r="AJ669">
        <f>LOOKUP(A669,'Over to underbark'!$A$47:$A$48,'Over to underbark'!E$47:E$48)*M669</f>
        <v>230.00340000000003</v>
      </c>
      <c r="AK669" s="22">
        <f>LOOKUP(A669,'Over to underbark'!$A$47:$A$48,'Over to underbark'!$B$47:$B$48)*AJ669</f>
        <v>73.601088000000004</v>
      </c>
      <c r="AL669" s="22">
        <f>LOOKUP(A669,'Over to underbark'!$A$47:$A$48,'Over to underbark'!C$47:C$48)*AJ669</f>
        <v>112.70166600000002</v>
      </c>
      <c r="AM669" s="22">
        <f t="shared" si="168"/>
        <v>303.60448800000006</v>
      </c>
      <c r="AN669" s="36">
        <v>906</v>
      </c>
      <c r="AO669" s="23">
        <f t="shared" si="169"/>
        <v>607.20897600000012</v>
      </c>
      <c r="AQ669">
        <f t="shared" si="170"/>
        <v>0.68181818181818166</v>
      </c>
    </row>
    <row r="670" spans="1:43" x14ac:dyDescent="0.35">
      <c r="A670" t="s">
        <v>43</v>
      </c>
      <c r="B670">
        <v>12</v>
      </c>
      <c r="C670">
        <v>2</v>
      </c>
      <c r="D670" t="s">
        <v>42</v>
      </c>
      <c r="E670">
        <v>2</v>
      </c>
      <c r="F670">
        <v>1</v>
      </c>
      <c r="G670" s="30">
        <v>68</v>
      </c>
      <c r="H670" s="30">
        <v>25.31</v>
      </c>
      <c r="I670" s="30">
        <v>1113</v>
      </c>
      <c r="J670" s="30">
        <v>27.827999999999999</v>
      </c>
      <c r="K670" s="30">
        <v>67.691000000000003</v>
      </c>
      <c r="L670" s="30">
        <v>0.63300000000000001</v>
      </c>
      <c r="M670" s="30">
        <v>704.12</v>
      </c>
      <c r="N670" s="30">
        <v>10.458</v>
      </c>
      <c r="O670" s="29">
        <v>10.355</v>
      </c>
      <c r="P670" s="31">
        <v>68</v>
      </c>
      <c r="Q670" s="31">
        <v>27.827999999999999</v>
      </c>
      <c r="R670" s="31">
        <v>170.09800000000001</v>
      </c>
      <c r="S670" s="31">
        <v>534.02200000000005</v>
      </c>
      <c r="T670" s="10" t="b">
        <f t="shared" si="157"/>
        <v>1</v>
      </c>
      <c r="U670" s="10" t="b">
        <f t="shared" si="158"/>
        <v>1</v>
      </c>
      <c r="V670" s="11">
        <f>VLOOKUP(IF(J670&lt;10, 10, IF(J670&gt;50,50,J670)),'Over to underbark'!$A$3:$C$43,IF(A670="Scots pine",3,IF(A670="Sitka spruce",2, "error")),TRUE)/100</f>
        <v>0.9</v>
      </c>
      <c r="W670">
        <f t="shared" si="159"/>
        <v>137.77938000000003</v>
      </c>
      <c r="X670">
        <f t="shared" si="160"/>
        <v>432.55782000000005</v>
      </c>
      <c r="Y670">
        <f t="shared" si="161"/>
        <v>63.370799999999996</v>
      </c>
      <c r="Z670">
        <f t="shared" si="162"/>
        <v>243.37063500300002</v>
      </c>
      <c r="AA670">
        <f t="shared" si="163"/>
        <v>46.841131799999999</v>
      </c>
      <c r="AB670">
        <f t="shared" si="164"/>
        <v>104.72431655700002</v>
      </c>
      <c r="AC670">
        <f t="shared" si="165"/>
        <v>238.77191664000003</v>
      </c>
      <c r="AD670">
        <f>LOOKUP($A670,'Over to underbark'!$A$47:$A$48,'Over to underbark'!E$47:E$48)*Z670</f>
        <v>80.312309550990008</v>
      </c>
      <c r="AE670">
        <f>LOOKUP($A670,'Over to underbark'!$A$47:$A$48,'Over to underbark'!E$47:E$48)*AA670</f>
        <v>15.457573494</v>
      </c>
      <c r="AF670">
        <f>LOOKUP($A670,'Over to underbark'!$A$47:$A$48,'Over to underbark'!E$47:E$48)*AB670</f>
        <v>34.559024463810012</v>
      </c>
      <c r="AG670">
        <f>LOOKUP($A670,'Over to underbark'!$A$47:$A$48,'Over to underbark'!E$47:E$48)*AC670</f>
        <v>78.794732491200008</v>
      </c>
      <c r="AH670" t="b">
        <f t="shared" si="166"/>
        <v>1</v>
      </c>
      <c r="AI670" t="b">
        <f t="shared" si="167"/>
        <v>1</v>
      </c>
      <c r="AJ670">
        <f>LOOKUP(A670,'Over to underbark'!$A$47:$A$48,'Over to underbark'!E$47:E$48)*M670</f>
        <v>232.3596</v>
      </c>
      <c r="AK670" s="22">
        <f>LOOKUP(A670,'Over to underbark'!$A$47:$A$48,'Over to underbark'!$B$47:$B$48)*AJ670</f>
        <v>74.355072000000007</v>
      </c>
      <c r="AL670" s="22">
        <f>LOOKUP(A670,'Over to underbark'!$A$47:$A$48,'Over to underbark'!C$47:C$48)*AJ670</f>
        <v>113.85620399999999</v>
      </c>
      <c r="AM670" s="22">
        <f t="shared" si="168"/>
        <v>306.71467200000001</v>
      </c>
      <c r="AN670" s="36">
        <v>907</v>
      </c>
      <c r="AO670" s="23">
        <f t="shared" si="169"/>
        <v>613.42934400000001</v>
      </c>
      <c r="AQ670">
        <f t="shared" si="170"/>
        <v>0.68181818181818188</v>
      </c>
    </row>
    <row r="671" spans="1:43" x14ac:dyDescent="0.35">
      <c r="A671" t="s">
        <v>43</v>
      </c>
      <c r="B671">
        <v>12</v>
      </c>
      <c r="C671">
        <v>2</v>
      </c>
      <c r="D671" t="s">
        <v>42</v>
      </c>
      <c r="E671">
        <v>2</v>
      </c>
      <c r="F671">
        <v>1</v>
      </c>
      <c r="G671" s="30">
        <v>69</v>
      </c>
      <c r="H671" s="30">
        <v>25.49</v>
      </c>
      <c r="I671" s="30">
        <v>1102</v>
      </c>
      <c r="J671" s="30">
        <v>28.029</v>
      </c>
      <c r="K671" s="30">
        <v>67.995999999999995</v>
      </c>
      <c r="L671" s="30">
        <v>0.64500000000000002</v>
      </c>
      <c r="M671" s="30">
        <v>711.26</v>
      </c>
      <c r="N671" s="30">
        <v>10.632</v>
      </c>
      <c r="O671" s="29">
        <v>10.308</v>
      </c>
      <c r="P671" s="31">
        <v>69</v>
      </c>
      <c r="Q671" s="31">
        <v>28.029</v>
      </c>
      <c r="R671" s="31">
        <v>167.77099999999999</v>
      </c>
      <c r="S671" s="31">
        <v>543.48900000000003</v>
      </c>
      <c r="T671" s="10" t="b">
        <f t="shared" si="157"/>
        <v>1</v>
      </c>
      <c r="U671" s="10" t="b">
        <f t="shared" si="158"/>
        <v>1</v>
      </c>
      <c r="V671" s="11">
        <f>VLOOKUP(IF(J671&lt;10, 10, IF(J671&gt;50,50,J671)),'Over to underbark'!$A$3:$C$43,IF(A671="Scots pine",3,IF(A671="Sitka spruce",2, "error")),TRUE)/100</f>
        <v>0.9</v>
      </c>
      <c r="W671">
        <f t="shared" si="159"/>
        <v>135.89451</v>
      </c>
      <c r="X671">
        <f t="shared" si="160"/>
        <v>440.22609</v>
      </c>
      <c r="Y671">
        <f t="shared" si="161"/>
        <v>64.01339999999999</v>
      </c>
      <c r="Z671">
        <f t="shared" si="162"/>
        <v>245.18422436850003</v>
      </c>
      <c r="AA671">
        <f t="shared" si="163"/>
        <v>46.955096099999992</v>
      </c>
      <c r="AB671">
        <f t="shared" si="164"/>
        <v>104.9898778515</v>
      </c>
      <c r="AC671">
        <f t="shared" si="165"/>
        <v>243.00480167999999</v>
      </c>
      <c r="AD671">
        <f>LOOKUP($A671,'Over to underbark'!$A$47:$A$48,'Over to underbark'!E$47:E$48)*Z671</f>
        <v>80.910794041605016</v>
      </c>
      <c r="AE671">
        <f>LOOKUP($A671,'Over to underbark'!$A$47:$A$48,'Over to underbark'!E$47:E$48)*AA671</f>
        <v>15.495181712999997</v>
      </c>
      <c r="AF671">
        <f>LOOKUP($A671,'Over to underbark'!$A$47:$A$48,'Over to underbark'!E$47:E$48)*AB671</f>
        <v>34.646659690995001</v>
      </c>
      <c r="AG671">
        <f>LOOKUP($A671,'Over to underbark'!$A$47:$A$48,'Over to underbark'!E$47:E$48)*AC671</f>
        <v>80.191584554399995</v>
      </c>
      <c r="AH671" t="b">
        <f t="shared" si="166"/>
        <v>1</v>
      </c>
      <c r="AI671" t="b">
        <f t="shared" si="167"/>
        <v>1</v>
      </c>
      <c r="AJ671">
        <f>LOOKUP(A671,'Over to underbark'!$A$47:$A$48,'Over to underbark'!E$47:E$48)*M671</f>
        <v>234.7158</v>
      </c>
      <c r="AK671" s="22">
        <f>LOOKUP(A671,'Over to underbark'!$A$47:$A$48,'Over to underbark'!$B$47:$B$48)*AJ671</f>
        <v>75.109055999999995</v>
      </c>
      <c r="AL671" s="22">
        <f>LOOKUP(A671,'Over to underbark'!$A$47:$A$48,'Over to underbark'!C$47:C$48)*AJ671</f>
        <v>115.01074199999999</v>
      </c>
      <c r="AM671" s="22">
        <f t="shared" si="168"/>
        <v>309.82485600000001</v>
      </c>
      <c r="AN671" s="36">
        <v>908</v>
      </c>
      <c r="AO671" s="23">
        <f t="shared" si="169"/>
        <v>619.64971200000002</v>
      </c>
      <c r="AQ671">
        <f t="shared" si="170"/>
        <v>0.68181818181818177</v>
      </c>
    </row>
    <row r="672" spans="1:43" x14ac:dyDescent="0.35">
      <c r="A672" t="s">
        <v>43</v>
      </c>
      <c r="B672">
        <v>12</v>
      </c>
      <c r="C672">
        <v>2</v>
      </c>
      <c r="D672" t="s">
        <v>42</v>
      </c>
      <c r="E672">
        <v>2</v>
      </c>
      <c r="F672">
        <v>1</v>
      </c>
      <c r="G672" s="30">
        <v>70</v>
      </c>
      <c r="H672" s="30">
        <v>25.67</v>
      </c>
      <c r="I672" s="30">
        <v>1092</v>
      </c>
      <c r="J672" s="30">
        <v>28.22</v>
      </c>
      <c r="K672" s="30">
        <v>68.301000000000002</v>
      </c>
      <c r="L672" s="30">
        <v>0.65800000000000003</v>
      </c>
      <c r="M672" s="30">
        <v>718.4</v>
      </c>
      <c r="N672" s="30">
        <v>10.802</v>
      </c>
      <c r="O672" s="29">
        <v>10.263</v>
      </c>
      <c r="P672" s="31">
        <v>70</v>
      </c>
      <c r="Q672" s="31">
        <v>28.22</v>
      </c>
      <c r="R672" s="31">
        <v>165.64500000000001</v>
      </c>
      <c r="S672" s="31">
        <v>552.755</v>
      </c>
      <c r="T672" s="10" t="b">
        <f t="shared" si="157"/>
        <v>1</v>
      </c>
      <c r="U672" s="10" t="b">
        <f t="shared" si="158"/>
        <v>1</v>
      </c>
      <c r="V672" s="11">
        <f>VLOOKUP(IF(J672&lt;10, 10, IF(J672&gt;50,50,J672)),'Over to underbark'!$A$3:$C$43,IF(A672="Scots pine",3,IF(A672="Sitka spruce",2, "error")),TRUE)/100</f>
        <v>0.9</v>
      </c>
      <c r="W672">
        <f t="shared" si="159"/>
        <v>134.17245</v>
      </c>
      <c r="X672">
        <f t="shared" si="160"/>
        <v>447.73155000000003</v>
      </c>
      <c r="Y672">
        <f t="shared" si="161"/>
        <v>64.655999999999977</v>
      </c>
      <c r="Z672">
        <f t="shared" si="162"/>
        <v>247.03026990750004</v>
      </c>
      <c r="AA672">
        <f t="shared" si="163"/>
        <v>47.086969499999988</v>
      </c>
      <c r="AB672">
        <f t="shared" si="164"/>
        <v>105.29494499250001</v>
      </c>
      <c r="AC672">
        <f t="shared" si="165"/>
        <v>247.14781560000003</v>
      </c>
      <c r="AD672">
        <f>LOOKUP($A672,'Over to underbark'!$A$47:$A$48,'Over to underbark'!E$47:E$48)*Z672</f>
        <v>81.519989069475017</v>
      </c>
      <c r="AE672">
        <f>LOOKUP($A672,'Over to underbark'!$A$47:$A$48,'Over to underbark'!E$47:E$48)*AA672</f>
        <v>15.538699934999997</v>
      </c>
      <c r="AF672">
        <f>LOOKUP($A672,'Over to underbark'!$A$47:$A$48,'Over to underbark'!E$47:E$48)*AB672</f>
        <v>34.747331847525004</v>
      </c>
      <c r="AG672">
        <f>LOOKUP($A672,'Over to underbark'!$A$47:$A$48,'Over to underbark'!E$47:E$48)*AC672</f>
        <v>81.558779148000013</v>
      </c>
      <c r="AH672" t="b">
        <f t="shared" si="166"/>
        <v>1</v>
      </c>
      <c r="AI672" t="b">
        <f t="shared" si="167"/>
        <v>1</v>
      </c>
      <c r="AJ672">
        <f>LOOKUP(A672,'Over to underbark'!$A$47:$A$48,'Over to underbark'!E$47:E$48)*M672</f>
        <v>237.072</v>
      </c>
      <c r="AK672" s="22">
        <f>LOOKUP(A672,'Over to underbark'!$A$47:$A$48,'Over to underbark'!$B$47:$B$48)*AJ672</f>
        <v>75.863039999999998</v>
      </c>
      <c r="AL672" s="22">
        <f>LOOKUP(A672,'Over to underbark'!$A$47:$A$48,'Over to underbark'!C$47:C$48)*AJ672</f>
        <v>116.16528</v>
      </c>
      <c r="AM672" s="22">
        <f t="shared" si="168"/>
        <v>312.93504000000001</v>
      </c>
      <c r="AN672" s="36">
        <v>909</v>
      </c>
      <c r="AO672" s="23">
        <f t="shared" si="169"/>
        <v>625.87008000000003</v>
      </c>
      <c r="AQ672">
        <f t="shared" si="170"/>
        <v>0.68181818181818188</v>
      </c>
    </row>
    <row r="673" spans="1:43" x14ac:dyDescent="0.35">
      <c r="A673" t="s">
        <v>43</v>
      </c>
      <c r="B673">
        <v>12</v>
      </c>
      <c r="C673">
        <v>2</v>
      </c>
      <c r="D673" t="s">
        <v>42</v>
      </c>
      <c r="E673">
        <v>2</v>
      </c>
      <c r="F673">
        <v>1</v>
      </c>
      <c r="G673" s="30">
        <v>71</v>
      </c>
      <c r="H673" s="30">
        <v>25.838000000000001</v>
      </c>
      <c r="I673" s="30">
        <v>1082</v>
      </c>
      <c r="J673" s="30">
        <v>28.402999999999999</v>
      </c>
      <c r="K673" s="30">
        <v>68.554000000000002</v>
      </c>
      <c r="L673" s="30">
        <v>0.67</v>
      </c>
      <c r="M673" s="30">
        <v>724.82</v>
      </c>
      <c r="N673" s="30">
        <v>10.954000000000001</v>
      </c>
      <c r="O673" s="29">
        <v>10.209</v>
      </c>
      <c r="P673" s="31">
        <v>71</v>
      </c>
      <c r="Q673" s="31">
        <v>28.402999999999999</v>
      </c>
      <c r="R673" s="31">
        <v>163.51400000000001</v>
      </c>
      <c r="S673" s="31">
        <v>561.30600000000004</v>
      </c>
      <c r="T673" s="10" t="b">
        <f t="shared" si="157"/>
        <v>1</v>
      </c>
      <c r="U673" s="10" t="b">
        <f t="shared" si="158"/>
        <v>1</v>
      </c>
      <c r="V673" s="11">
        <f>VLOOKUP(IF(J673&lt;10, 10, IF(J673&gt;50,50,J673)),'Over to underbark'!$A$3:$C$43,IF(A673="Scots pine",3,IF(A673="Sitka spruce",2, "error")),TRUE)/100</f>
        <v>0.9</v>
      </c>
      <c r="W673">
        <f t="shared" si="159"/>
        <v>132.44634000000002</v>
      </c>
      <c r="X673">
        <f t="shared" si="160"/>
        <v>454.65786000000003</v>
      </c>
      <c r="Y673">
        <f t="shared" si="161"/>
        <v>65.233799999999988</v>
      </c>
      <c r="Z673">
        <f t="shared" si="162"/>
        <v>248.65473447900001</v>
      </c>
      <c r="AA673">
        <f t="shared" si="163"/>
        <v>47.185997399999998</v>
      </c>
      <c r="AB673">
        <f t="shared" si="164"/>
        <v>105.52612940100002</v>
      </c>
      <c r="AC673">
        <f t="shared" si="165"/>
        <v>250.97113872</v>
      </c>
      <c r="AD673">
        <f>LOOKUP($A673,'Over to underbark'!$A$47:$A$48,'Over to underbark'!E$47:E$48)*Z673</f>
        <v>82.05606237807001</v>
      </c>
      <c r="AE673">
        <f>LOOKUP($A673,'Over to underbark'!$A$47:$A$48,'Over to underbark'!E$47:E$48)*AA673</f>
        <v>15.571379142</v>
      </c>
      <c r="AF673">
        <f>LOOKUP($A673,'Over to underbark'!$A$47:$A$48,'Over to underbark'!E$47:E$48)*AB673</f>
        <v>34.823622702330006</v>
      </c>
      <c r="AG673">
        <f>LOOKUP($A673,'Over to underbark'!$A$47:$A$48,'Over to underbark'!E$47:E$48)*AC673</f>
        <v>82.820475777600009</v>
      </c>
      <c r="AH673" t="b">
        <f t="shared" si="166"/>
        <v>1</v>
      </c>
      <c r="AI673" t="b">
        <f t="shared" si="167"/>
        <v>1</v>
      </c>
      <c r="AJ673">
        <f>LOOKUP(A673,'Over to underbark'!$A$47:$A$48,'Over to underbark'!E$47:E$48)*M673</f>
        <v>239.19060000000002</v>
      </c>
      <c r="AK673" s="22">
        <f>LOOKUP(A673,'Over to underbark'!$A$47:$A$48,'Over to underbark'!$B$47:$B$48)*AJ673</f>
        <v>76.540992000000003</v>
      </c>
      <c r="AL673" s="22">
        <f>LOOKUP(A673,'Over to underbark'!$A$47:$A$48,'Over to underbark'!C$47:C$48)*AJ673</f>
        <v>117.203394</v>
      </c>
      <c r="AM673" s="22">
        <f t="shared" si="168"/>
        <v>315.73159200000003</v>
      </c>
      <c r="AN673" s="36">
        <v>910</v>
      </c>
      <c r="AO673" s="23">
        <f t="shared" si="169"/>
        <v>631.46318400000007</v>
      </c>
      <c r="AQ673">
        <f t="shared" si="170"/>
        <v>0.68181818181818177</v>
      </c>
    </row>
    <row r="674" spans="1:43" x14ac:dyDescent="0.35">
      <c r="A674" t="s">
        <v>43</v>
      </c>
      <c r="B674">
        <v>12</v>
      </c>
      <c r="C674">
        <v>2</v>
      </c>
      <c r="D674" t="s">
        <v>42</v>
      </c>
      <c r="E674">
        <v>2</v>
      </c>
      <c r="F674">
        <v>1</v>
      </c>
      <c r="G674" s="30">
        <v>72</v>
      </c>
      <c r="H674" s="30">
        <v>26.006</v>
      </c>
      <c r="I674" s="30">
        <v>1073</v>
      </c>
      <c r="J674" s="30">
        <v>28.574000000000002</v>
      </c>
      <c r="K674" s="30">
        <v>68.808000000000007</v>
      </c>
      <c r="L674" s="30">
        <v>0.68100000000000005</v>
      </c>
      <c r="M674" s="30">
        <v>731.24</v>
      </c>
      <c r="N674" s="30">
        <v>11.102</v>
      </c>
      <c r="O674" s="29">
        <v>10.156000000000001</v>
      </c>
      <c r="P674" s="31">
        <v>72</v>
      </c>
      <c r="Q674" s="31">
        <v>28.574000000000002</v>
      </c>
      <c r="R674" s="31">
        <v>161.62200000000001</v>
      </c>
      <c r="S674" s="31">
        <v>569.61800000000005</v>
      </c>
      <c r="T674" s="10" t="b">
        <f t="shared" si="157"/>
        <v>1</v>
      </c>
      <c r="U674" s="10" t="b">
        <f t="shared" si="158"/>
        <v>1</v>
      </c>
      <c r="V674" s="11">
        <f>VLOOKUP(IF(J674&lt;10, 10, IF(J674&gt;50,50,J674)),'Over to underbark'!$A$3:$C$43,IF(A674="Scots pine",3,IF(A674="Sitka spruce",2, "error")),TRUE)/100</f>
        <v>0.9</v>
      </c>
      <c r="W674">
        <f t="shared" si="159"/>
        <v>130.91382000000004</v>
      </c>
      <c r="X674">
        <f t="shared" si="160"/>
        <v>461.39058</v>
      </c>
      <c r="Y674">
        <f t="shared" si="161"/>
        <v>65.811599999999984</v>
      </c>
      <c r="Z674">
        <f t="shared" si="162"/>
        <v>250.31779121700001</v>
      </c>
      <c r="AA674">
        <f t="shared" si="163"/>
        <v>47.306320199999995</v>
      </c>
      <c r="AB674">
        <f t="shared" si="164"/>
        <v>105.804288423</v>
      </c>
      <c r="AC674">
        <f t="shared" si="165"/>
        <v>254.68760015999999</v>
      </c>
      <c r="AD674">
        <f>LOOKUP($A674,'Over to underbark'!$A$47:$A$48,'Over to underbark'!E$47:E$48)*Z674</f>
        <v>82.604871101610001</v>
      </c>
      <c r="AE674">
        <f>LOOKUP($A674,'Over to underbark'!$A$47:$A$48,'Over to underbark'!E$47:E$48)*AA674</f>
        <v>15.611085665999999</v>
      </c>
      <c r="AF674">
        <f>LOOKUP($A674,'Over to underbark'!$A$47:$A$48,'Over to underbark'!E$47:E$48)*AB674</f>
        <v>34.915415179589999</v>
      </c>
      <c r="AG674">
        <f>LOOKUP($A674,'Over to underbark'!$A$47:$A$48,'Over to underbark'!E$47:E$48)*AC674</f>
        <v>84.046908052800006</v>
      </c>
      <c r="AH674" t="b">
        <f t="shared" si="166"/>
        <v>1</v>
      </c>
      <c r="AI674" t="b">
        <f t="shared" si="167"/>
        <v>1</v>
      </c>
      <c r="AJ674">
        <f>LOOKUP(A674,'Over to underbark'!$A$47:$A$48,'Over to underbark'!E$47:E$48)*M674</f>
        <v>241.3092</v>
      </c>
      <c r="AK674" s="22">
        <f>LOOKUP(A674,'Over to underbark'!$A$47:$A$48,'Over to underbark'!$B$47:$B$48)*AJ674</f>
        <v>77.218944000000008</v>
      </c>
      <c r="AL674" s="22">
        <f>LOOKUP(A674,'Over to underbark'!$A$47:$A$48,'Over to underbark'!C$47:C$48)*AJ674</f>
        <v>118.241508</v>
      </c>
      <c r="AM674" s="22">
        <f t="shared" si="168"/>
        <v>318.528144</v>
      </c>
      <c r="AN674" s="36">
        <v>911</v>
      </c>
      <c r="AO674" s="23">
        <f t="shared" si="169"/>
        <v>637.056288</v>
      </c>
      <c r="AQ674">
        <f t="shared" si="170"/>
        <v>0.68181818181818188</v>
      </c>
    </row>
    <row r="675" spans="1:43" x14ac:dyDescent="0.35">
      <c r="A675" t="s">
        <v>43</v>
      </c>
      <c r="B675">
        <v>12</v>
      </c>
      <c r="C675">
        <v>2</v>
      </c>
      <c r="D675" t="s">
        <v>42</v>
      </c>
      <c r="E675">
        <v>2</v>
      </c>
      <c r="F675">
        <v>1</v>
      </c>
      <c r="G675" s="30">
        <v>73</v>
      </c>
      <c r="H675" s="30">
        <v>26.173999999999999</v>
      </c>
      <c r="I675" s="30">
        <v>1064</v>
      </c>
      <c r="J675" s="30">
        <v>28.748000000000001</v>
      </c>
      <c r="K675" s="30">
        <v>69.061000000000007</v>
      </c>
      <c r="L675" s="30">
        <v>0.69299999999999995</v>
      </c>
      <c r="M675" s="30">
        <v>737.66</v>
      </c>
      <c r="N675" s="30">
        <v>11.247</v>
      </c>
      <c r="O675" s="29">
        <v>10.105</v>
      </c>
      <c r="P675" s="31">
        <v>73</v>
      </c>
      <c r="Q675" s="31">
        <v>28.748000000000001</v>
      </c>
      <c r="R675" s="31">
        <v>159.67400000000001</v>
      </c>
      <c r="S675" s="31">
        <v>577.98599999999999</v>
      </c>
      <c r="T675" s="10" t="b">
        <f t="shared" si="157"/>
        <v>1</v>
      </c>
      <c r="U675" s="10" t="b">
        <f t="shared" si="158"/>
        <v>1</v>
      </c>
      <c r="V675" s="11">
        <f>VLOOKUP(IF(J675&lt;10, 10, IF(J675&gt;50,50,J675)),'Over to underbark'!$A$3:$C$43,IF(A675="Scots pine",3,IF(A675="Sitka spruce",2, "error")),TRUE)/100</f>
        <v>0.9</v>
      </c>
      <c r="W675">
        <f t="shared" si="159"/>
        <v>129.33594000000002</v>
      </c>
      <c r="X675">
        <f t="shared" si="160"/>
        <v>468.16866000000005</v>
      </c>
      <c r="Y675">
        <f t="shared" si="161"/>
        <v>66.389399999999981</v>
      </c>
      <c r="Z675">
        <f t="shared" si="162"/>
        <v>251.97180543900004</v>
      </c>
      <c r="AA675">
        <f t="shared" si="163"/>
        <v>47.421653399999997</v>
      </c>
      <c r="AB675">
        <f t="shared" si="164"/>
        <v>106.07144084100003</v>
      </c>
      <c r="AC675">
        <f t="shared" si="165"/>
        <v>258.42910032000003</v>
      </c>
      <c r="AD675">
        <f>LOOKUP($A675,'Over to underbark'!$A$47:$A$48,'Over to underbark'!E$47:E$48)*Z675</f>
        <v>83.150695794870018</v>
      </c>
      <c r="AE675">
        <f>LOOKUP($A675,'Over to underbark'!$A$47:$A$48,'Over to underbark'!E$47:E$48)*AA675</f>
        <v>15.649145621999999</v>
      </c>
      <c r="AF675">
        <f>LOOKUP($A675,'Over to underbark'!$A$47:$A$48,'Over to underbark'!E$47:E$48)*AB675</f>
        <v>35.003575477530013</v>
      </c>
      <c r="AG675">
        <f>LOOKUP($A675,'Over to underbark'!$A$47:$A$48,'Over to underbark'!E$47:E$48)*AC675</f>
        <v>85.281603105600013</v>
      </c>
      <c r="AH675" t="b">
        <f t="shared" si="166"/>
        <v>1</v>
      </c>
      <c r="AI675" t="b">
        <f t="shared" si="167"/>
        <v>1</v>
      </c>
      <c r="AJ675">
        <f>LOOKUP(A675,'Over to underbark'!$A$47:$A$48,'Over to underbark'!E$47:E$48)*M675</f>
        <v>243.42779999999999</v>
      </c>
      <c r="AK675" s="22">
        <f>LOOKUP(A675,'Over to underbark'!$A$47:$A$48,'Over to underbark'!$B$47:$B$48)*AJ675</f>
        <v>77.896895999999998</v>
      </c>
      <c r="AL675" s="22">
        <f>LOOKUP(A675,'Over to underbark'!$A$47:$A$48,'Over to underbark'!C$47:C$48)*AJ675</f>
        <v>119.27962199999999</v>
      </c>
      <c r="AM675" s="22">
        <f t="shared" si="168"/>
        <v>321.32469600000002</v>
      </c>
      <c r="AN675" s="36">
        <v>912</v>
      </c>
      <c r="AO675" s="23">
        <f t="shared" si="169"/>
        <v>642.64939200000003</v>
      </c>
      <c r="AQ675">
        <f t="shared" si="170"/>
        <v>0.68181818181818188</v>
      </c>
    </row>
    <row r="676" spans="1:43" x14ac:dyDescent="0.35">
      <c r="A676" t="s">
        <v>43</v>
      </c>
      <c r="B676">
        <v>12</v>
      </c>
      <c r="C676">
        <v>2</v>
      </c>
      <c r="D676" t="s">
        <v>42</v>
      </c>
      <c r="E676">
        <v>2</v>
      </c>
      <c r="F676">
        <v>1</v>
      </c>
      <c r="G676" s="30">
        <v>74</v>
      </c>
      <c r="H676" s="30">
        <v>26.341999999999999</v>
      </c>
      <c r="I676" s="30">
        <v>1055</v>
      </c>
      <c r="J676" s="30">
        <v>28.922999999999998</v>
      </c>
      <c r="K676" s="30">
        <v>69.313999999999993</v>
      </c>
      <c r="L676" s="30">
        <v>0.70499999999999996</v>
      </c>
      <c r="M676" s="30">
        <v>744.08</v>
      </c>
      <c r="N676" s="30">
        <v>11.39</v>
      </c>
      <c r="O676" s="29">
        <v>10.055</v>
      </c>
      <c r="P676" s="31">
        <v>74</v>
      </c>
      <c r="Q676" s="31">
        <v>28.922999999999998</v>
      </c>
      <c r="R676" s="31">
        <v>157.71199999999999</v>
      </c>
      <c r="S676" s="31">
        <v>586.36800000000005</v>
      </c>
      <c r="T676" s="10" t="b">
        <f t="shared" si="157"/>
        <v>1</v>
      </c>
      <c r="U676" s="10" t="b">
        <f t="shared" si="158"/>
        <v>1</v>
      </c>
      <c r="V676" s="11">
        <f>VLOOKUP(IF(J676&lt;10, 10, IF(J676&gt;50,50,J676)),'Over to underbark'!$A$3:$C$43,IF(A676="Scots pine",3,IF(A676="Sitka spruce",2, "error")),TRUE)/100</f>
        <v>0.9</v>
      </c>
      <c r="W676">
        <f t="shared" si="159"/>
        <v>127.74672</v>
      </c>
      <c r="X676">
        <f t="shared" si="160"/>
        <v>474.95808000000005</v>
      </c>
      <c r="Y676">
        <f t="shared" si="161"/>
        <v>66.967199999999991</v>
      </c>
      <c r="Z676">
        <f t="shared" si="162"/>
        <v>253.62355903200003</v>
      </c>
      <c r="AA676">
        <f t="shared" si="163"/>
        <v>47.535739199999995</v>
      </c>
      <c r="AB676">
        <f t="shared" si="164"/>
        <v>106.33584160800001</v>
      </c>
      <c r="AC676">
        <f t="shared" si="165"/>
        <v>262.17686016000005</v>
      </c>
      <c r="AD676">
        <f>LOOKUP($A676,'Over to underbark'!$A$47:$A$48,'Over to underbark'!E$47:E$48)*Z676</f>
        <v>83.695774480560019</v>
      </c>
      <c r="AE676">
        <f>LOOKUP($A676,'Over to underbark'!$A$47:$A$48,'Over to underbark'!E$47:E$48)*AA676</f>
        <v>15.686793935999999</v>
      </c>
      <c r="AF676">
        <f>LOOKUP($A676,'Over to underbark'!$A$47:$A$48,'Over to underbark'!E$47:E$48)*AB676</f>
        <v>35.090827730640008</v>
      </c>
      <c r="AG676">
        <f>LOOKUP($A676,'Over to underbark'!$A$47:$A$48,'Over to underbark'!E$47:E$48)*AC676</f>
        <v>86.518363852800022</v>
      </c>
      <c r="AH676" t="b">
        <f t="shared" si="166"/>
        <v>1</v>
      </c>
      <c r="AI676" t="b">
        <f t="shared" si="167"/>
        <v>1</v>
      </c>
      <c r="AJ676">
        <f>LOOKUP(A676,'Over to underbark'!$A$47:$A$48,'Over to underbark'!E$47:E$48)*M676</f>
        <v>245.54640000000003</v>
      </c>
      <c r="AK676" s="22">
        <f>LOOKUP(A676,'Over to underbark'!$A$47:$A$48,'Over to underbark'!$B$47:$B$48)*AJ676</f>
        <v>78.574848000000017</v>
      </c>
      <c r="AL676" s="22">
        <f>LOOKUP(A676,'Over to underbark'!$A$47:$A$48,'Over to underbark'!C$47:C$48)*AJ676</f>
        <v>120.31773600000001</v>
      </c>
      <c r="AM676" s="22">
        <f t="shared" si="168"/>
        <v>324.12124800000004</v>
      </c>
      <c r="AN676" s="36">
        <v>913</v>
      </c>
      <c r="AO676" s="23">
        <f t="shared" si="169"/>
        <v>648.24249600000007</v>
      </c>
      <c r="AQ676">
        <f t="shared" si="170"/>
        <v>0.68181818181818188</v>
      </c>
    </row>
    <row r="677" spans="1:43" x14ac:dyDescent="0.35">
      <c r="A677" t="s">
        <v>43</v>
      </c>
      <c r="B677">
        <v>12</v>
      </c>
      <c r="C677">
        <v>2</v>
      </c>
      <c r="D677" t="s">
        <v>42</v>
      </c>
      <c r="E677">
        <v>2</v>
      </c>
      <c r="F677">
        <v>1</v>
      </c>
      <c r="G677" s="30">
        <v>75</v>
      </c>
      <c r="H677" s="30">
        <v>26.51</v>
      </c>
      <c r="I677" s="30">
        <v>1046</v>
      </c>
      <c r="J677" s="30">
        <v>29.1</v>
      </c>
      <c r="K677" s="30">
        <v>69.567999999999998</v>
      </c>
      <c r="L677" s="30">
        <v>0.71699999999999997</v>
      </c>
      <c r="M677" s="30">
        <v>750.5</v>
      </c>
      <c r="N677" s="30">
        <v>11.529</v>
      </c>
      <c r="O677" s="29">
        <v>10.007</v>
      </c>
      <c r="P677" s="31">
        <v>75</v>
      </c>
      <c r="Q677" s="31">
        <v>29.1</v>
      </c>
      <c r="R677" s="31">
        <v>155.71700000000001</v>
      </c>
      <c r="S677" s="31">
        <v>594.78300000000002</v>
      </c>
      <c r="T677" s="10" t="b">
        <f t="shared" si="157"/>
        <v>1</v>
      </c>
      <c r="U677" s="10" t="b">
        <f t="shared" si="158"/>
        <v>1</v>
      </c>
      <c r="V677" s="11">
        <f>VLOOKUP(IF(J677&lt;10, 10, IF(J677&gt;50,50,J677)),'Over to underbark'!$A$3:$C$43,IF(A677="Scots pine",3,IF(A677="Sitka spruce",2, "error")),TRUE)/100</f>
        <v>0.9</v>
      </c>
      <c r="W677">
        <f t="shared" si="159"/>
        <v>126.13077000000003</v>
      </c>
      <c r="X677">
        <f t="shared" si="160"/>
        <v>481.77423000000005</v>
      </c>
      <c r="Y677">
        <f t="shared" si="161"/>
        <v>67.544999999999987</v>
      </c>
      <c r="Z677">
        <f t="shared" si="162"/>
        <v>255.26998399950003</v>
      </c>
      <c r="AA677">
        <f t="shared" si="163"/>
        <v>47.646884700000001</v>
      </c>
      <c r="AB677">
        <f t="shared" si="164"/>
        <v>106.59375634050002</v>
      </c>
      <c r="AC677">
        <f t="shared" si="165"/>
        <v>265.93937496000001</v>
      </c>
      <c r="AD677">
        <f>LOOKUP($A677,'Over to underbark'!$A$47:$A$48,'Over to underbark'!E$47:E$48)*Z677</f>
        <v>84.239094719835009</v>
      </c>
      <c r="AE677">
        <f>LOOKUP($A677,'Over to underbark'!$A$47:$A$48,'Over to underbark'!E$47:E$48)*AA677</f>
        <v>15.723471951000001</v>
      </c>
      <c r="AF677">
        <f>LOOKUP($A677,'Over to underbark'!$A$47:$A$48,'Over to underbark'!E$47:E$48)*AB677</f>
        <v>35.175939592365012</v>
      </c>
      <c r="AG677">
        <f>LOOKUP($A677,'Over to underbark'!$A$47:$A$48,'Over to underbark'!E$47:E$48)*AC677</f>
        <v>87.759993736800013</v>
      </c>
      <c r="AH677" t="b">
        <f t="shared" si="166"/>
        <v>1</v>
      </c>
      <c r="AI677" t="b">
        <f t="shared" si="167"/>
        <v>1</v>
      </c>
      <c r="AJ677">
        <f>LOOKUP(A677,'Over to underbark'!$A$47:$A$48,'Over to underbark'!E$47:E$48)*M677</f>
        <v>247.66500000000002</v>
      </c>
      <c r="AK677" s="22">
        <f>LOOKUP(A677,'Over to underbark'!$A$47:$A$48,'Over to underbark'!$B$47:$B$48)*AJ677</f>
        <v>79.252800000000008</v>
      </c>
      <c r="AL677" s="22">
        <f>LOOKUP(A677,'Over to underbark'!$A$47:$A$48,'Over to underbark'!C$47:C$48)*AJ677</f>
        <v>121.35585</v>
      </c>
      <c r="AM677" s="22">
        <f t="shared" si="168"/>
        <v>326.91780000000006</v>
      </c>
      <c r="AN677" s="36">
        <v>914</v>
      </c>
      <c r="AO677" s="23">
        <f t="shared" si="169"/>
        <v>653.83560000000011</v>
      </c>
      <c r="AQ677">
        <f t="shared" si="170"/>
        <v>0.68181818181818177</v>
      </c>
    </row>
    <row r="678" spans="1:43" x14ac:dyDescent="0.35">
      <c r="A678" t="s">
        <v>43</v>
      </c>
      <c r="B678">
        <v>14</v>
      </c>
      <c r="C678">
        <v>2</v>
      </c>
      <c r="D678" t="s">
        <v>42</v>
      </c>
      <c r="E678">
        <v>2</v>
      </c>
      <c r="F678">
        <v>1</v>
      </c>
      <c r="G678" s="30">
        <v>18</v>
      </c>
      <c r="H678" s="30">
        <v>7.31</v>
      </c>
      <c r="I678" s="30">
        <v>2311</v>
      </c>
      <c r="J678" s="30">
        <v>11.44</v>
      </c>
      <c r="K678" s="30">
        <v>23.754000000000001</v>
      </c>
      <c r="L678" s="30">
        <v>2.9000000000000001E-2</v>
      </c>
      <c r="M678" s="30">
        <v>65.900000000000006</v>
      </c>
      <c r="N678" s="30">
        <v>0</v>
      </c>
      <c r="O678" s="29">
        <v>3.661</v>
      </c>
      <c r="P678" s="31">
        <v>18</v>
      </c>
      <c r="Q678" s="31">
        <v>11.44</v>
      </c>
      <c r="R678" s="31">
        <v>65.900000000000006</v>
      </c>
      <c r="S678" s="31">
        <v>0</v>
      </c>
      <c r="T678" s="10" t="b">
        <f t="shared" ref="T678:T738" si="171">G678=P678</f>
        <v>1</v>
      </c>
      <c r="U678" s="10" t="b">
        <f t="shared" ref="U678:U738" si="172">J678=Q678</f>
        <v>1</v>
      </c>
      <c r="V678" s="11">
        <f>VLOOKUP(IF(J678&lt;10, 10, IF(J678&gt;50,50,J678)),'Over to underbark'!$A$3:$C$43,IF(A678="Scots pine",3,IF(A678="Sitka spruce",2, "error")),TRUE)/100</f>
        <v>0.82</v>
      </c>
      <c r="W678">
        <f t="shared" si="159"/>
        <v>48.634200000000007</v>
      </c>
      <c r="X678">
        <f t="shared" si="160"/>
        <v>0</v>
      </c>
      <c r="Y678">
        <f t="shared" si="161"/>
        <v>10.675800000000004</v>
      </c>
      <c r="Z678">
        <f t="shared" si="162"/>
        <v>30.741974370000008</v>
      </c>
      <c r="AA678">
        <f t="shared" si="163"/>
        <v>10.687662000000003</v>
      </c>
      <c r="AB678">
        <f t="shared" si="164"/>
        <v>17.880363630000002</v>
      </c>
      <c r="AC678">
        <f t="shared" si="165"/>
        <v>0</v>
      </c>
      <c r="AD678">
        <f>LOOKUP($A678,'Over to underbark'!$A$47:$A$48,'Over to underbark'!E$47:E$48)*Z678</f>
        <v>10.144851542100003</v>
      </c>
      <c r="AE678">
        <f>LOOKUP($A678,'Over to underbark'!$A$47:$A$48,'Over to underbark'!E$47:E$48)*AA678</f>
        <v>3.526928460000001</v>
      </c>
      <c r="AF678">
        <f>LOOKUP($A678,'Over to underbark'!$A$47:$A$48,'Over to underbark'!E$47:E$48)*AB678</f>
        <v>5.9005199979000009</v>
      </c>
      <c r="AG678">
        <f>LOOKUP($A678,'Over to underbark'!$A$47:$A$48,'Over to underbark'!E$47:E$48)*AC678</f>
        <v>0</v>
      </c>
      <c r="AH678" t="b">
        <f t="shared" si="166"/>
        <v>1</v>
      </c>
      <c r="AI678" t="b">
        <f t="shared" si="167"/>
        <v>1</v>
      </c>
      <c r="AJ678">
        <f>LOOKUP(A678,'Over to underbark'!$A$47:$A$48,'Over to underbark'!E$47:E$48)*M678</f>
        <v>21.747000000000003</v>
      </c>
      <c r="AK678" s="22">
        <f>LOOKUP(A678,'Over to underbark'!$A$47:$A$48,'Over to underbark'!$B$47:$B$48)*AJ678</f>
        <v>6.9590400000000017</v>
      </c>
      <c r="AL678" s="22">
        <f>LOOKUP(A678,'Over to underbark'!$A$47:$A$48,'Over to underbark'!C$47:C$48)*AJ678</f>
        <v>10.656030000000001</v>
      </c>
      <c r="AM678" s="22">
        <f t="shared" si="168"/>
        <v>28.706040000000005</v>
      </c>
      <c r="AN678" s="36">
        <v>915</v>
      </c>
      <c r="AO678" s="23">
        <f t="shared" si="169"/>
        <v>57.41208000000001</v>
      </c>
      <c r="AQ678">
        <f t="shared" si="170"/>
        <v>0.68181818181818188</v>
      </c>
    </row>
    <row r="679" spans="1:43" x14ac:dyDescent="0.35">
      <c r="A679" t="s">
        <v>43</v>
      </c>
      <c r="B679">
        <v>14</v>
      </c>
      <c r="C679">
        <v>2</v>
      </c>
      <c r="D679" t="s">
        <v>42</v>
      </c>
      <c r="E679">
        <v>2</v>
      </c>
      <c r="F679">
        <v>1</v>
      </c>
      <c r="G679" s="30">
        <v>19</v>
      </c>
      <c r="H679" s="30">
        <v>7.8879999999999999</v>
      </c>
      <c r="I679" s="30">
        <v>2298</v>
      </c>
      <c r="J679" s="30">
        <v>12.013</v>
      </c>
      <c r="K679" s="30">
        <v>26.047000000000001</v>
      </c>
      <c r="L679" s="30">
        <v>3.5000000000000003E-2</v>
      </c>
      <c r="M679" s="30">
        <v>80.540000000000006</v>
      </c>
      <c r="N679" s="30">
        <v>0</v>
      </c>
      <c r="O679" s="29">
        <v>4.2389999999999999</v>
      </c>
      <c r="P679" s="31">
        <v>19</v>
      </c>
      <c r="Q679" s="31">
        <v>12.013</v>
      </c>
      <c r="R679" s="31">
        <v>80.540000000000006</v>
      </c>
      <c r="S679" s="31">
        <v>0</v>
      </c>
      <c r="T679" s="10" t="b">
        <f t="shared" si="171"/>
        <v>1</v>
      </c>
      <c r="U679" s="10" t="b">
        <f t="shared" si="172"/>
        <v>1</v>
      </c>
      <c r="V679" s="11">
        <f>VLOOKUP(IF(J679&lt;10, 10, IF(J679&gt;50,50,J679)),'Over to underbark'!$A$3:$C$43,IF(A679="Scots pine",3,IF(A679="Sitka spruce",2, "error")),TRUE)/100</f>
        <v>0.87</v>
      </c>
      <c r="W679">
        <f t="shared" si="159"/>
        <v>63.062820000000002</v>
      </c>
      <c r="X679">
        <f t="shared" si="160"/>
        <v>0</v>
      </c>
      <c r="Y679">
        <f t="shared" si="161"/>
        <v>9.4231800000000003</v>
      </c>
      <c r="Z679">
        <f t="shared" si="162"/>
        <v>37.652454026999997</v>
      </c>
      <c r="AA679">
        <f t="shared" si="163"/>
        <v>11.648500200000001</v>
      </c>
      <c r="AB679">
        <f t="shared" si="164"/>
        <v>23.185045772999999</v>
      </c>
      <c r="AC679">
        <f t="shared" si="165"/>
        <v>0</v>
      </c>
      <c r="AD679">
        <f>LOOKUP($A679,'Over to underbark'!$A$47:$A$48,'Over to underbark'!E$47:E$48)*Z679</f>
        <v>12.425309828910001</v>
      </c>
      <c r="AE679">
        <f>LOOKUP($A679,'Over to underbark'!$A$47:$A$48,'Over to underbark'!E$47:E$48)*AA679</f>
        <v>3.8440050660000002</v>
      </c>
      <c r="AF679">
        <f>LOOKUP($A679,'Over to underbark'!$A$47:$A$48,'Over to underbark'!E$47:E$48)*AB679</f>
        <v>7.6510651050899998</v>
      </c>
      <c r="AG679">
        <f>LOOKUP($A679,'Over to underbark'!$A$47:$A$48,'Over to underbark'!E$47:E$48)*AC679</f>
        <v>0</v>
      </c>
      <c r="AH679" t="b">
        <f t="shared" si="166"/>
        <v>1</v>
      </c>
      <c r="AI679" t="b">
        <f t="shared" si="167"/>
        <v>1</v>
      </c>
      <c r="AJ679">
        <f>LOOKUP(A679,'Over to underbark'!$A$47:$A$48,'Over to underbark'!E$47:E$48)*M679</f>
        <v>26.578200000000002</v>
      </c>
      <c r="AK679" s="22">
        <f>LOOKUP(A679,'Over to underbark'!$A$47:$A$48,'Over to underbark'!$B$47:$B$48)*AJ679</f>
        <v>8.5050240000000006</v>
      </c>
      <c r="AL679" s="22">
        <f>LOOKUP(A679,'Over to underbark'!$A$47:$A$48,'Over to underbark'!C$47:C$48)*AJ679</f>
        <v>13.023318000000002</v>
      </c>
      <c r="AM679" s="22">
        <f t="shared" si="168"/>
        <v>35.083224000000001</v>
      </c>
      <c r="AN679" s="36">
        <v>916</v>
      </c>
      <c r="AO679" s="23">
        <f t="shared" si="169"/>
        <v>70.166448000000003</v>
      </c>
      <c r="AQ679">
        <f t="shared" si="170"/>
        <v>0.68181818181818188</v>
      </c>
    </row>
    <row r="680" spans="1:43" x14ac:dyDescent="0.35">
      <c r="A680" t="s">
        <v>43</v>
      </c>
      <c r="B680">
        <v>14</v>
      </c>
      <c r="C680">
        <v>2</v>
      </c>
      <c r="D680" t="s">
        <v>42</v>
      </c>
      <c r="E680">
        <v>2</v>
      </c>
      <c r="F680">
        <v>1</v>
      </c>
      <c r="G680" s="30">
        <v>20</v>
      </c>
      <c r="H680" s="30">
        <v>8.4659999999999993</v>
      </c>
      <c r="I680" s="30">
        <v>2285</v>
      </c>
      <c r="J680" s="30">
        <v>12.567</v>
      </c>
      <c r="K680" s="30">
        <v>28.34</v>
      </c>
      <c r="L680" s="30">
        <v>4.2000000000000003E-2</v>
      </c>
      <c r="M680" s="30">
        <v>95.18</v>
      </c>
      <c r="N680" s="30">
        <v>0</v>
      </c>
      <c r="O680" s="29">
        <v>4.7590000000000003</v>
      </c>
      <c r="P680" s="31">
        <v>20</v>
      </c>
      <c r="Q680" s="31">
        <v>12.567</v>
      </c>
      <c r="R680" s="31">
        <v>95.18</v>
      </c>
      <c r="S680" s="31">
        <v>0</v>
      </c>
      <c r="T680" s="10" t="b">
        <f t="shared" si="171"/>
        <v>1</v>
      </c>
      <c r="U680" s="10" t="b">
        <f t="shared" si="172"/>
        <v>1</v>
      </c>
      <c r="V680" s="11">
        <f>VLOOKUP(IF(J680&lt;10, 10, IF(J680&gt;50,50,J680)),'Over to underbark'!$A$3:$C$43,IF(A680="Scots pine",3,IF(A680="Sitka spruce",2, "error")),TRUE)/100</f>
        <v>0.87</v>
      </c>
      <c r="W680">
        <f t="shared" si="159"/>
        <v>74.525940000000006</v>
      </c>
      <c r="X680">
        <f t="shared" si="160"/>
        <v>0</v>
      </c>
      <c r="Y680">
        <f t="shared" si="161"/>
        <v>11.136060000000001</v>
      </c>
      <c r="Z680">
        <f t="shared" si="162"/>
        <v>44.496654759000009</v>
      </c>
      <c r="AA680">
        <f t="shared" si="163"/>
        <v>13.765883400000002</v>
      </c>
      <c r="AB680">
        <f t="shared" si="164"/>
        <v>27.399461841000001</v>
      </c>
      <c r="AC680">
        <f t="shared" si="165"/>
        <v>0</v>
      </c>
      <c r="AD680">
        <f>LOOKUP($A680,'Over to underbark'!$A$47:$A$48,'Over to underbark'!E$47:E$48)*Z680</f>
        <v>14.683896070470004</v>
      </c>
      <c r="AE680">
        <f>LOOKUP($A680,'Over to underbark'!$A$47:$A$48,'Over to underbark'!E$47:E$48)*AA680</f>
        <v>4.5427415220000009</v>
      </c>
      <c r="AF680">
        <f>LOOKUP($A680,'Over to underbark'!$A$47:$A$48,'Over to underbark'!E$47:E$48)*AB680</f>
        <v>9.0418224075300007</v>
      </c>
      <c r="AG680">
        <f>LOOKUP($A680,'Over to underbark'!$A$47:$A$48,'Over to underbark'!E$47:E$48)*AC680</f>
        <v>0</v>
      </c>
      <c r="AH680" t="b">
        <f t="shared" si="166"/>
        <v>1</v>
      </c>
      <c r="AI680" t="b">
        <f t="shared" si="167"/>
        <v>1</v>
      </c>
      <c r="AJ680">
        <f>LOOKUP(A680,'Over to underbark'!$A$47:$A$48,'Over to underbark'!E$47:E$48)*M680</f>
        <v>31.409400000000005</v>
      </c>
      <c r="AK680" s="22">
        <f>LOOKUP(A680,'Over to underbark'!$A$47:$A$48,'Over to underbark'!$B$47:$B$48)*AJ680</f>
        <v>10.051008000000001</v>
      </c>
      <c r="AL680" s="22">
        <f>LOOKUP(A680,'Over to underbark'!$A$47:$A$48,'Over to underbark'!C$47:C$48)*AJ680</f>
        <v>15.390606000000002</v>
      </c>
      <c r="AM680" s="22">
        <f t="shared" si="168"/>
        <v>41.460408000000008</v>
      </c>
      <c r="AN680" s="36">
        <v>917</v>
      </c>
      <c r="AO680" s="23">
        <f t="shared" si="169"/>
        <v>82.920816000000016</v>
      </c>
      <c r="AQ680">
        <f t="shared" si="170"/>
        <v>0.68181818181818177</v>
      </c>
    </row>
    <row r="681" spans="1:43" x14ac:dyDescent="0.35">
      <c r="A681" t="s">
        <v>43</v>
      </c>
      <c r="B681">
        <v>14</v>
      </c>
      <c r="C681">
        <v>2</v>
      </c>
      <c r="D681" t="s">
        <v>42</v>
      </c>
      <c r="E681">
        <v>2</v>
      </c>
      <c r="F681">
        <v>1</v>
      </c>
      <c r="G681" s="30">
        <v>21</v>
      </c>
      <c r="H681" s="30">
        <v>9.0440000000000005</v>
      </c>
      <c r="I681" s="30">
        <v>2272</v>
      </c>
      <c r="J681" s="30">
        <v>13.102</v>
      </c>
      <c r="K681" s="30">
        <v>30.632999999999999</v>
      </c>
      <c r="L681" s="30">
        <v>4.8000000000000001E-2</v>
      </c>
      <c r="M681" s="30">
        <v>109.82</v>
      </c>
      <c r="N681" s="30">
        <v>0</v>
      </c>
      <c r="O681" s="29">
        <v>5.23</v>
      </c>
      <c r="P681" s="31">
        <v>21</v>
      </c>
      <c r="Q681" s="31">
        <v>13.102</v>
      </c>
      <c r="R681" s="31">
        <v>107.30500000000001</v>
      </c>
      <c r="S681" s="31">
        <v>2.5150000000000001</v>
      </c>
      <c r="T681" s="10" t="b">
        <f t="shared" si="171"/>
        <v>1</v>
      </c>
      <c r="U681" s="10" t="b">
        <f t="shared" si="172"/>
        <v>1</v>
      </c>
      <c r="V681" s="11">
        <f>VLOOKUP(IF(J681&lt;10, 10, IF(J681&gt;50,50,J681)),'Over to underbark'!$A$3:$C$43,IF(A681="Scots pine",3,IF(A681="Sitka spruce",2, "error")),TRUE)/100</f>
        <v>0.89</v>
      </c>
      <c r="W681">
        <f t="shared" si="159"/>
        <v>85.951305000000019</v>
      </c>
      <c r="X681">
        <f t="shared" si="160"/>
        <v>2.0145150000000003</v>
      </c>
      <c r="Y681">
        <f t="shared" si="161"/>
        <v>10.87218</v>
      </c>
      <c r="Z681">
        <f t="shared" si="162"/>
        <v>50.983442511750006</v>
      </c>
      <c r="AA681">
        <f t="shared" si="163"/>
        <v>14.890733550000002</v>
      </c>
      <c r="AB681">
        <f t="shared" si="164"/>
        <v>31.851811658250007</v>
      </c>
      <c r="AC681">
        <f t="shared" si="165"/>
        <v>1.1120122800000001</v>
      </c>
      <c r="AD681">
        <f>LOOKUP($A681,'Over to underbark'!$A$47:$A$48,'Over to underbark'!E$47:E$48)*Z681</f>
        <v>16.824536028877503</v>
      </c>
      <c r="AE681">
        <f>LOOKUP($A681,'Over to underbark'!$A$47:$A$48,'Over to underbark'!E$47:E$48)*AA681</f>
        <v>4.9139420715000011</v>
      </c>
      <c r="AF681">
        <f>LOOKUP($A681,'Over to underbark'!$A$47:$A$48,'Over to underbark'!E$47:E$48)*AB681</f>
        <v>10.511097847222503</v>
      </c>
      <c r="AG681">
        <f>LOOKUP($A681,'Over to underbark'!$A$47:$A$48,'Over to underbark'!E$47:E$48)*AC681</f>
        <v>0.36696405240000002</v>
      </c>
      <c r="AH681" t="b">
        <f t="shared" si="166"/>
        <v>1</v>
      </c>
      <c r="AI681" t="b">
        <f t="shared" si="167"/>
        <v>1</v>
      </c>
      <c r="AJ681">
        <f>LOOKUP(A681,'Over to underbark'!$A$47:$A$48,'Over to underbark'!E$47:E$48)*M681</f>
        <v>36.240600000000001</v>
      </c>
      <c r="AK681" s="22">
        <f>LOOKUP(A681,'Over to underbark'!$A$47:$A$48,'Over to underbark'!$B$47:$B$48)*AJ681</f>
        <v>11.596992</v>
      </c>
      <c r="AL681" s="22">
        <f>LOOKUP(A681,'Over to underbark'!$A$47:$A$48,'Over to underbark'!C$47:C$48)*AJ681</f>
        <v>17.757894</v>
      </c>
      <c r="AM681" s="22">
        <f t="shared" si="168"/>
        <v>47.837592000000001</v>
      </c>
      <c r="AN681" s="36">
        <v>918</v>
      </c>
      <c r="AO681" s="23">
        <f t="shared" si="169"/>
        <v>95.675184000000002</v>
      </c>
      <c r="AQ681">
        <f t="shared" si="170"/>
        <v>0.68181818181818199</v>
      </c>
    </row>
    <row r="682" spans="1:43" x14ac:dyDescent="0.35">
      <c r="A682" t="s">
        <v>43</v>
      </c>
      <c r="B682">
        <v>14</v>
      </c>
      <c r="C682">
        <v>2</v>
      </c>
      <c r="D682" t="s">
        <v>42</v>
      </c>
      <c r="E682">
        <v>2</v>
      </c>
      <c r="F682">
        <v>1</v>
      </c>
      <c r="G682" s="30">
        <v>22</v>
      </c>
      <c r="H682" s="30">
        <v>9.6219999999999999</v>
      </c>
      <c r="I682" s="30">
        <v>2259</v>
      </c>
      <c r="J682" s="30">
        <v>13.622999999999999</v>
      </c>
      <c r="K682" s="30">
        <v>32.927</v>
      </c>
      <c r="L682" s="30">
        <v>5.5E-2</v>
      </c>
      <c r="M682" s="30">
        <v>124.46</v>
      </c>
      <c r="N682" s="30">
        <v>0</v>
      </c>
      <c r="O682" s="29">
        <v>5.657</v>
      </c>
      <c r="P682" s="31">
        <v>22</v>
      </c>
      <c r="Q682" s="31">
        <v>13.622999999999999</v>
      </c>
      <c r="R682" s="31">
        <v>117.91</v>
      </c>
      <c r="S682" s="31">
        <v>6.55</v>
      </c>
      <c r="T682" s="10" t="b">
        <f t="shared" si="171"/>
        <v>1</v>
      </c>
      <c r="U682" s="10" t="b">
        <f t="shared" si="172"/>
        <v>1</v>
      </c>
      <c r="V682" s="11">
        <f>VLOOKUP(IF(J682&lt;10, 10, IF(J682&gt;50,50,J682)),'Over to underbark'!$A$3:$C$43,IF(A682="Scots pine",3,IF(A682="Sitka spruce",2, "error")),TRUE)/100</f>
        <v>0.89</v>
      </c>
      <c r="W682">
        <f t="shared" si="159"/>
        <v>94.445909999999998</v>
      </c>
      <c r="X682">
        <f t="shared" si="160"/>
        <v>5.24655</v>
      </c>
      <c r="Y682">
        <f t="shared" si="161"/>
        <v>12.321539999999999</v>
      </c>
      <c r="Z682">
        <f t="shared" si="162"/>
        <v>57.189226738499997</v>
      </c>
      <c r="AA682">
        <f t="shared" si="163"/>
        <v>16.549820099999998</v>
      </c>
      <c r="AB682">
        <f t="shared" si="164"/>
        <v>35.378857561499998</v>
      </c>
      <c r="AC682">
        <f t="shared" si="165"/>
        <v>2.8960956000000002</v>
      </c>
      <c r="AD682">
        <f>LOOKUP($A682,'Over to underbark'!$A$47:$A$48,'Over to underbark'!E$47:E$48)*Z682</f>
        <v>18.872444823704999</v>
      </c>
      <c r="AE682">
        <f>LOOKUP($A682,'Over to underbark'!$A$47:$A$48,'Over to underbark'!E$47:E$48)*AA682</f>
        <v>5.4614406329999996</v>
      </c>
      <c r="AF682">
        <f>LOOKUP($A682,'Over to underbark'!$A$47:$A$48,'Over to underbark'!E$47:E$48)*AB682</f>
        <v>11.675022995295</v>
      </c>
      <c r="AG682">
        <f>LOOKUP($A682,'Over to underbark'!$A$47:$A$48,'Over to underbark'!E$47:E$48)*AC682</f>
        <v>0.95571154800000013</v>
      </c>
      <c r="AH682" t="b">
        <f t="shared" si="166"/>
        <v>1</v>
      </c>
      <c r="AI682" t="b">
        <f t="shared" si="167"/>
        <v>1</v>
      </c>
      <c r="AJ682">
        <f>LOOKUP(A682,'Over to underbark'!$A$47:$A$48,'Over to underbark'!E$47:E$48)*M682</f>
        <v>41.071800000000003</v>
      </c>
      <c r="AK682" s="22">
        <f>LOOKUP(A682,'Over to underbark'!$A$47:$A$48,'Over to underbark'!$B$47:$B$48)*AJ682</f>
        <v>13.142976000000001</v>
      </c>
      <c r="AL682" s="22">
        <f>LOOKUP(A682,'Over to underbark'!$A$47:$A$48,'Over to underbark'!C$47:C$48)*AJ682</f>
        <v>20.125182000000002</v>
      </c>
      <c r="AM682" s="22">
        <f t="shared" si="168"/>
        <v>54.214776000000001</v>
      </c>
      <c r="AN682" s="36">
        <v>919</v>
      </c>
      <c r="AO682" s="23">
        <f t="shared" si="169"/>
        <v>108.429552</v>
      </c>
      <c r="AQ682">
        <f t="shared" si="170"/>
        <v>0.68181818181818188</v>
      </c>
    </row>
    <row r="683" spans="1:43" x14ac:dyDescent="0.35">
      <c r="A683" t="s">
        <v>43</v>
      </c>
      <c r="B683">
        <v>14</v>
      </c>
      <c r="C683">
        <v>2</v>
      </c>
      <c r="D683" t="s">
        <v>42</v>
      </c>
      <c r="E683">
        <v>2</v>
      </c>
      <c r="F683">
        <v>1</v>
      </c>
      <c r="G683" s="30">
        <v>23</v>
      </c>
      <c r="H683" s="30">
        <v>10.199999999999999</v>
      </c>
      <c r="I683" s="30">
        <v>2246</v>
      </c>
      <c r="J683" s="30">
        <v>14.13</v>
      </c>
      <c r="K683" s="30">
        <v>35.22</v>
      </c>
      <c r="L683" s="30">
        <v>6.2E-2</v>
      </c>
      <c r="M683" s="30">
        <v>139.1</v>
      </c>
      <c r="N683" s="30">
        <v>0</v>
      </c>
      <c r="O683" s="29">
        <v>6.048</v>
      </c>
      <c r="P683" s="31">
        <v>23</v>
      </c>
      <c r="Q683" s="31">
        <v>14.13</v>
      </c>
      <c r="R683" s="31">
        <v>127.65</v>
      </c>
      <c r="S683" s="31">
        <v>11.45</v>
      </c>
      <c r="T683" s="10" t="b">
        <f t="shared" si="171"/>
        <v>1</v>
      </c>
      <c r="U683" s="10" t="b">
        <f t="shared" si="172"/>
        <v>1</v>
      </c>
      <c r="V683" s="11">
        <f>VLOOKUP(IF(J683&lt;10, 10, IF(J683&gt;50,50,J683)),'Over to underbark'!$A$3:$C$43,IF(A683="Scots pine",3,IF(A683="Sitka spruce",2, "error")),TRUE)/100</f>
        <v>0.9</v>
      </c>
      <c r="W683">
        <f t="shared" si="159"/>
        <v>103.3965</v>
      </c>
      <c r="X683">
        <f t="shared" si="160"/>
        <v>9.2744999999999997</v>
      </c>
      <c r="Y683">
        <f t="shared" si="161"/>
        <v>12.518999999999997</v>
      </c>
      <c r="Z683">
        <f t="shared" si="162"/>
        <v>63.26432527499999</v>
      </c>
      <c r="AA683">
        <f t="shared" si="163"/>
        <v>17.633115</v>
      </c>
      <c r="AB683">
        <f t="shared" si="164"/>
        <v>39.173035724999998</v>
      </c>
      <c r="AC683">
        <f t="shared" si="165"/>
        <v>5.1195239999999993</v>
      </c>
      <c r="AD683">
        <f>LOOKUP($A683,'Over to underbark'!$A$47:$A$48,'Over to underbark'!E$47:E$48)*Z683</f>
        <v>20.877227340749997</v>
      </c>
      <c r="AE683">
        <f>LOOKUP($A683,'Over to underbark'!$A$47:$A$48,'Over to underbark'!E$47:E$48)*AA683</f>
        <v>5.81892795</v>
      </c>
      <c r="AF683">
        <f>LOOKUP($A683,'Over to underbark'!$A$47:$A$48,'Over to underbark'!E$47:E$48)*AB683</f>
        <v>12.927101789250001</v>
      </c>
      <c r="AG683">
        <f>LOOKUP($A683,'Over to underbark'!$A$47:$A$48,'Over to underbark'!E$47:E$48)*AC683</f>
        <v>1.6894429199999998</v>
      </c>
      <c r="AH683" t="b">
        <f t="shared" si="166"/>
        <v>1</v>
      </c>
      <c r="AI683" t="b">
        <f t="shared" si="167"/>
        <v>1</v>
      </c>
      <c r="AJ683">
        <f>LOOKUP(A683,'Over to underbark'!$A$47:$A$48,'Over to underbark'!E$47:E$48)*M683</f>
        <v>45.902999999999999</v>
      </c>
      <c r="AK683" s="22">
        <f>LOOKUP(A683,'Over to underbark'!$A$47:$A$48,'Over to underbark'!$B$47:$B$48)*AJ683</f>
        <v>14.68896</v>
      </c>
      <c r="AL683" s="22">
        <f>LOOKUP(A683,'Over to underbark'!$A$47:$A$48,'Over to underbark'!C$47:C$48)*AJ683</f>
        <v>22.492469999999997</v>
      </c>
      <c r="AM683" s="22">
        <f t="shared" si="168"/>
        <v>60.59196</v>
      </c>
      <c r="AN683" s="36">
        <v>920</v>
      </c>
      <c r="AO683" s="23">
        <f t="shared" si="169"/>
        <v>121.18392</v>
      </c>
      <c r="AQ683">
        <f t="shared" si="170"/>
        <v>0.68181818181818166</v>
      </c>
    </row>
    <row r="684" spans="1:43" x14ac:dyDescent="0.35">
      <c r="A684" t="s">
        <v>43</v>
      </c>
      <c r="B684">
        <v>14</v>
      </c>
      <c r="C684">
        <v>2</v>
      </c>
      <c r="D684" t="s">
        <v>42</v>
      </c>
      <c r="E684">
        <v>2</v>
      </c>
      <c r="F684">
        <v>1</v>
      </c>
      <c r="G684" s="30">
        <v>24</v>
      </c>
      <c r="H684" s="30">
        <v>10.766</v>
      </c>
      <c r="I684" s="30">
        <v>2212</v>
      </c>
      <c r="J684" s="30">
        <v>14.589</v>
      </c>
      <c r="K684" s="30">
        <v>36.975999999999999</v>
      </c>
      <c r="L684" s="30">
        <v>7.0999999999999994E-2</v>
      </c>
      <c r="M684" s="30">
        <v>157.1</v>
      </c>
      <c r="N684" s="30">
        <v>0.29199999999999998</v>
      </c>
      <c r="O684" s="29">
        <v>6.5460000000000003</v>
      </c>
      <c r="P684" s="31">
        <v>24</v>
      </c>
      <c r="Q684" s="31">
        <v>14.589</v>
      </c>
      <c r="R684" s="31">
        <v>139.864</v>
      </c>
      <c r="S684" s="31">
        <v>17.236000000000001</v>
      </c>
      <c r="T684" s="10" t="b">
        <f t="shared" si="171"/>
        <v>1</v>
      </c>
      <c r="U684" s="10" t="b">
        <f t="shared" si="172"/>
        <v>1</v>
      </c>
      <c r="V684" s="11">
        <f>VLOOKUP(IF(J684&lt;10, 10, IF(J684&gt;50,50,J684)),'Over to underbark'!$A$3:$C$43,IF(A684="Scots pine",3,IF(A684="Sitka spruce",2, "error")),TRUE)/100</f>
        <v>0.9</v>
      </c>
      <c r="W684">
        <f t="shared" si="159"/>
        <v>113.28984</v>
      </c>
      <c r="X684">
        <f t="shared" si="160"/>
        <v>13.961160000000001</v>
      </c>
      <c r="Y684">
        <f t="shared" si="161"/>
        <v>14.138999999999996</v>
      </c>
      <c r="Z684">
        <f t="shared" si="162"/>
        <v>70.755902603999985</v>
      </c>
      <c r="AA684">
        <f t="shared" si="163"/>
        <v>19.531382399999998</v>
      </c>
      <c r="AB684">
        <f t="shared" si="164"/>
        <v>43.396154675999995</v>
      </c>
      <c r="AC684">
        <f t="shared" si="165"/>
        <v>7.7065603200000012</v>
      </c>
      <c r="AD684">
        <f>LOOKUP($A684,'Over to underbark'!$A$47:$A$48,'Over to underbark'!E$47:E$48)*Z684</f>
        <v>23.349447859319998</v>
      </c>
      <c r="AE684">
        <f>LOOKUP($A684,'Over to underbark'!$A$47:$A$48,'Over to underbark'!E$47:E$48)*AA684</f>
        <v>6.4453561919999993</v>
      </c>
      <c r="AF684">
        <f>LOOKUP($A684,'Over to underbark'!$A$47:$A$48,'Over to underbark'!E$47:E$48)*AB684</f>
        <v>14.320731043079999</v>
      </c>
      <c r="AG684">
        <f>LOOKUP($A684,'Over to underbark'!$A$47:$A$48,'Over to underbark'!E$47:E$48)*AC684</f>
        <v>2.5431649056000007</v>
      </c>
      <c r="AH684" t="b">
        <f t="shared" si="166"/>
        <v>1</v>
      </c>
      <c r="AI684" t="b">
        <f t="shared" si="167"/>
        <v>1</v>
      </c>
      <c r="AJ684">
        <f>LOOKUP(A684,'Over to underbark'!$A$47:$A$48,'Over to underbark'!E$47:E$48)*M684</f>
        <v>51.843000000000004</v>
      </c>
      <c r="AK684" s="22">
        <f>LOOKUP(A684,'Over to underbark'!$A$47:$A$48,'Over to underbark'!$B$47:$B$48)*AJ684</f>
        <v>16.589760000000002</v>
      </c>
      <c r="AL684" s="22">
        <f>LOOKUP(A684,'Over to underbark'!$A$47:$A$48,'Over to underbark'!C$47:C$48)*AJ684</f>
        <v>25.40307</v>
      </c>
      <c r="AM684" s="22">
        <f t="shared" si="168"/>
        <v>68.432760000000002</v>
      </c>
      <c r="AN684" s="36">
        <v>921</v>
      </c>
      <c r="AO684" s="23">
        <f t="shared" si="169"/>
        <v>136.86552</v>
      </c>
      <c r="AQ684">
        <f t="shared" si="170"/>
        <v>0.68181818181818177</v>
      </c>
    </row>
    <row r="685" spans="1:43" x14ac:dyDescent="0.35">
      <c r="A685" t="s">
        <v>43</v>
      </c>
      <c r="B685">
        <v>14</v>
      </c>
      <c r="C685">
        <v>2</v>
      </c>
      <c r="D685" t="s">
        <v>42</v>
      </c>
      <c r="E685">
        <v>2</v>
      </c>
      <c r="F685">
        <v>1</v>
      </c>
      <c r="G685" s="30">
        <v>25</v>
      </c>
      <c r="H685" s="30">
        <v>11.332000000000001</v>
      </c>
      <c r="I685" s="30">
        <v>2178</v>
      </c>
      <c r="J685" s="30">
        <v>15.048</v>
      </c>
      <c r="K685" s="30">
        <v>38.732999999999997</v>
      </c>
      <c r="L685" s="30">
        <v>0.08</v>
      </c>
      <c r="M685" s="30">
        <v>175.1</v>
      </c>
      <c r="N685" s="30">
        <v>0.52300000000000002</v>
      </c>
      <c r="O685" s="29">
        <v>7.0039999999999996</v>
      </c>
      <c r="P685" s="31">
        <v>25</v>
      </c>
      <c r="Q685" s="31">
        <v>15.048</v>
      </c>
      <c r="R685" s="31">
        <v>151.02799999999999</v>
      </c>
      <c r="S685" s="31">
        <v>24.071999999999999</v>
      </c>
      <c r="T685" s="10" t="b">
        <f t="shared" si="171"/>
        <v>1</v>
      </c>
      <c r="U685" s="10" t="b">
        <f t="shared" si="172"/>
        <v>1</v>
      </c>
      <c r="V685" s="11">
        <f>VLOOKUP(IF(J685&lt;10, 10, IF(J685&gt;50,50,J685)),'Over to underbark'!$A$3:$C$43,IF(A685="Scots pine",3,IF(A685="Sitka spruce",2, "error")),TRUE)/100</f>
        <v>0.9</v>
      </c>
      <c r="W685">
        <f t="shared" si="159"/>
        <v>122.33268</v>
      </c>
      <c r="X685">
        <f t="shared" si="160"/>
        <v>19.49832</v>
      </c>
      <c r="Y685">
        <f t="shared" si="161"/>
        <v>15.758999999999997</v>
      </c>
      <c r="Z685">
        <f t="shared" si="162"/>
        <v>78.077932757999989</v>
      </c>
      <c r="AA685">
        <f t="shared" si="163"/>
        <v>21.336094799999998</v>
      </c>
      <c r="AB685">
        <f t="shared" si="164"/>
        <v>47.412899801999991</v>
      </c>
      <c r="AC685">
        <f t="shared" si="165"/>
        <v>10.763072639999999</v>
      </c>
      <c r="AD685">
        <f>LOOKUP($A685,'Over to underbark'!$A$47:$A$48,'Over to underbark'!E$47:E$48)*Z685</f>
        <v>25.765717810139996</v>
      </c>
      <c r="AE685">
        <f>LOOKUP($A685,'Over to underbark'!$A$47:$A$48,'Over to underbark'!E$47:E$48)*AA685</f>
        <v>7.0409112839999999</v>
      </c>
      <c r="AF685">
        <f>LOOKUP($A685,'Over to underbark'!$A$47:$A$48,'Over to underbark'!E$47:E$48)*AB685</f>
        <v>15.646256934659998</v>
      </c>
      <c r="AG685">
        <f>LOOKUP($A685,'Over to underbark'!$A$47:$A$48,'Over to underbark'!E$47:E$48)*AC685</f>
        <v>3.5518139711999996</v>
      </c>
      <c r="AH685" t="b">
        <f t="shared" si="166"/>
        <v>1</v>
      </c>
      <c r="AI685" t="b">
        <f t="shared" si="167"/>
        <v>1</v>
      </c>
      <c r="AJ685">
        <f>LOOKUP(A685,'Over to underbark'!$A$47:$A$48,'Over to underbark'!E$47:E$48)*M685</f>
        <v>57.783000000000001</v>
      </c>
      <c r="AK685" s="22">
        <f>LOOKUP(A685,'Over to underbark'!$A$47:$A$48,'Over to underbark'!$B$47:$B$48)*AJ685</f>
        <v>18.490560000000002</v>
      </c>
      <c r="AL685" s="22">
        <f>LOOKUP(A685,'Over to underbark'!$A$47:$A$48,'Over to underbark'!C$47:C$48)*AJ685</f>
        <v>28.313669999999998</v>
      </c>
      <c r="AM685" s="22">
        <f t="shared" si="168"/>
        <v>76.273560000000003</v>
      </c>
      <c r="AN685" s="36">
        <v>922</v>
      </c>
      <c r="AO685" s="23">
        <f t="shared" si="169"/>
        <v>152.54712000000001</v>
      </c>
      <c r="AQ685">
        <f t="shared" si="170"/>
        <v>0.68181818181818166</v>
      </c>
    </row>
    <row r="686" spans="1:43" x14ac:dyDescent="0.35">
      <c r="A686" t="s">
        <v>43</v>
      </c>
      <c r="B686">
        <v>14</v>
      </c>
      <c r="C686">
        <v>2</v>
      </c>
      <c r="D686" t="s">
        <v>42</v>
      </c>
      <c r="E686">
        <v>2</v>
      </c>
      <c r="F686">
        <v>1</v>
      </c>
      <c r="G686" s="30">
        <v>26</v>
      </c>
      <c r="H686" s="30">
        <v>11.898</v>
      </c>
      <c r="I686" s="30">
        <v>2145</v>
      </c>
      <c r="J686" s="30">
        <v>15.503</v>
      </c>
      <c r="K686" s="30">
        <v>40.49</v>
      </c>
      <c r="L686" s="30">
        <v>0.09</v>
      </c>
      <c r="M686" s="30">
        <v>193.1</v>
      </c>
      <c r="N686" s="30">
        <v>0.71</v>
      </c>
      <c r="O686" s="29">
        <v>7.4269999999999996</v>
      </c>
      <c r="P686" s="31">
        <v>26</v>
      </c>
      <c r="Q686" s="31">
        <v>15.503</v>
      </c>
      <c r="R686" s="31">
        <v>161.19200000000001</v>
      </c>
      <c r="S686" s="31">
        <v>31.908000000000001</v>
      </c>
      <c r="T686" s="10" t="b">
        <f t="shared" si="171"/>
        <v>1</v>
      </c>
      <c r="U686" s="10" t="b">
        <f t="shared" si="172"/>
        <v>1</v>
      </c>
      <c r="V686" s="11">
        <f>VLOOKUP(IF(J686&lt;10, 10, IF(J686&gt;50,50,J686)),'Over to underbark'!$A$3:$C$43,IF(A686="Scots pine",3,IF(A686="Sitka spruce",2, "error")),TRUE)/100</f>
        <v>0.9</v>
      </c>
      <c r="W686">
        <f t="shared" ref="W686:W738" si="173">R686*0.9*V686</f>
        <v>130.56551999999999</v>
      </c>
      <c r="X686">
        <f t="shared" ref="X686:X738" si="174">S686*0.9*V686</f>
        <v>25.845480000000002</v>
      </c>
      <c r="Y686">
        <f t="shared" ref="Y686:Y738" si="175">(R686+S686)*0.9*(100%-V686)</f>
        <v>17.378999999999998</v>
      </c>
      <c r="Z686">
        <f t="shared" ref="Z686:Z738" si="176">(50%*Y686)+(46%*W686)+(15%*X686)+(43%*W686*10%)+(43%*W686*90%*5%)+(25%*X686*50%)+(60%*X686*8%)</f>
        <v>85.238489412000007</v>
      </c>
      <c r="AA686">
        <f t="shared" ref="AA686:AA738" si="177">(50%*Y686)+(11%*W686)</f>
        <v>23.051707199999996</v>
      </c>
      <c r="AB686">
        <f t="shared" ref="AB686:AB738" si="178">(43%*W686*90%*95%)+(25%*X686*50%)</f>
        <v>51.233098427999998</v>
      </c>
      <c r="AC686">
        <f t="shared" ref="AC686:AC738" si="179">60%*X686*92%</f>
        <v>14.266704960000002</v>
      </c>
      <c r="AD686">
        <f>LOOKUP($A686,'Over to underbark'!$A$47:$A$48,'Over to underbark'!E$47:E$48)*Z686</f>
        <v>28.128701505960002</v>
      </c>
      <c r="AE686">
        <f>LOOKUP($A686,'Over to underbark'!$A$47:$A$48,'Over to underbark'!E$47:E$48)*AA686</f>
        <v>7.6070633759999993</v>
      </c>
      <c r="AF686">
        <f>LOOKUP($A686,'Over to underbark'!$A$47:$A$48,'Over to underbark'!E$47:E$48)*AB686</f>
        <v>16.906922481239999</v>
      </c>
      <c r="AG686">
        <f>LOOKUP($A686,'Over to underbark'!$A$47:$A$48,'Over to underbark'!E$47:E$48)*AC686</f>
        <v>4.7080126368000013</v>
      </c>
      <c r="AH686" t="b">
        <f t="shared" ref="AH686:AH738" si="180">SUM(W686:Y686)=SUM(Z686:AC686)</f>
        <v>1</v>
      </c>
      <c r="AI686" t="b">
        <f t="shared" ref="AI686:AI738" si="181">SUM(R686:S686)*0.9 = SUM(W686:Y686)</f>
        <v>1</v>
      </c>
      <c r="AJ686">
        <f>LOOKUP(A686,'Over to underbark'!$A$47:$A$48,'Over to underbark'!E$47:E$48)*M686</f>
        <v>63.722999999999999</v>
      </c>
      <c r="AK686" s="22">
        <f>LOOKUP(A686,'Over to underbark'!$A$47:$A$48,'Over to underbark'!$B$47:$B$48)*AJ686</f>
        <v>20.391359999999999</v>
      </c>
      <c r="AL686" s="22">
        <f>LOOKUP(A686,'Over to underbark'!$A$47:$A$48,'Over to underbark'!C$47:C$48)*AJ686</f>
        <v>31.224270000000001</v>
      </c>
      <c r="AM686" s="22">
        <f t="shared" ref="AM686:AM738" si="182">AJ686+AK686</f>
        <v>84.114360000000005</v>
      </c>
      <c r="AN686" s="36">
        <v>923</v>
      </c>
      <c r="AO686" s="23">
        <f t="shared" ref="AO686:AO738" si="183">AM686*2</f>
        <v>168.22872000000001</v>
      </c>
      <c r="AQ686">
        <f t="shared" si="170"/>
        <v>0.68181818181818177</v>
      </c>
    </row>
    <row r="687" spans="1:43" x14ac:dyDescent="0.35">
      <c r="A687" t="s">
        <v>43</v>
      </c>
      <c r="B687">
        <v>14</v>
      </c>
      <c r="C687">
        <v>2</v>
      </c>
      <c r="D687" t="s">
        <v>42</v>
      </c>
      <c r="E687">
        <v>2</v>
      </c>
      <c r="F687">
        <v>1</v>
      </c>
      <c r="G687" s="30">
        <v>27</v>
      </c>
      <c r="H687" s="30">
        <v>12.464</v>
      </c>
      <c r="I687" s="30">
        <v>2111</v>
      </c>
      <c r="J687" s="30">
        <v>15.962999999999999</v>
      </c>
      <c r="K687" s="30">
        <v>42.246000000000002</v>
      </c>
      <c r="L687" s="30">
        <v>0.1</v>
      </c>
      <c r="M687" s="30">
        <v>211.1</v>
      </c>
      <c r="N687" s="30">
        <v>0.86399999999999999</v>
      </c>
      <c r="O687" s="29">
        <v>7.819</v>
      </c>
      <c r="P687" s="31">
        <v>27</v>
      </c>
      <c r="Q687" s="31">
        <v>15.962999999999999</v>
      </c>
      <c r="R687" s="31">
        <v>170.262</v>
      </c>
      <c r="S687" s="31">
        <v>40.838000000000001</v>
      </c>
      <c r="T687" s="10" t="b">
        <f t="shared" si="171"/>
        <v>1</v>
      </c>
      <c r="U687" s="10" t="b">
        <f t="shared" si="172"/>
        <v>1</v>
      </c>
      <c r="V687" s="11">
        <f>VLOOKUP(IF(J687&lt;10, 10, IF(J687&gt;50,50,J687)),'Over to underbark'!$A$3:$C$43,IF(A687="Scots pine",3,IF(A687="Sitka spruce",2, "error")),TRUE)/100</f>
        <v>0.9</v>
      </c>
      <c r="W687">
        <f t="shared" si="173"/>
        <v>137.91222000000002</v>
      </c>
      <c r="X687">
        <f t="shared" si="174"/>
        <v>33.078780000000002</v>
      </c>
      <c r="Y687">
        <f t="shared" si="175"/>
        <v>18.998999999999995</v>
      </c>
      <c r="Z687">
        <f t="shared" si="176"/>
        <v>92.222394057000017</v>
      </c>
      <c r="AA687">
        <f t="shared" si="177"/>
        <v>24.6698442</v>
      </c>
      <c r="AB687">
        <f t="shared" si="178"/>
        <v>54.838275183</v>
      </c>
      <c r="AC687">
        <f t="shared" si="179"/>
        <v>18.259486559999999</v>
      </c>
      <c r="AD687">
        <f>LOOKUP($A687,'Over to underbark'!$A$47:$A$48,'Over to underbark'!E$47:E$48)*Z687</f>
        <v>30.433390038810007</v>
      </c>
      <c r="AE687">
        <f>LOOKUP($A687,'Over to underbark'!$A$47:$A$48,'Over to underbark'!E$47:E$48)*AA687</f>
        <v>8.1410485860000001</v>
      </c>
      <c r="AF687">
        <f>LOOKUP($A687,'Over to underbark'!$A$47:$A$48,'Over to underbark'!E$47:E$48)*AB687</f>
        <v>18.09663081039</v>
      </c>
      <c r="AG687">
        <f>LOOKUP($A687,'Over to underbark'!$A$47:$A$48,'Over to underbark'!E$47:E$48)*AC687</f>
        <v>6.0256305648000001</v>
      </c>
      <c r="AH687" t="b">
        <f t="shared" si="180"/>
        <v>1</v>
      </c>
      <c r="AI687" t="b">
        <f t="shared" si="181"/>
        <v>1</v>
      </c>
      <c r="AJ687">
        <f>LOOKUP(A687,'Over to underbark'!$A$47:$A$48,'Over to underbark'!E$47:E$48)*M687</f>
        <v>69.662999999999997</v>
      </c>
      <c r="AK687" s="22">
        <f>LOOKUP(A687,'Over to underbark'!$A$47:$A$48,'Over to underbark'!$B$47:$B$48)*AJ687</f>
        <v>22.292159999999999</v>
      </c>
      <c r="AL687" s="22">
        <f>LOOKUP(A687,'Over to underbark'!$A$47:$A$48,'Over to underbark'!C$47:C$48)*AJ687</f>
        <v>34.134869999999999</v>
      </c>
      <c r="AM687" s="22">
        <f t="shared" si="182"/>
        <v>91.955159999999992</v>
      </c>
      <c r="AN687" s="36">
        <v>924</v>
      </c>
      <c r="AO687" s="23">
        <f t="shared" si="183"/>
        <v>183.91031999999998</v>
      </c>
      <c r="AQ687">
        <f t="shared" si="170"/>
        <v>0.68181818181818199</v>
      </c>
    </row>
    <row r="688" spans="1:43" x14ac:dyDescent="0.35">
      <c r="A688" t="s">
        <v>43</v>
      </c>
      <c r="B688">
        <v>14</v>
      </c>
      <c r="C688">
        <v>2</v>
      </c>
      <c r="D688" t="s">
        <v>42</v>
      </c>
      <c r="E688">
        <v>2</v>
      </c>
      <c r="F688">
        <v>1</v>
      </c>
      <c r="G688" s="30">
        <v>28</v>
      </c>
      <c r="H688" s="30">
        <v>13.03</v>
      </c>
      <c r="I688" s="30">
        <v>2078</v>
      </c>
      <c r="J688" s="30">
        <v>16.420000000000002</v>
      </c>
      <c r="K688" s="30">
        <v>44.003</v>
      </c>
      <c r="L688" s="30">
        <v>0.11</v>
      </c>
      <c r="M688" s="30">
        <v>229.1</v>
      </c>
      <c r="N688" s="30">
        <v>0.99399999999999999</v>
      </c>
      <c r="O688" s="29">
        <v>8.1820000000000004</v>
      </c>
      <c r="P688" s="31">
        <v>28</v>
      </c>
      <c r="Q688" s="31">
        <v>16.420000000000002</v>
      </c>
      <c r="R688" s="31">
        <v>178.35300000000001</v>
      </c>
      <c r="S688" s="31">
        <v>50.747</v>
      </c>
      <c r="T688" s="10" t="b">
        <f t="shared" si="171"/>
        <v>1</v>
      </c>
      <c r="U688" s="10" t="b">
        <f t="shared" si="172"/>
        <v>1</v>
      </c>
      <c r="V688" s="11">
        <f>VLOOKUP(IF(J688&lt;10, 10, IF(J688&gt;50,50,J688)),'Over to underbark'!$A$3:$C$43,IF(A688="Scots pine",3,IF(A688="Sitka spruce",2, "error")),TRUE)/100</f>
        <v>0.89</v>
      </c>
      <c r="W688">
        <f t="shared" si="173"/>
        <v>142.86075300000002</v>
      </c>
      <c r="X688">
        <f t="shared" si="174"/>
        <v>40.648347000000001</v>
      </c>
      <c r="Y688">
        <f t="shared" si="175"/>
        <v>22.680900000000001</v>
      </c>
      <c r="Z688">
        <f t="shared" si="176"/>
        <v>99.093180410549991</v>
      </c>
      <c r="AA688">
        <f t="shared" si="177"/>
        <v>27.055132830000005</v>
      </c>
      <c r="AB688">
        <f t="shared" si="178"/>
        <v>57.603799215450003</v>
      </c>
      <c r="AC688">
        <f t="shared" si="179"/>
        <v>22.437887543999999</v>
      </c>
      <c r="AD688">
        <f>LOOKUP($A688,'Over to underbark'!$A$47:$A$48,'Over to underbark'!E$47:E$48)*Z688</f>
        <v>32.700749535481499</v>
      </c>
      <c r="AE688">
        <f>LOOKUP($A688,'Over to underbark'!$A$47:$A$48,'Over to underbark'!E$47:E$48)*AA688</f>
        <v>8.9281938339000018</v>
      </c>
      <c r="AF688">
        <f>LOOKUP($A688,'Over to underbark'!$A$47:$A$48,'Over to underbark'!E$47:E$48)*AB688</f>
        <v>19.009253741098501</v>
      </c>
      <c r="AG688">
        <f>LOOKUP($A688,'Over to underbark'!$A$47:$A$48,'Over to underbark'!E$47:E$48)*AC688</f>
        <v>7.4045028895199998</v>
      </c>
      <c r="AH688" t="b">
        <f t="shared" si="180"/>
        <v>1</v>
      </c>
      <c r="AI688" t="b">
        <f t="shared" si="181"/>
        <v>1</v>
      </c>
      <c r="AJ688">
        <f>LOOKUP(A688,'Over to underbark'!$A$47:$A$48,'Over to underbark'!E$47:E$48)*M688</f>
        <v>75.603000000000009</v>
      </c>
      <c r="AK688" s="22">
        <f>LOOKUP(A688,'Over to underbark'!$A$47:$A$48,'Over to underbark'!$B$47:$B$48)*AJ688</f>
        <v>24.192960000000003</v>
      </c>
      <c r="AL688" s="22">
        <f>LOOKUP(A688,'Over to underbark'!$A$47:$A$48,'Over to underbark'!C$47:C$48)*AJ688</f>
        <v>37.045470000000002</v>
      </c>
      <c r="AM688" s="22">
        <f t="shared" si="182"/>
        <v>99.795960000000008</v>
      </c>
      <c r="AN688" s="36">
        <v>925</v>
      </c>
      <c r="AO688" s="23">
        <f t="shared" si="183"/>
        <v>199.59192000000002</v>
      </c>
      <c r="AQ688">
        <f t="shared" si="170"/>
        <v>0.68181818181818188</v>
      </c>
    </row>
    <row r="689" spans="1:43" x14ac:dyDescent="0.35">
      <c r="A689" t="s">
        <v>43</v>
      </c>
      <c r="B689">
        <v>14</v>
      </c>
      <c r="C689">
        <v>2</v>
      </c>
      <c r="D689" t="s">
        <v>42</v>
      </c>
      <c r="E689">
        <v>2</v>
      </c>
      <c r="F689">
        <v>1</v>
      </c>
      <c r="G689" s="30">
        <v>29</v>
      </c>
      <c r="H689" s="30">
        <v>13.566000000000001</v>
      </c>
      <c r="I689" s="30">
        <v>2029</v>
      </c>
      <c r="J689" s="30">
        <v>16.856000000000002</v>
      </c>
      <c r="K689" s="30">
        <v>45.276000000000003</v>
      </c>
      <c r="L689" s="30">
        <v>0.123</v>
      </c>
      <c r="M689" s="30">
        <v>248.68</v>
      </c>
      <c r="N689" s="30">
        <v>1.3720000000000001</v>
      </c>
      <c r="O689" s="29">
        <v>8.5749999999999993</v>
      </c>
      <c r="P689" s="31">
        <v>29</v>
      </c>
      <c r="Q689" s="31">
        <v>16.856000000000002</v>
      </c>
      <c r="R689" s="31">
        <v>186.95599999999999</v>
      </c>
      <c r="S689" s="31">
        <v>61.723999999999997</v>
      </c>
      <c r="T689" s="10" t="b">
        <f t="shared" si="171"/>
        <v>1</v>
      </c>
      <c r="U689" s="10" t="b">
        <f t="shared" si="172"/>
        <v>1</v>
      </c>
      <c r="V689" s="11">
        <f>VLOOKUP(IF(J689&lt;10, 10, IF(J689&gt;50,50,J689)),'Over to underbark'!$A$3:$C$43,IF(A689="Scots pine",3,IF(A689="Sitka spruce",2, "error")),TRUE)/100</f>
        <v>0.89</v>
      </c>
      <c r="W689">
        <f t="shared" si="173"/>
        <v>149.751756</v>
      </c>
      <c r="X689">
        <f t="shared" si="174"/>
        <v>49.440924000000003</v>
      </c>
      <c r="Y689">
        <f t="shared" si="175"/>
        <v>24.619319999999995</v>
      </c>
      <c r="Z689">
        <f t="shared" si="176"/>
        <v>106.50190819859999</v>
      </c>
      <c r="AA689">
        <f t="shared" si="177"/>
        <v>28.782353159999996</v>
      </c>
      <c r="AB689">
        <f t="shared" si="178"/>
        <v>61.236348593400002</v>
      </c>
      <c r="AC689">
        <f t="shared" si="179"/>
        <v>27.291390048</v>
      </c>
      <c r="AD689">
        <f>LOOKUP($A689,'Over to underbark'!$A$47:$A$48,'Over to underbark'!E$47:E$48)*Z689</f>
        <v>35.145629705537999</v>
      </c>
      <c r="AE689">
        <f>LOOKUP($A689,'Over to underbark'!$A$47:$A$48,'Over to underbark'!E$47:E$48)*AA689</f>
        <v>9.4981765427999996</v>
      </c>
      <c r="AF689">
        <f>LOOKUP($A689,'Over to underbark'!$A$47:$A$48,'Over to underbark'!E$47:E$48)*AB689</f>
        <v>20.207995035822002</v>
      </c>
      <c r="AG689">
        <f>LOOKUP($A689,'Over to underbark'!$A$47:$A$48,'Over to underbark'!E$47:E$48)*AC689</f>
        <v>9.0061587158399998</v>
      </c>
      <c r="AH689" t="b">
        <f t="shared" si="180"/>
        <v>1</v>
      </c>
      <c r="AI689" t="b">
        <f t="shared" si="181"/>
        <v>1</v>
      </c>
      <c r="AJ689">
        <f>LOOKUP(A689,'Over to underbark'!$A$47:$A$48,'Over to underbark'!E$47:E$48)*M689</f>
        <v>82.064400000000006</v>
      </c>
      <c r="AK689" s="22">
        <f>LOOKUP(A689,'Over to underbark'!$A$47:$A$48,'Over to underbark'!$B$47:$B$48)*AJ689</f>
        <v>26.260608000000001</v>
      </c>
      <c r="AL689" s="22">
        <f>LOOKUP(A689,'Over to underbark'!$A$47:$A$48,'Over to underbark'!C$47:C$48)*AJ689</f>
        <v>40.211556000000002</v>
      </c>
      <c r="AM689" s="22">
        <f t="shared" si="182"/>
        <v>108.32500800000001</v>
      </c>
      <c r="AN689" s="36">
        <v>926</v>
      </c>
      <c r="AO689" s="23">
        <f t="shared" si="183"/>
        <v>216.65001600000002</v>
      </c>
      <c r="AQ689">
        <f t="shared" si="170"/>
        <v>0.68181818181818166</v>
      </c>
    </row>
    <row r="690" spans="1:43" x14ac:dyDescent="0.35">
      <c r="A690" t="s">
        <v>43</v>
      </c>
      <c r="B690">
        <v>14</v>
      </c>
      <c r="C690">
        <v>2</v>
      </c>
      <c r="D690" t="s">
        <v>42</v>
      </c>
      <c r="E690">
        <v>2</v>
      </c>
      <c r="F690">
        <v>1</v>
      </c>
      <c r="G690" s="30">
        <v>30</v>
      </c>
      <c r="H690" s="30">
        <v>14.102</v>
      </c>
      <c r="I690" s="30">
        <v>1980</v>
      </c>
      <c r="J690" s="30">
        <v>17.300999999999998</v>
      </c>
      <c r="K690" s="30">
        <v>46.55</v>
      </c>
      <c r="L690" s="30">
        <v>0.13500000000000001</v>
      </c>
      <c r="M690" s="30">
        <v>268.26</v>
      </c>
      <c r="N690" s="30">
        <v>1.6930000000000001</v>
      </c>
      <c r="O690" s="29">
        <v>8.9420000000000002</v>
      </c>
      <c r="P690" s="31">
        <v>30</v>
      </c>
      <c r="Q690" s="31">
        <v>17.300999999999998</v>
      </c>
      <c r="R690" s="31">
        <v>194.40700000000001</v>
      </c>
      <c r="S690" s="31">
        <v>73.852999999999994</v>
      </c>
      <c r="T690" s="10" t="b">
        <f t="shared" si="171"/>
        <v>1</v>
      </c>
      <c r="U690" s="10" t="b">
        <f t="shared" si="172"/>
        <v>1</v>
      </c>
      <c r="V690" s="11">
        <f>VLOOKUP(IF(J690&lt;10, 10, IF(J690&gt;50,50,J690)),'Over to underbark'!$A$3:$C$43,IF(A690="Scots pine",3,IF(A690="Sitka spruce",2, "error")),TRUE)/100</f>
        <v>0.9</v>
      </c>
      <c r="W690">
        <f t="shared" si="173"/>
        <v>157.46967000000001</v>
      </c>
      <c r="X690">
        <f t="shared" si="174"/>
        <v>59.820929999999997</v>
      </c>
      <c r="Y690">
        <f t="shared" si="175"/>
        <v>24.143399999999993</v>
      </c>
      <c r="Z690">
        <f t="shared" si="176"/>
        <v>113.64814251449998</v>
      </c>
      <c r="AA690">
        <f t="shared" si="177"/>
        <v>29.393363699999998</v>
      </c>
      <c r="AB690">
        <f t="shared" si="178"/>
        <v>65.371340425499994</v>
      </c>
      <c r="AC690">
        <f t="shared" si="179"/>
        <v>33.021153359999992</v>
      </c>
      <c r="AD690">
        <f>LOOKUP($A690,'Over to underbark'!$A$47:$A$48,'Over to underbark'!E$47:E$48)*Z690</f>
        <v>37.503887029784998</v>
      </c>
      <c r="AE690">
        <f>LOOKUP($A690,'Over to underbark'!$A$47:$A$48,'Over to underbark'!E$47:E$48)*AA690</f>
        <v>9.6998100209999993</v>
      </c>
      <c r="AF690">
        <f>LOOKUP($A690,'Over to underbark'!$A$47:$A$48,'Over to underbark'!E$47:E$48)*AB690</f>
        <v>21.572542340414998</v>
      </c>
      <c r="AG690">
        <f>LOOKUP($A690,'Over to underbark'!$A$47:$A$48,'Over to underbark'!E$47:E$48)*AC690</f>
        <v>10.896980608799998</v>
      </c>
      <c r="AH690" t="b">
        <f t="shared" si="180"/>
        <v>1</v>
      </c>
      <c r="AI690" t="b">
        <f t="shared" si="181"/>
        <v>1</v>
      </c>
      <c r="AJ690">
        <f>LOOKUP(A690,'Over to underbark'!$A$47:$A$48,'Over to underbark'!E$47:E$48)*M690</f>
        <v>88.525800000000004</v>
      </c>
      <c r="AK690" s="22">
        <f>LOOKUP(A690,'Over to underbark'!$A$47:$A$48,'Over to underbark'!$B$47:$B$48)*AJ690</f>
        <v>28.328256000000003</v>
      </c>
      <c r="AL690" s="22">
        <f>LOOKUP(A690,'Over to underbark'!$A$47:$A$48,'Over to underbark'!C$47:C$48)*AJ690</f>
        <v>43.377642000000002</v>
      </c>
      <c r="AM690" s="22">
        <f t="shared" si="182"/>
        <v>116.85405600000001</v>
      </c>
      <c r="AN690" s="36">
        <v>927</v>
      </c>
      <c r="AO690" s="23">
        <f t="shared" si="183"/>
        <v>233.70811200000003</v>
      </c>
      <c r="AQ690">
        <f t="shared" si="170"/>
        <v>0.68181818181818166</v>
      </c>
    </row>
    <row r="691" spans="1:43" x14ac:dyDescent="0.35">
      <c r="A691" t="s">
        <v>43</v>
      </c>
      <c r="B691">
        <v>14</v>
      </c>
      <c r="C691">
        <v>2</v>
      </c>
      <c r="D691" t="s">
        <v>42</v>
      </c>
      <c r="E691">
        <v>2</v>
      </c>
      <c r="F691">
        <v>1</v>
      </c>
      <c r="G691" s="30">
        <v>31</v>
      </c>
      <c r="H691" s="30">
        <v>14.638</v>
      </c>
      <c r="I691" s="30">
        <v>1931</v>
      </c>
      <c r="J691" s="30">
        <v>17.757999999999999</v>
      </c>
      <c r="K691" s="30">
        <v>47.823</v>
      </c>
      <c r="L691" s="30">
        <v>0.14899999999999999</v>
      </c>
      <c r="M691" s="30">
        <v>287.83999999999997</v>
      </c>
      <c r="N691" s="30">
        <v>1.9690000000000001</v>
      </c>
      <c r="O691" s="29">
        <v>9.2850000000000001</v>
      </c>
      <c r="P691" s="31">
        <v>31</v>
      </c>
      <c r="Q691" s="31">
        <v>17.757999999999999</v>
      </c>
      <c r="R691" s="31">
        <v>200.65700000000001</v>
      </c>
      <c r="S691" s="31">
        <v>87.183000000000007</v>
      </c>
      <c r="T691" s="10" t="b">
        <f t="shared" si="171"/>
        <v>1</v>
      </c>
      <c r="U691" s="10" t="b">
        <f t="shared" si="172"/>
        <v>1</v>
      </c>
      <c r="V691" s="11">
        <f>VLOOKUP(IF(J691&lt;10, 10, IF(J691&gt;50,50,J691)),'Over to underbark'!$A$3:$C$43,IF(A691="Scots pine",3,IF(A691="Sitka spruce",2, "error")),TRUE)/100</f>
        <v>0.9</v>
      </c>
      <c r="W691">
        <f t="shared" si="173"/>
        <v>162.53217000000001</v>
      </c>
      <c r="X691">
        <f t="shared" si="174"/>
        <v>70.618230000000011</v>
      </c>
      <c r="Y691">
        <f t="shared" si="175"/>
        <v>25.9056</v>
      </c>
      <c r="Z691">
        <f t="shared" si="176"/>
        <v>120.66116728950001</v>
      </c>
      <c r="AA691">
        <f t="shared" si="177"/>
        <v>30.8313387</v>
      </c>
      <c r="AB691">
        <f t="shared" si="178"/>
        <v>68.582231050499999</v>
      </c>
      <c r="AC691">
        <f t="shared" si="179"/>
        <v>38.981262960000002</v>
      </c>
      <c r="AD691">
        <f>LOOKUP($A691,'Over to underbark'!$A$47:$A$48,'Over to underbark'!E$47:E$48)*Z691</f>
        <v>39.818185205535009</v>
      </c>
      <c r="AE691">
        <f>LOOKUP($A691,'Over to underbark'!$A$47:$A$48,'Over to underbark'!E$47:E$48)*AA691</f>
        <v>10.174341771</v>
      </c>
      <c r="AF691">
        <f>LOOKUP($A691,'Over to underbark'!$A$47:$A$48,'Over to underbark'!E$47:E$48)*AB691</f>
        <v>22.632136246665002</v>
      </c>
      <c r="AG691">
        <f>LOOKUP($A691,'Over to underbark'!$A$47:$A$48,'Over to underbark'!E$47:E$48)*AC691</f>
        <v>12.863816776800002</v>
      </c>
      <c r="AH691" t="b">
        <f t="shared" si="180"/>
        <v>1</v>
      </c>
      <c r="AI691" t="b">
        <f t="shared" si="181"/>
        <v>1</v>
      </c>
      <c r="AJ691">
        <f>LOOKUP(A691,'Over to underbark'!$A$47:$A$48,'Over to underbark'!E$47:E$48)*M691</f>
        <v>94.987200000000001</v>
      </c>
      <c r="AK691" s="22">
        <f>LOOKUP(A691,'Over to underbark'!$A$47:$A$48,'Over to underbark'!$B$47:$B$48)*AJ691</f>
        <v>30.395904000000002</v>
      </c>
      <c r="AL691" s="22">
        <f>LOOKUP(A691,'Over to underbark'!$A$47:$A$48,'Over to underbark'!C$47:C$48)*AJ691</f>
        <v>46.543728000000002</v>
      </c>
      <c r="AM691" s="22">
        <f t="shared" si="182"/>
        <v>125.383104</v>
      </c>
      <c r="AN691" s="36">
        <v>928</v>
      </c>
      <c r="AO691" s="23">
        <f t="shared" si="183"/>
        <v>250.76620800000001</v>
      </c>
      <c r="AQ691">
        <f t="shared" si="170"/>
        <v>0.68181818181818199</v>
      </c>
    </row>
    <row r="692" spans="1:43" x14ac:dyDescent="0.35">
      <c r="A692" t="s">
        <v>43</v>
      </c>
      <c r="B692">
        <v>14</v>
      </c>
      <c r="C692">
        <v>2</v>
      </c>
      <c r="D692" t="s">
        <v>42</v>
      </c>
      <c r="E692">
        <v>2</v>
      </c>
      <c r="F692">
        <v>1</v>
      </c>
      <c r="G692" s="30">
        <v>32</v>
      </c>
      <c r="H692" s="30">
        <v>15.173999999999999</v>
      </c>
      <c r="I692" s="30">
        <v>1882</v>
      </c>
      <c r="J692" s="30">
        <v>18.225000000000001</v>
      </c>
      <c r="K692" s="30">
        <v>49.097000000000001</v>
      </c>
      <c r="L692" s="30">
        <v>0.16300000000000001</v>
      </c>
      <c r="M692" s="30">
        <v>307.42</v>
      </c>
      <c r="N692" s="30">
        <v>2.2080000000000002</v>
      </c>
      <c r="O692" s="29">
        <v>9.6069999999999993</v>
      </c>
      <c r="P692" s="31">
        <v>32</v>
      </c>
      <c r="Q692" s="31">
        <v>18.225000000000001</v>
      </c>
      <c r="R692" s="31">
        <v>205.745</v>
      </c>
      <c r="S692" s="31">
        <v>101.675</v>
      </c>
      <c r="T692" s="10" t="b">
        <f t="shared" si="171"/>
        <v>1</v>
      </c>
      <c r="U692" s="10" t="b">
        <f t="shared" si="172"/>
        <v>1</v>
      </c>
      <c r="V692" s="11">
        <f>VLOOKUP(IF(J692&lt;10, 10, IF(J692&gt;50,50,J692)),'Over to underbark'!$A$3:$C$43,IF(A692="Scots pine",3,IF(A692="Sitka spruce",2, "error")),TRUE)/100</f>
        <v>0.9</v>
      </c>
      <c r="W692">
        <f t="shared" si="173"/>
        <v>166.65345000000002</v>
      </c>
      <c r="X692">
        <f t="shared" si="174"/>
        <v>82.356749999999991</v>
      </c>
      <c r="Y692">
        <f t="shared" si="175"/>
        <v>27.667799999999993</v>
      </c>
      <c r="Z692">
        <f t="shared" si="176"/>
        <v>127.48655985750001</v>
      </c>
      <c r="AA692">
        <f t="shared" si="177"/>
        <v>32.165779499999999</v>
      </c>
      <c r="AB692">
        <f t="shared" si="178"/>
        <v>71.564734642500014</v>
      </c>
      <c r="AC692">
        <f t="shared" si="179"/>
        <v>45.460926000000001</v>
      </c>
      <c r="AD692">
        <f>LOOKUP($A692,'Over to underbark'!$A$47:$A$48,'Over to underbark'!E$47:E$48)*Z692</f>
        <v>42.070564752975002</v>
      </c>
      <c r="AE692">
        <f>LOOKUP($A692,'Over to underbark'!$A$47:$A$48,'Over to underbark'!E$47:E$48)*AA692</f>
        <v>10.614707235000001</v>
      </c>
      <c r="AF692">
        <f>LOOKUP($A692,'Over to underbark'!$A$47:$A$48,'Over to underbark'!E$47:E$48)*AB692</f>
        <v>23.616362432025007</v>
      </c>
      <c r="AG692">
        <f>LOOKUP($A692,'Over to underbark'!$A$47:$A$48,'Over to underbark'!E$47:E$48)*AC692</f>
        <v>15.00210558</v>
      </c>
      <c r="AH692" t="b">
        <f t="shared" si="180"/>
        <v>1</v>
      </c>
      <c r="AI692" t="b">
        <f t="shared" si="181"/>
        <v>1</v>
      </c>
      <c r="AJ692">
        <f>LOOKUP(A692,'Over to underbark'!$A$47:$A$48,'Over to underbark'!E$47:E$48)*M692</f>
        <v>101.44860000000001</v>
      </c>
      <c r="AK692" s="22">
        <f>LOOKUP(A692,'Over to underbark'!$A$47:$A$48,'Over to underbark'!$B$47:$B$48)*AJ692</f>
        <v>32.463552000000007</v>
      </c>
      <c r="AL692" s="22">
        <f>LOOKUP(A692,'Over to underbark'!$A$47:$A$48,'Over to underbark'!C$47:C$48)*AJ692</f>
        <v>49.709814000000009</v>
      </c>
      <c r="AM692" s="22">
        <f t="shared" si="182"/>
        <v>133.91215200000002</v>
      </c>
      <c r="AN692" s="36">
        <v>929</v>
      </c>
      <c r="AO692" s="23">
        <f t="shared" si="183"/>
        <v>267.82430400000004</v>
      </c>
      <c r="AQ692">
        <f t="shared" si="170"/>
        <v>0.68181818181818177</v>
      </c>
    </row>
    <row r="693" spans="1:43" x14ac:dyDescent="0.35">
      <c r="A693" t="s">
        <v>43</v>
      </c>
      <c r="B693">
        <v>14</v>
      </c>
      <c r="C693">
        <v>2</v>
      </c>
      <c r="D693" t="s">
        <v>42</v>
      </c>
      <c r="E693">
        <v>2</v>
      </c>
      <c r="F693">
        <v>1</v>
      </c>
      <c r="G693" s="30">
        <v>33</v>
      </c>
      <c r="H693" s="30">
        <v>15.71</v>
      </c>
      <c r="I693" s="30">
        <v>1834</v>
      </c>
      <c r="J693" s="30">
        <v>18.7</v>
      </c>
      <c r="K693" s="30">
        <v>50.37</v>
      </c>
      <c r="L693" s="30">
        <v>0.17799999999999999</v>
      </c>
      <c r="M693" s="30">
        <v>327</v>
      </c>
      <c r="N693" s="30">
        <v>2.4169999999999998</v>
      </c>
      <c r="O693" s="29">
        <v>9.9090000000000007</v>
      </c>
      <c r="P693" s="31">
        <v>33</v>
      </c>
      <c r="Q693" s="31">
        <v>18.7</v>
      </c>
      <c r="R693" s="31">
        <v>209.727</v>
      </c>
      <c r="S693" s="31">
        <v>117.273</v>
      </c>
      <c r="T693" s="10" t="b">
        <f t="shared" si="171"/>
        <v>1</v>
      </c>
      <c r="U693" s="10" t="b">
        <f t="shared" si="172"/>
        <v>1</v>
      </c>
      <c r="V693" s="11">
        <f>VLOOKUP(IF(J693&lt;10, 10, IF(J693&gt;50,50,J693)),'Over to underbark'!$A$3:$C$43,IF(A693="Scots pine",3,IF(A693="Sitka spruce",2, "error")),TRUE)/100</f>
        <v>0.9</v>
      </c>
      <c r="W693">
        <f t="shared" si="173"/>
        <v>169.87887000000001</v>
      </c>
      <c r="X693">
        <f t="shared" si="174"/>
        <v>94.991129999999998</v>
      </c>
      <c r="Y693">
        <f t="shared" si="175"/>
        <v>29.429999999999996</v>
      </c>
      <c r="Z693">
        <f t="shared" si="176"/>
        <v>134.1333627345</v>
      </c>
      <c r="AA693">
        <f t="shared" si="177"/>
        <v>33.401675699999998</v>
      </c>
      <c r="AB693">
        <f t="shared" si="178"/>
        <v>74.329857805500012</v>
      </c>
      <c r="AC693">
        <f t="shared" si="179"/>
        <v>52.435103760000004</v>
      </c>
      <c r="AD693">
        <f>LOOKUP($A693,'Over to underbark'!$A$47:$A$48,'Over to underbark'!E$47:E$48)*Z693</f>
        <v>44.264009702385003</v>
      </c>
      <c r="AE693">
        <f>LOOKUP($A693,'Over to underbark'!$A$47:$A$48,'Over to underbark'!E$47:E$48)*AA693</f>
        <v>11.022552981</v>
      </c>
      <c r="AF693">
        <f>LOOKUP($A693,'Over to underbark'!$A$47:$A$48,'Over to underbark'!E$47:E$48)*AB693</f>
        <v>24.528853075815004</v>
      </c>
      <c r="AG693">
        <f>LOOKUP($A693,'Over to underbark'!$A$47:$A$48,'Over to underbark'!E$47:E$48)*AC693</f>
        <v>17.303584240800003</v>
      </c>
      <c r="AH693" t="b">
        <f t="shared" si="180"/>
        <v>1</v>
      </c>
      <c r="AI693" t="b">
        <f t="shared" si="181"/>
        <v>1</v>
      </c>
      <c r="AJ693">
        <f>LOOKUP(A693,'Over to underbark'!$A$47:$A$48,'Over to underbark'!E$47:E$48)*M693</f>
        <v>107.91000000000001</v>
      </c>
      <c r="AK693" s="22">
        <f>LOOKUP(A693,'Over to underbark'!$A$47:$A$48,'Over to underbark'!$B$47:$B$48)*AJ693</f>
        <v>34.531200000000005</v>
      </c>
      <c r="AL693" s="22">
        <f>LOOKUP(A693,'Over to underbark'!$A$47:$A$48,'Over to underbark'!C$47:C$48)*AJ693</f>
        <v>52.875900000000001</v>
      </c>
      <c r="AM693" s="22">
        <f t="shared" si="182"/>
        <v>142.44120000000001</v>
      </c>
      <c r="AN693" s="36">
        <v>930</v>
      </c>
      <c r="AO693" s="23">
        <f t="shared" si="183"/>
        <v>284.88240000000002</v>
      </c>
      <c r="AQ693">
        <f t="shared" si="170"/>
        <v>0.68181818181818188</v>
      </c>
    </row>
    <row r="694" spans="1:43" x14ac:dyDescent="0.35">
      <c r="A694" t="s">
        <v>43</v>
      </c>
      <c r="B694">
        <v>14</v>
      </c>
      <c r="C694">
        <v>2</v>
      </c>
      <c r="D694" t="s">
        <v>42</v>
      </c>
      <c r="E694">
        <v>2</v>
      </c>
      <c r="F694">
        <v>1</v>
      </c>
      <c r="G694" s="30">
        <v>34</v>
      </c>
      <c r="H694" s="30">
        <v>16.207999999999998</v>
      </c>
      <c r="I694" s="30">
        <v>1792</v>
      </c>
      <c r="J694" s="30">
        <v>19.116</v>
      </c>
      <c r="K694" s="30">
        <v>51.427999999999997</v>
      </c>
      <c r="L694" s="30">
        <v>0.193</v>
      </c>
      <c r="M694" s="30">
        <v>346.28</v>
      </c>
      <c r="N694" s="30">
        <v>2.85</v>
      </c>
      <c r="O694" s="29">
        <v>10.185</v>
      </c>
      <c r="P694" s="31">
        <v>34</v>
      </c>
      <c r="Q694" s="31">
        <v>19.116</v>
      </c>
      <c r="R694" s="31">
        <v>213.77600000000001</v>
      </c>
      <c r="S694" s="31">
        <v>132.50399999999999</v>
      </c>
      <c r="T694" s="10" t="b">
        <f t="shared" si="171"/>
        <v>1</v>
      </c>
      <c r="U694" s="10" t="b">
        <f t="shared" si="172"/>
        <v>1</v>
      </c>
      <c r="V694" s="11">
        <f>VLOOKUP(IF(J694&lt;10, 10, IF(J694&gt;50,50,J694)),'Over to underbark'!$A$3:$C$43,IF(A694="Scots pine",3,IF(A694="Sitka spruce",2, "error")),TRUE)/100</f>
        <v>0.9</v>
      </c>
      <c r="W694">
        <f t="shared" si="173"/>
        <v>173.15856000000002</v>
      </c>
      <c r="X694">
        <f t="shared" si="174"/>
        <v>107.32823999999999</v>
      </c>
      <c r="Y694">
        <f t="shared" si="175"/>
        <v>31.165199999999992</v>
      </c>
      <c r="Z694">
        <f t="shared" si="176"/>
        <v>140.698995336</v>
      </c>
      <c r="AA694">
        <f t="shared" si="177"/>
        <v>34.630041599999998</v>
      </c>
      <c r="AB694">
        <f t="shared" si="178"/>
        <v>77.077774584000011</v>
      </c>
      <c r="AC694">
        <f t="shared" si="179"/>
        <v>59.245188479999996</v>
      </c>
      <c r="AD694">
        <f>LOOKUP($A694,'Over to underbark'!$A$47:$A$48,'Over to underbark'!E$47:E$48)*Z694</f>
        <v>46.43066846088</v>
      </c>
      <c r="AE694">
        <f>LOOKUP($A694,'Over to underbark'!$A$47:$A$48,'Over to underbark'!E$47:E$48)*AA694</f>
        <v>11.427913728</v>
      </c>
      <c r="AF694">
        <f>LOOKUP($A694,'Over to underbark'!$A$47:$A$48,'Over to underbark'!E$47:E$48)*AB694</f>
        <v>25.435665612720005</v>
      </c>
      <c r="AG694">
        <f>LOOKUP($A694,'Over to underbark'!$A$47:$A$48,'Over to underbark'!E$47:E$48)*AC694</f>
        <v>19.550912198399999</v>
      </c>
      <c r="AH694" t="b">
        <f t="shared" si="180"/>
        <v>1</v>
      </c>
      <c r="AI694" t="b">
        <f t="shared" si="181"/>
        <v>1</v>
      </c>
      <c r="AJ694">
        <f>LOOKUP(A694,'Over to underbark'!$A$47:$A$48,'Over to underbark'!E$47:E$48)*M694</f>
        <v>114.27239999999999</v>
      </c>
      <c r="AK694" s="22">
        <f>LOOKUP(A694,'Over to underbark'!$A$47:$A$48,'Over to underbark'!$B$47:$B$48)*AJ694</f>
        <v>36.567167999999995</v>
      </c>
      <c r="AL694" s="22">
        <f>LOOKUP(A694,'Over to underbark'!$A$47:$A$48,'Over to underbark'!C$47:C$48)*AJ694</f>
        <v>55.993475999999994</v>
      </c>
      <c r="AM694" s="22">
        <f t="shared" si="182"/>
        <v>150.83956799999999</v>
      </c>
      <c r="AN694" s="36">
        <v>931</v>
      </c>
      <c r="AO694" s="23">
        <f t="shared" si="183"/>
        <v>301.67913599999997</v>
      </c>
      <c r="AQ694">
        <f t="shared" si="170"/>
        <v>0.68181818181818188</v>
      </c>
    </row>
    <row r="695" spans="1:43" x14ac:dyDescent="0.35">
      <c r="A695" t="s">
        <v>43</v>
      </c>
      <c r="B695">
        <v>14</v>
      </c>
      <c r="C695">
        <v>2</v>
      </c>
      <c r="D695" t="s">
        <v>42</v>
      </c>
      <c r="E695">
        <v>2</v>
      </c>
      <c r="F695">
        <v>1</v>
      </c>
      <c r="G695" s="30">
        <v>35</v>
      </c>
      <c r="H695" s="30">
        <v>16.706</v>
      </c>
      <c r="I695" s="30">
        <v>1750</v>
      </c>
      <c r="J695" s="30">
        <v>19.542000000000002</v>
      </c>
      <c r="K695" s="30">
        <v>52.487000000000002</v>
      </c>
      <c r="L695" s="30">
        <v>0.20899999999999999</v>
      </c>
      <c r="M695" s="30">
        <v>365.56</v>
      </c>
      <c r="N695" s="30">
        <v>3.2349999999999999</v>
      </c>
      <c r="O695" s="29">
        <v>10.445</v>
      </c>
      <c r="P695" s="31">
        <v>35</v>
      </c>
      <c r="Q695" s="31">
        <v>19.542000000000002</v>
      </c>
      <c r="R695" s="31">
        <v>216.85</v>
      </c>
      <c r="S695" s="31">
        <v>148.71</v>
      </c>
      <c r="T695" s="10" t="b">
        <f t="shared" si="171"/>
        <v>1</v>
      </c>
      <c r="U695" s="10" t="b">
        <f t="shared" si="172"/>
        <v>1</v>
      </c>
      <c r="V695" s="11">
        <f>VLOOKUP(IF(J695&lt;10, 10, IF(J695&gt;50,50,J695)),'Over to underbark'!$A$3:$C$43,IF(A695="Scots pine",3,IF(A695="Sitka spruce",2, "error")),TRUE)/100</f>
        <v>0.9</v>
      </c>
      <c r="W695">
        <f t="shared" si="173"/>
        <v>175.64849999999998</v>
      </c>
      <c r="X695">
        <f t="shared" si="174"/>
        <v>120.4551</v>
      </c>
      <c r="Y695">
        <f t="shared" si="175"/>
        <v>32.900399999999998</v>
      </c>
      <c r="Z695">
        <f t="shared" si="176"/>
        <v>147.10719127499996</v>
      </c>
      <c r="AA695">
        <f t="shared" si="177"/>
        <v>35.771535</v>
      </c>
      <c r="AB695">
        <f t="shared" si="178"/>
        <v>79.634058524999986</v>
      </c>
      <c r="AC695">
        <f t="shared" si="179"/>
        <v>66.491215199999999</v>
      </c>
      <c r="AD695">
        <f>LOOKUP($A695,'Over to underbark'!$A$47:$A$48,'Over to underbark'!E$47:E$48)*Z695</f>
        <v>48.545373120749993</v>
      </c>
      <c r="AE695">
        <f>LOOKUP($A695,'Over to underbark'!$A$47:$A$48,'Over to underbark'!E$47:E$48)*AA695</f>
        <v>11.804606550000001</v>
      </c>
      <c r="AF695">
        <f>LOOKUP($A695,'Over to underbark'!$A$47:$A$48,'Over to underbark'!E$47:E$48)*AB695</f>
        <v>26.279239313249995</v>
      </c>
      <c r="AG695">
        <f>LOOKUP($A695,'Over to underbark'!$A$47:$A$48,'Over to underbark'!E$47:E$48)*AC695</f>
        <v>21.942101016000002</v>
      </c>
      <c r="AH695" t="b">
        <f t="shared" si="180"/>
        <v>1</v>
      </c>
      <c r="AI695" t="b">
        <f t="shared" si="181"/>
        <v>1</v>
      </c>
      <c r="AJ695">
        <f>LOOKUP(A695,'Over to underbark'!$A$47:$A$48,'Over to underbark'!E$47:E$48)*M695</f>
        <v>120.63480000000001</v>
      </c>
      <c r="AK695" s="22">
        <f>LOOKUP(A695,'Over to underbark'!$A$47:$A$48,'Over to underbark'!$B$47:$B$48)*AJ695</f>
        <v>38.603136000000006</v>
      </c>
      <c r="AL695" s="22">
        <f>LOOKUP(A695,'Over to underbark'!$A$47:$A$48,'Over to underbark'!C$47:C$48)*AJ695</f>
        <v>59.111052000000008</v>
      </c>
      <c r="AM695" s="22">
        <f t="shared" si="182"/>
        <v>159.23793600000002</v>
      </c>
      <c r="AN695" s="36">
        <v>932</v>
      </c>
      <c r="AO695" s="23">
        <f t="shared" si="183"/>
        <v>318.47587200000004</v>
      </c>
      <c r="AQ695">
        <f t="shared" si="170"/>
        <v>0.68181818181818166</v>
      </c>
    </row>
    <row r="696" spans="1:43" x14ac:dyDescent="0.35">
      <c r="A696" t="s">
        <v>43</v>
      </c>
      <c r="B696">
        <v>14</v>
      </c>
      <c r="C696">
        <v>2</v>
      </c>
      <c r="D696" t="s">
        <v>42</v>
      </c>
      <c r="E696">
        <v>2</v>
      </c>
      <c r="F696">
        <v>1</v>
      </c>
      <c r="G696" s="30">
        <v>36</v>
      </c>
      <c r="H696" s="30">
        <v>17.204000000000001</v>
      </c>
      <c r="I696" s="30">
        <v>1708</v>
      </c>
      <c r="J696" s="30">
        <v>19.978999999999999</v>
      </c>
      <c r="K696" s="30">
        <v>53.545000000000002</v>
      </c>
      <c r="L696" s="30">
        <v>0.22500000000000001</v>
      </c>
      <c r="M696" s="30">
        <v>384.84</v>
      </c>
      <c r="N696" s="30">
        <v>3.5779999999999998</v>
      </c>
      <c r="O696" s="29">
        <v>10.69</v>
      </c>
      <c r="P696" s="31">
        <v>36</v>
      </c>
      <c r="Q696" s="31">
        <v>19.978999999999999</v>
      </c>
      <c r="R696" s="31">
        <v>218.95099999999999</v>
      </c>
      <c r="S696" s="31">
        <v>165.88900000000001</v>
      </c>
      <c r="T696" s="10" t="b">
        <f t="shared" si="171"/>
        <v>1</v>
      </c>
      <c r="U696" s="10" t="b">
        <f t="shared" si="172"/>
        <v>1</v>
      </c>
      <c r="V696" s="11">
        <f>VLOOKUP(IF(J696&lt;10, 10, IF(J696&gt;50,50,J696)),'Over to underbark'!$A$3:$C$43,IF(A696="Scots pine",3,IF(A696="Sitka spruce",2, "error")),TRUE)/100</f>
        <v>0.9</v>
      </c>
      <c r="W696">
        <f t="shared" si="173"/>
        <v>177.35031000000001</v>
      </c>
      <c r="X696">
        <f t="shared" si="174"/>
        <v>134.37009</v>
      </c>
      <c r="Y696">
        <f t="shared" si="175"/>
        <v>34.635599999999997</v>
      </c>
      <c r="Z696">
        <f t="shared" si="176"/>
        <v>153.35827349849998</v>
      </c>
      <c r="AA696">
        <f t="shared" si="177"/>
        <v>36.826334099999997</v>
      </c>
      <c r="AB696">
        <f t="shared" si="178"/>
        <v>81.999102721499995</v>
      </c>
      <c r="AC696">
        <f t="shared" si="179"/>
        <v>74.172289680000006</v>
      </c>
      <c r="AD696">
        <f>LOOKUP($A696,'Over to underbark'!$A$47:$A$48,'Over to underbark'!E$47:E$48)*Z696</f>
        <v>50.608230254504996</v>
      </c>
      <c r="AE696">
        <f>LOOKUP($A696,'Over to underbark'!$A$47:$A$48,'Over to underbark'!E$47:E$48)*AA696</f>
        <v>12.152690252999999</v>
      </c>
      <c r="AF696">
        <f>LOOKUP($A696,'Over to underbark'!$A$47:$A$48,'Over to underbark'!E$47:E$48)*AB696</f>
        <v>27.059703898094998</v>
      </c>
      <c r="AG696">
        <f>LOOKUP($A696,'Over to underbark'!$A$47:$A$48,'Over to underbark'!E$47:E$48)*AC696</f>
        <v>24.476855594400003</v>
      </c>
      <c r="AH696" t="b">
        <f t="shared" si="180"/>
        <v>1</v>
      </c>
      <c r="AI696" t="b">
        <f t="shared" si="181"/>
        <v>1</v>
      </c>
      <c r="AJ696">
        <f>LOOKUP(A696,'Over to underbark'!$A$47:$A$48,'Over to underbark'!E$47:E$48)*M696</f>
        <v>126.99719999999999</v>
      </c>
      <c r="AK696" s="22">
        <f>LOOKUP(A696,'Over to underbark'!$A$47:$A$48,'Over to underbark'!$B$47:$B$48)*AJ696</f>
        <v>40.639103999999996</v>
      </c>
      <c r="AL696" s="22">
        <f>LOOKUP(A696,'Over to underbark'!$A$47:$A$48,'Over to underbark'!C$47:C$48)*AJ696</f>
        <v>62.228627999999993</v>
      </c>
      <c r="AM696" s="22">
        <f t="shared" si="182"/>
        <v>167.636304</v>
      </c>
      <c r="AN696" s="36">
        <v>933</v>
      </c>
      <c r="AO696" s="23">
        <f t="shared" si="183"/>
        <v>335.27260799999999</v>
      </c>
      <c r="AQ696">
        <f t="shared" si="170"/>
        <v>0.68181818181818177</v>
      </c>
    </row>
    <row r="697" spans="1:43" x14ac:dyDescent="0.35">
      <c r="A697" t="s">
        <v>43</v>
      </c>
      <c r="B697">
        <v>14</v>
      </c>
      <c r="C697">
        <v>2</v>
      </c>
      <c r="D697" t="s">
        <v>42</v>
      </c>
      <c r="E697">
        <v>2</v>
      </c>
      <c r="F697">
        <v>1</v>
      </c>
      <c r="G697" s="30">
        <v>37</v>
      </c>
      <c r="H697" s="30">
        <v>17.702000000000002</v>
      </c>
      <c r="I697" s="30">
        <v>1666</v>
      </c>
      <c r="J697" s="30">
        <v>20.428000000000001</v>
      </c>
      <c r="K697" s="30">
        <v>54.603000000000002</v>
      </c>
      <c r="L697" s="30">
        <v>0.24299999999999999</v>
      </c>
      <c r="M697" s="30">
        <v>404.12</v>
      </c>
      <c r="N697" s="30">
        <v>3.8860000000000001</v>
      </c>
      <c r="O697" s="29">
        <v>10.922000000000001</v>
      </c>
      <c r="P697" s="31">
        <v>37</v>
      </c>
      <c r="Q697" s="31">
        <v>20.428000000000001</v>
      </c>
      <c r="R697" s="31">
        <v>220.08099999999999</v>
      </c>
      <c r="S697" s="31">
        <v>184.03899999999999</v>
      </c>
      <c r="T697" s="10" t="b">
        <f t="shared" si="171"/>
        <v>1</v>
      </c>
      <c r="U697" s="10" t="b">
        <f t="shared" si="172"/>
        <v>1</v>
      </c>
      <c r="V697" s="11">
        <f>VLOOKUP(IF(J697&lt;10, 10, IF(J697&gt;50,50,J697)),'Over to underbark'!$A$3:$C$43,IF(A697="Scots pine",3,IF(A697="Sitka spruce",2, "error")),TRUE)/100</f>
        <v>0.9</v>
      </c>
      <c r="W697">
        <f t="shared" si="173"/>
        <v>178.26561000000001</v>
      </c>
      <c r="X697">
        <f t="shared" si="174"/>
        <v>149.07158999999999</v>
      </c>
      <c r="Y697">
        <f t="shared" si="175"/>
        <v>36.370799999999996</v>
      </c>
      <c r="Z697">
        <f t="shared" si="176"/>
        <v>159.45256495350003</v>
      </c>
      <c r="AA697">
        <f t="shared" si="177"/>
        <v>37.794617099999996</v>
      </c>
      <c r="AB697">
        <f t="shared" si="178"/>
        <v>84.173300266500007</v>
      </c>
      <c r="AC697">
        <f t="shared" si="179"/>
        <v>82.287517679999993</v>
      </c>
      <c r="AD697">
        <f>LOOKUP($A697,'Over to underbark'!$A$47:$A$48,'Over to underbark'!E$47:E$48)*Z697</f>
        <v>52.619346434655014</v>
      </c>
      <c r="AE697">
        <f>LOOKUP($A697,'Over to underbark'!$A$47:$A$48,'Over to underbark'!E$47:E$48)*AA697</f>
        <v>12.472223643</v>
      </c>
      <c r="AF697">
        <f>LOOKUP($A697,'Over to underbark'!$A$47:$A$48,'Over to underbark'!E$47:E$48)*AB697</f>
        <v>27.777189087945004</v>
      </c>
      <c r="AG697">
        <f>LOOKUP($A697,'Over to underbark'!$A$47:$A$48,'Over to underbark'!E$47:E$48)*AC697</f>
        <v>27.1548808344</v>
      </c>
      <c r="AH697" t="b">
        <f t="shared" si="180"/>
        <v>1</v>
      </c>
      <c r="AI697" t="b">
        <f t="shared" si="181"/>
        <v>1</v>
      </c>
      <c r="AJ697">
        <f>LOOKUP(A697,'Over to underbark'!$A$47:$A$48,'Over to underbark'!E$47:E$48)*M697</f>
        <v>133.3596</v>
      </c>
      <c r="AK697" s="22">
        <f>LOOKUP(A697,'Over to underbark'!$A$47:$A$48,'Over to underbark'!$B$47:$B$48)*AJ697</f>
        <v>42.675072</v>
      </c>
      <c r="AL697" s="22">
        <f>LOOKUP(A697,'Over to underbark'!$A$47:$A$48,'Over to underbark'!C$47:C$48)*AJ697</f>
        <v>65.346204</v>
      </c>
      <c r="AM697" s="22">
        <f t="shared" si="182"/>
        <v>176.034672</v>
      </c>
      <c r="AN697" s="36">
        <v>934</v>
      </c>
      <c r="AO697" s="23">
        <f t="shared" si="183"/>
        <v>352.069344</v>
      </c>
      <c r="AQ697">
        <f t="shared" si="170"/>
        <v>0.68181818181818188</v>
      </c>
    </row>
    <row r="698" spans="1:43" x14ac:dyDescent="0.35">
      <c r="A698" t="s">
        <v>43</v>
      </c>
      <c r="B698">
        <v>14</v>
      </c>
      <c r="C698">
        <v>2</v>
      </c>
      <c r="D698" t="s">
        <v>42</v>
      </c>
      <c r="E698">
        <v>2</v>
      </c>
      <c r="F698">
        <v>1</v>
      </c>
      <c r="G698" s="30">
        <v>38</v>
      </c>
      <c r="H698" s="30">
        <v>18.2</v>
      </c>
      <c r="I698" s="30">
        <v>1624</v>
      </c>
      <c r="J698" s="30">
        <v>20.89</v>
      </c>
      <c r="K698" s="30">
        <v>55.661000000000001</v>
      </c>
      <c r="L698" s="30">
        <v>0.26100000000000001</v>
      </c>
      <c r="M698" s="30">
        <v>423.4</v>
      </c>
      <c r="N698" s="30">
        <v>4.165</v>
      </c>
      <c r="O698" s="29">
        <v>11.141999999999999</v>
      </c>
      <c r="P698" s="31">
        <v>38</v>
      </c>
      <c r="Q698" s="31">
        <v>20.89</v>
      </c>
      <c r="R698" s="31">
        <v>220.24799999999999</v>
      </c>
      <c r="S698" s="31">
        <v>203.15199999999999</v>
      </c>
      <c r="T698" s="10" t="b">
        <f t="shared" si="171"/>
        <v>1</v>
      </c>
      <c r="U698" s="10" t="b">
        <f t="shared" si="172"/>
        <v>1</v>
      </c>
      <c r="V698" s="11">
        <f>VLOOKUP(IF(J698&lt;10, 10, IF(J698&gt;50,50,J698)),'Over to underbark'!$A$3:$C$43,IF(A698="Scots pine",3,IF(A698="Sitka spruce",2, "error")),TRUE)/100</f>
        <v>0.9</v>
      </c>
      <c r="W698">
        <f t="shared" si="173"/>
        <v>178.40088</v>
      </c>
      <c r="X698">
        <f t="shared" si="174"/>
        <v>164.55311999999998</v>
      </c>
      <c r="Y698">
        <f t="shared" si="175"/>
        <v>38.105999999999995</v>
      </c>
      <c r="Z698">
        <f t="shared" si="176"/>
        <v>165.39135742800002</v>
      </c>
      <c r="AA698">
        <f t="shared" si="177"/>
        <v>38.677096800000001</v>
      </c>
      <c r="AB698">
        <f t="shared" si="178"/>
        <v>86.158223531999994</v>
      </c>
      <c r="AC698">
        <f t="shared" si="179"/>
        <v>90.833322239999987</v>
      </c>
      <c r="AD698">
        <f>LOOKUP($A698,'Over to underbark'!$A$47:$A$48,'Over to underbark'!E$47:E$48)*Z698</f>
        <v>54.57914795124001</v>
      </c>
      <c r="AE698">
        <f>LOOKUP($A698,'Over to underbark'!$A$47:$A$48,'Over to underbark'!E$47:E$48)*AA698</f>
        <v>12.763441944</v>
      </c>
      <c r="AF698">
        <f>LOOKUP($A698,'Over to underbark'!$A$47:$A$48,'Over to underbark'!E$47:E$48)*AB698</f>
        <v>28.43221376556</v>
      </c>
      <c r="AG698">
        <f>LOOKUP($A698,'Over to underbark'!$A$47:$A$48,'Over to underbark'!E$47:E$48)*AC698</f>
        <v>29.974996339199997</v>
      </c>
      <c r="AH698" t="b">
        <f t="shared" si="180"/>
        <v>1</v>
      </c>
      <c r="AI698" t="b">
        <f t="shared" si="181"/>
        <v>1</v>
      </c>
      <c r="AJ698">
        <f>LOOKUP(A698,'Over to underbark'!$A$47:$A$48,'Over to underbark'!E$47:E$48)*M698</f>
        <v>139.72200000000001</v>
      </c>
      <c r="AK698" s="22">
        <f>LOOKUP(A698,'Over to underbark'!$A$47:$A$48,'Over to underbark'!$B$47:$B$48)*AJ698</f>
        <v>44.711040000000004</v>
      </c>
      <c r="AL698" s="22">
        <f>LOOKUP(A698,'Over to underbark'!$A$47:$A$48,'Over to underbark'!C$47:C$48)*AJ698</f>
        <v>68.46378</v>
      </c>
      <c r="AM698" s="22">
        <f t="shared" si="182"/>
        <v>184.43304000000001</v>
      </c>
      <c r="AN698" s="36">
        <v>935</v>
      </c>
      <c r="AO698" s="23">
        <f t="shared" si="183"/>
        <v>368.86608000000001</v>
      </c>
      <c r="AQ698">
        <f t="shared" si="170"/>
        <v>0.68181818181818188</v>
      </c>
    </row>
    <row r="699" spans="1:43" x14ac:dyDescent="0.35">
      <c r="A699" t="s">
        <v>43</v>
      </c>
      <c r="B699">
        <v>14</v>
      </c>
      <c r="C699">
        <v>2</v>
      </c>
      <c r="D699" t="s">
        <v>42</v>
      </c>
      <c r="E699">
        <v>2</v>
      </c>
      <c r="F699">
        <v>1</v>
      </c>
      <c r="G699" s="30">
        <v>39</v>
      </c>
      <c r="H699" s="30">
        <v>18.649999999999999</v>
      </c>
      <c r="I699" s="30">
        <v>1587</v>
      </c>
      <c r="J699" s="30">
        <v>21.283000000000001</v>
      </c>
      <c r="K699" s="30">
        <v>56.457000000000001</v>
      </c>
      <c r="L699" s="30">
        <v>0.27800000000000002</v>
      </c>
      <c r="M699" s="30">
        <v>441.18</v>
      </c>
      <c r="N699" s="30">
        <v>4.585</v>
      </c>
      <c r="O699" s="29">
        <v>11.311999999999999</v>
      </c>
      <c r="P699" s="31">
        <v>39</v>
      </c>
      <c r="Q699" s="31">
        <v>21.283000000000001</v>
      </c>
      <c r="R699" s="31">
        <v>220.577</v>
      </c>
      <c r="S699" s="31">
        <v>220.60300000000001</v>
      </c>
      <c r="T699" s="10" t="b">
        <f t="shared" si="171"/>
        <v>1</v>
      </c>
      <c r="U699" s="10" t="b">
        <f t="shared" si="172"/>
        <v>1</v>
      </c>
      <c r="V699" s="11">
        <f>VLOOKUP(IF(J699&lt;10, 10, IF(J699&gt;50,50,J699)),'Over to underbark'!$A$3:$C$43,IF(A699="Scots pine",3,IF(A699="Sitka spruce",2, "error")),TRUE)/100</f>
        <v>0.9</v>
      </c>
      <c r="W699">
        <f t="shared" si="173"/>
        <v>178.66737000000001</v>
      </c>
      <c r="X699">
        <f t="shared" si="174"/>
        <v>178.68843000000004</v>
      </c>
      <c r="Y699">
        <f t="shared" si="175"/>
        <v>39.706199999999995</v>
      </c>
      <c r="Z699">
        <f t="shared" si="176"/>
        <v>170.89636360950004</v>
      </c>
      <c r="AA699">
        <f t="shared" si="177"/>
        <v>39.5065107</v>
      </c>
      <c r="AB699">
        <f t="shared" si="178"/>
        <v>88.023112330499998</v>
      </c>
      <c r="AC699">
        <f t="shared" si="179"/>
        <v>98.636013360000021</v>
      </c>
      <c r="AD699">
        <f>LOOKUP($A699,'Over to underbark'!$A$47:$A$48,'Over to underbark'!E$47:E$48)*Z699</f>
        <v>56.395799991135014</v>
      </c>
      <c r="AE699">
        <f>LOOKUP($A699,'Over to underbark'!$A$47:$A$48,'Over to underbark'!E$47:E$48)*AA699</f>
        <v>13.037148531</v>
      </c>
      <c r="AF699">
        <f>LOOKUP($A699,'Over to underbark'!$A$47:$A$48,'Over to underbark'!E$47:E$48)*AB699</f>
        <v>29.047627069065001</v>
      </c>
      <c r="AG699">
        <f>LOOKUP($A699,'Over to underbark'!$A$47:$A$48,'Over to underbark'!E$47:E$48)*AC699</f>
        <v>32.549884408800011</v>
      </c>
      <c r="AH699" t="b">
        <f t="shared" si="180"/>
        <v>1</v>
      </c>
      <c r="AI699" t="b">
        <f t="shared" si="181"/>
        <v>1</v>
      </c>
      <c r="AJ699">
        <f>LOOKUP(A699,'Over to underbark'!$A$47:$A$48,'Over to underbark'!E$47:E$48)*M699</f>
        <v>145.58940000000001</v>
      </c>
      <c r="AK699" s="22">
        <f>LOOKUP(A699,'Over to underbark'!$A$47:$A$48,'Over to underbark'!$B$47:$B$48)*AJ699</f>
        <v>46.588608000000008</v>
      </c>
      <c r="AL699" s="22">
        <f>LOOKUP(A699,'Over to underbark'!$A$47:$A$48,'Over to underbark'!C$47:C$48)*AJ699</f>
        <v>71.338806000000005</v>
      </c>
      <c r="AM699" s="22">
        <f t="shared" si="182"/>
        <v>192.17800800000003</v>
      </c>
      <c r="AN699" s="36">
        <v>936</v>
      </c>
      <c r="AO699" s="23">
        <f t="shared" si="183"/>
        <v>384.35601600000007</v>
      </c>
      <c r="AQ699">
        <f t="shared" si="170"/>
        <v>0.68181818181818177</v>
      </c>
    </row>
    <row r="700" spans="1:43" x14ac:dyDescent="0.35">
      <c r="A700" t="s">
        <v>43</v>
      </c>
      <c r="B700">
        <v>14</v>
      </c>
      <c r="C700">
        <v>2</v>
      </c>
      <c r="D700" t="s">
        <v>42</v>
      </c>
      <c r="E700">
        <v>2</v>
      </c>
      <c r="F700">
        <v>1</v>
      </c>
      <c r="G700" s="30">
        <v>40</v>
      </c>
      <c r="H700" s="30">
        <v>19.100000000000001</v>
      </c>
      <c r="I700" s="30">
        <v>1551</v>
      </c>
      <c r="J700" s="30">
        <v>21.678999999999998</v>
      </c>
      <c r="K700" s="30">
        <v>57.253</v>
      </c>
      <c r="L700" s="30">
        <v>0.29599999999999999</v>
      </c>
      <c r="M700" s="30">
        <v>458.96</v>
      </c>
      <c r="N700" s="30">
        <v>4.9690000000000003</v>
      </c>
      <c r="O700" s="29">
        <v>11.474</v>
      </c>
      <c r="P700" s="31">
        <v>40</v>
      </c>
      <c r="Q700" s="31">
        <v>21.678999999999998</v>
      </c>
      <c r="R700" s="31">
        <v>220.35499999999999</v>
      </c>
      <c r="S700" s="31">
        <v>238.60499999999999</v>
      </c>
      <c r="T700" s="10" t="b">
        <f t="shared" si="171"/>
        <v>1</v>
      </c>
      <c r="U700" s="10" t="b">
        <f t="shared" si="172"/>
        <v>1</v>
      </c>
      <c r="V700" s="11">
        <f>VLOOKUP(IF(J700&lt;10, 10, IF(J700&gt;50,50,J700)),'Over to underbark'!$A$3:$C$43,IF(A700="Scots pine",3,IF(A700="Sitka spruce",2, "error")),TRUE)/100</f>
        <v>0.9</v>
      </c>
      <c r="W700">
        <f t="shared" si="173"/>
        <v>178.48755</v>
      </c>
      <c r="X700">
        <f t="shared" si="174"/>
        <v>193.27005</v>
      </c>
      <c r="Y700">
        <f t="shared" si="175"/>
        <v>41.306399999999989</v>
      </c>
      <c r="Z700">
        <f t="shared" si="176"/>
        <v>176.31239789250003</v>
      </c>
      <c r="AA700">
        <f t="shared" si="177"/>
        <v>40.286830499999994</v>
      </c>
      <c r="AB700">
        <f t="shared" si="178"/>
        <v>89.779704007500001</v>
      </c>
      <c r="AC700">
        <f t="shared" si="179"/>
        <v>106.6850676</v>
      </c>
      <c r="AD700">
        <f>LOOKUP($A700,'Over to underbark'!$A$47:$A$48,'Over to underbark'!E$47:E$48)*Z700</f>
        <v>58.183091304525014</v>
      </c>
      <c r="AE700">
        <f>LOOKUP($A700,'Over to underbark'!$A$47:$A$48,'Over to underbark'!E$47:E$48)*AA700</f>
        <v>13.294654064999998</v>
      </c>
      <c r="AF700">
        <f>LOOKUP($A700,'Over to underbark'!$A$47:$A$48,'Over to underbark'!E$47:E$48)*AB700</f>
        <v>29.627302322475003</v>
      </c>
      <c r="AG700">
        <f>LOOKUP($A700,'Over to underbark'!$A$47:$A$48,'Over to underbark'!E$47:E$48)*AC700</f>
        <v>35.206072308000003</v>
      </c>
      <c r="AH700" t="b">
        <f t="shared" si="180"/>
        <v>1</v>
      </c>
      <c r="AI700" t="b">
        <f t="shared" si="181"/>
        <v>1</v>
      </c>
      <c r="AJ700">
        <f>LOOKUP(A700,'Over to underbark'!$A$47:$A$48,'Over to underbark'!E$47:E$48)*M700</f>
        <v>151.45679999999999</v>
      </c>
      <c r="AK700" s="22">
        <f>LOOKUP(A700,'Over to underbark'!$A$47:$A$48,'Over to underbark'!$B$47:$B$48)*AJ700</f>
        <v>48.466175999999997</v>
      </c>
      <c r="AL700" s="22">
        <f>LOOKUP(A700,'Over to underbark'!$A$47:$A$48,'Over to underbark'!C$47:C$48)*AJ700</f>
        <v>74.213831999999996</v>
      </c>
      <c r="AM700" s="22">
        <f t="shared" si="182"/>
        <v>199.92297599999998</v>
      </c>
      <c r="AN700" s="36">
        <v>937</v>
      </c>
      <c r="AO700" s="23">
        <f t="shared" si="183"/>
        <v>399.84595199999995</v>
      </c>
      <c r="AQ700">
        <f t="shared" si="170"/>
        <v>0.68181818181818199</v>
      </c>
    </row>
    <row r="701" spans="1:43" x14ac:dyDescent="0.35">
      <c r="A701" t="s">
        <v>43</v>
      </c>
      <c r="B701">
        <v>14</v>
      </c>
      <c r="C701">
        <v>2</v>
      </c>
      <c r="D701" t="s">
        <v>42</v>
      </c>
      <c r="E701">
        <v>2</v>
      </c>
      <c r="F701">
        <v>1</v>
      </c>
      <c r="G701" s="30">
        <v>41</v>
      </c>
      <c r="H701" s="30">
        <v>19.55</v>
      </c>
      <c r="I701" s="30">
        <v>1515</v>
      </c>
      <c r="J701" s="30">
        <v>22.087</v>
      </c>
      <c r="K701" s="30">
        <v>58.048999999999999</v>
      </c>
      <c r="L701" s="30">
        <v>0.315</v>
      </c>
      <c r="M701" s="30">
        <v>476.74</v>
      </c>
      <c r="N701" s="30">
        <v>5.3220000000000001</v>
      </c>
      <c r="O701" s="29">
        <v>11.628</v>
      </c>
      <c r="P701" s="31">
        <v>41</v>
      </c>
      <c r="Q701" s="31">
        <v>22.087</v>
      </c>
      <c r="R701" s="31">
        <v>219.40799999999999</v>
      </c>
      <c r="S701" s="31">
        <v>257.33199999999999</v>
      </c>
      <c r="T701" s="10" t="b">
        <f t="shared" si="171"/>
        <v>1</v>
      </c>
      <c r="U701" s="10" t="b">
        <f t="shared" si="172"/>
        <v>1</v>
      </c>
      <c r="V701" s="11">
        <f>VLOOKUP(IF(J701&lt;10, 10, IF(J701&gt;50,50,J701)),'Over to underbark'!$A$3:$C$43,IF(A701="Scots pine",3,IF(A701="Sitka spruce",2, "error")),TRUE)/100</f>
        <v>0.9</v>
      </c>
      <c r="W701">
        <f t="shared" si="173"/>
        <v>177.72048000000001</v>
      </c>
      <c r="X701">
        <f t="shared" si="174"/>
        <v>208.43892000000002</v>
      </c>
      <c r="Y701">
        <f t="shared" si="175"/>
        <v>42.90659999999999</v>
      </c>
      <c r="Z701">
        <f t="shared" si="176"/>
        <v>181.611363888</v>
      </c>
      <c r="AA701">
        <f t="shared" si="177"/>
        <v>41.002552799999997</v>
      </c>
      <c r="AB701">
        <f t="shared" si="178"/>
        <v>91.393799471999998</v>
      </c>
      <c r="AC701">
        <f t="shared" si="179"/>
        <v>115.05828384000002</v>
      </c>
      <c r="AD701">
        <f>LOOKUP($A701,'Over to underbark'!$A$47:$A$48,'Over to underbark'!E$47:E$48)*Z701</f>
        <v>59.931750083040001</v>
      </c>
      <c r="AE701">
        <f>LOOKUP($A701,'Over to underbark'!$A$47:$A$48,'Over to underbark'!E$47:E$48)*AA701</f>
        <v>13.530842423999999</v>
      </c>
      <c r="AF701">
        <f>LOOKUP($A701,'Over to underbark'!$A$47:$A$48,'Over to underbark'!E$47:E$48)*AB701</f>
        <v>30.159953825760002</v>
      </c>
      <c r="AG701">
        <f>LOOKUP($A701,'Over to underbark'!$A$47:$A$48,'Over to underbark'!E$47:E$48)*AC701</f>
        <v>37.969233667200008</v>
      </c>
      <c r="AH701" t="b">
        <f t="shared" si="180"/>
        <v>1</v>
      </c>
      <c r="AI701" t="b">
        <f t="shared" si="181"/>
        <v>1</v>
      </c>
      <c r="AJ701">
        <f>LOOKUP(A701,'Over to underbark'!$A$47:$A$48,'Over to underbark'!E$47:E$48)*M701</f>
        <v>157.32420000000002</v>
      </c>
      <c r="AK701" s="22">
        <f>LOOKUP(A701,'Over to underbark'!$A$47:$A$48,'Over to underbark'!$B$47:$B$48)*AJ701</f>
        <v>50.343744000000008</v>
      </c>
      <c r="AL701" s="22">
        <f>LOOKUP(A701,'Over to underbark'!$A$47:$A$48,'Over to underbark'!C$47:C$48)*AJ701</f>
        <v>77.088858000000002</v>
      </c>
      <c r="AM701" s="22">
        <f t="shared" si="182"/>
        <v>207.66794400000003</v>
      </c>
      <c r="AN701" s="36">
        <v>938</v>
      </c>
      <c r="AO701" s="23">
        <f t="shared" si="183"/>
        <v>415.33588800000007</v>
      </c>
      <c r="AQ701">
        <f t="shared" si="170"/>
        <v>0.68181818181818166</v>
      </c>
    </row>
    <row r="702" spans="1:43" x14ac:dyDescent="0.35">
      <c r="A702" t="s">
        <v>43</v>
      </c>
      <c r="B702">
        <v>14</v>
      </c>
      <c r="C702">
        <v>2</v>
      </c>
      <c r="D702" t="s">
        <v>42</v>
      </c>
      <c r="E702">
        <v>2</v>
      </c>
      <c r="F702">
        <v>1</v>
      </c>
      <c r="G702" s="30">
        <v>42</v>
      </c>
      <c r="H702" s="30">
        <v>20</v>
      </c>
      <c r="I702" s="30">
        <v>1479</v>
      </c>
      <c r="J702" s="30">
        <v>22.507000000000001</v>
      </c>
      <c r="K702" s="30">
        <v>58.844999999999999</v>
      </c>
      <c r="L702" s="30">
        <v>0.33400000000000002</v>
      </c>
      <c r="M702" s="30">
        <v>494.52</v>
      </c>
      <c r="N702" s="30">
        <v>5.6479999999999997</v>
      </c>
      <c r="O702" s="29">
        <v>11.773999999999999</v>
      </c>
      <c r="P702" s="31">
        <v>42</v>
      </c>
      <c r="Q702" s="31">
        <v>22.507000000000001</v>
      </c>
      <c r="R702" s="31">
        <v>217.761</v>
      </c>
      <c r="S702" s="31">
        <v>276.75900000000001</v>
      </c>
      <c r="T702" s="10" t="b">
        <f t="shared" si="171"/>
        <v>1</v>
      </c>
      <c r="U702" s="10" t="b">
        <f t="shared" si="172"/>
        <v>1</v>
      </c>
      <c r="V702" s="11">
        <f>VLOOKUP(IF(J702&lt;10, 10, IF(J702&gt;50,50,J702)),'Over to underbark'!$A$3:$C$43,IF(A702="Scots pine",3,IF(A702="Sitka spruce",2, "error")),TRUE)/100</f>
        <v>0.9</v>
      </c>
      <c r="W702">
        <f t="shared" si="173"/>
        <v>176.38641000000001</v>
      </c>
      <c r="X702">
        <f t="shared" si="174"/>
        <v>224.17479000000003</v>
      </c>
      <c r="Y702">
        <f t="shared" si="175"/>
        <v>44.506799999999991</v>
      </c>
      <c r="Z702">
        <f t="shared" si="176"/>
        <v>186.7972984335</v>
      </c>
      <c r="AA702">
        <f t="shared" si="177"/>
        <v>41.655905099999998</v>
      </c>
      <c r="AB702">
        <f t="shared" si="178"/>
        <v>92.870312386500004</v>
      </c>
      <c r="AC702">
        <f t="shared" si="179"/>
        <v>123.74448408000001</v>
      </c>
      <c r="AD702">
        <f>LOOKUP($A702,'Over to underbark'!$A$47:$A$48,'Over to underbark'!E$47:E$48)*Z702</f>
        <v>61.643108483055002</v>
      </c>
      <c r="AE702">
        <f>LOOKUP($A702,'Over to underbark'!$A$47:$A$48,'Over to underbark'!E$47:E$48)*AA702</f>
        <v>13.746448683000001</v>
      </c>
      <c r="AF702">
        <f>LOOKUP($A702,'Over to underbark'!$A$47:$A$48,'Over to underbark'!E$47:E$48)*AB702</f>
        <v>30.647203087545002</v>
      </c>
      <c r="AG702">
        <f>LOOKUP($A702,'Over to underbark'!$A$47:$A$48,'Over to underbark'!E$47:E$48)*AC702</f>
        <v>40.835679746400004</v>
      </c>
      <c r="AH702" t="b">
        <f t="shared" si="180"/>
        <v>1</v>
      </c>
      <c r="AI702" t="b">
        <f t="shared" si="181"/>
        <v>1</v>
      </c>
      <c r="AJ702">
        <f>LOOKUP(A702,'Over to underbark'!$A$47:$A$48,'Over to underbark'!E$47:E$48)*M702</f>
        <v>163.19159999999999</v>
      </c>
      <c r="AK702" s="22">
        <f>LOOKUP(A702,'Over to underbark'!$A$47:$A$48,'Over to underbark'!$B$47:$B$48)*AJ702</f>
        <v>52.221311999999998</v>
      </c>
      <c r="AL702" s="22">
        <f>LOOKUP(A702,'Over to underbark'!$A$47:$A$48,'Over to underbark'!C$47:C$48)*AJ702</f>
        <v>79.963883999999993</v>
      </c>
      <c r="AM702" s="22">
        <f t="shared" si="182"/>
        <v>215.41291200000001</v>
      </c>
      <c r="AN702" s="36">
        <v>939</v>
      </c>
      <c r="AO702" s="23">
        <f t="shared" si="183"/>
        <v>430.82582400000001</v>
      </c>
      <c r="AQ702">
        <f t="shared" si="170"/>
        <v>0.68181818181818177</v>
      </c>
    </row>
    <row r="703" spans="1:43" x14ac:dyDescent="0.35">
      <c r="A703" t="s">
        <v>43</v>
      </c>
      <c r="B703">
        <v>14</v>
      </c>
      <c r="C703">
        <v>2</v>
      </c>
      <c r="D703" t="s">
        <v>42</v>
      </c>
      <c r="E703">
        <v>2</v>
      </c>
      <c r="F703">
        <v>1</v>
      </c>
      <c r="G703" s="30">
        <v>43</v>
      </c>
      <c r="H703" s="30">
        <v>20.45</v>
      </c>
      <c r="I703" s="30">
        <v>1443</v>
      </c>
      <c r="J703" s="30">
        <v>22.94</v>
      </c>
      <c r="K703" s="30">
        <v>59.640999999999998</v>
      </c>
      <c r="L703" s="30">
        <v>0.35499999999999998</v>
      </c>
      <c r="M703" s="30">
        <v>512.29999999999995</v>
      </c>
      <c r="N703" s="30">
        <v>5.9480000000000004</v>
      </c>
      <c r="O703" s="29">
        <v>11.914</v>
      </c>
      <c r="P703" s="31">
        <v>43</v>
      </c>
      <c r="Q703" s="31">
        <v>22.94</v>
      </c>
      <c r="R703" s="31">
        <v>215.42599999999999</v>
      </c>
      <c r="S703" s="31">
        <v>296.87400000000002</v>
      </c>
      <c r="T703" s="10" t="b">
        <f t="shared" si="171"/>
        <v>1</v>
      </c>
      <c r="U703" s="10" t="b">
        <f t="shared" si="172"/>
        <v>1</v>
      </c>
      <c r="V703" s="11">
        <f>VLOOKUP(IF(J703&lt;10, 10, IF(J703&gt;50,50,J703)),'Over to underbark'!$A$3:$C$43,IF(A703="Scots pine",3,IF(A703="Sitka spruce",2, "error")),TRUE)/100</f>
        <v>0.9</v>
      </c>
      <c r="W703">
        <f t="shared" si="173"/>
        <v>174.49506</v>
      </c>
      <c r="X703">
        <f t="shared" si="174"/>
        <v>240.46794000000006</v>
      </c>
      <c r="Y703">
        <f t="shared" si="175"/>
        <v>46.106999999999992</v>
      </c>
      <c r="Z703">
        <f t="shared" si="176"/>
        <v>191.87213921100002</v>
      </c>
      <c r="AA703">
        <f t="shared" si="177"/>
        <v>42.247956599999995</v>
      </c>
      <c r="AB703">
        <f t="shared" si="178"/>
        <v>94.211601309000002</v>
      </c>
      <c r="AC703">
        <f t="shared" si="179"/>
        <v>132.73830288000005</v>
      </c>
      <c r="AD703">
        <f>LOOKUP($A703,'Over to underbark'!$A$47:$A$48,'Over to underbark'!E$47:E$48)*Z703</f>
        <v>63.317805939630006</v>
      </c>
      <c r="AE703">
        <f>LOOKUP($A703,'Over to underbark'!$A$47:$A$48,'Over to underbark'!E$47:E$48)*AA703</f>
        <v>13.941825677999999</v>
      </c>
      <c r="AF703">
        <f>LOOKUP($A703,'Over to underbark'!$A$47:$A$48,'Over to underbark'!E$47:E$48)*AB703</f>
        <v>31.089828431970002</v>
      </c>
      <c r="AG703">
        <f>LOOKUP($A703,'Over to underbark'!$A$47:$A$48,'Over to underbark'!E$47:E$48)*AC703</f>
        <v>43.803639950400019</v>
      </c>
      <c r="AH703" t="b">
        <f t="shared" si="180"/>
        <v>1</v>
      </c>
      <c r="AI703" t="b">
        <f t="shared" si="181"/>
        <v>1</v>
      </c>
      <c r="AJ703">
        <f>LOOKUP(A703,'Over to underbark'!$A$47:$A$48,'Over to underbark'!E$47:E$48)*M703</f>
        <v>169.059</v>
      </c>
      <c r="AK703" s="22">
        <f>LOOKUP(A703,'Over to underbark'!$A$47:$A$48,'Over to underbark'!$B$47:$B$48)*AJ703</f>
        <v>54.098880000000001</v>
      </c>
      <c r="AL703" s="22">
        <f>LOOKUP(A703,'Over to underbark'!$A$47:$A$48,'Over to underbark'!C$47:C$48)*AJ703</f>
        <v>82.838909999999998</v>
      </c>
      <c r="AM703" s="22">
        <f t="shared" si="182"/>
        <v>223.15788000000001</v>
      </c>
      <c r="AN703" s="36">
        <v>940</v>
      </c>
      <c r="AO703" s="23">
        <f t="shared" si="183"/>
        <v>446.31576000000001</v>
      </c>
      <c r="AQ703">
        <f t="shared" si="170"/>
        <v>0.68181818181818188</v>
      </c>
    </row>
    <row r="704" spans="1:43" x14ac:dyDescent="0.35">
      <c r="A704" t="s">
        <v>43</v>
      </c>
      <c r="B704">
        <v>14</v>
      </c>
      <c r="C704">
        <v>2</v>
      </c>
      <c r="D704" t="s">
        <v>42</v>
      </c>
      <c r="E704">
        <v>2</v>
      </c>
      <c r="F704">
        <v>1</v>
      </c>
      <c r="G704" s="30">
        <v>44</v>
      </c>
      <c r="H704" s="30">
        <v>20.847999999999999</v>
      </c>
      <c r="I704" s="30">
        <v>1414</v>
      </c>
      <c r="J704" s="30">
        <v>23.3</v>
      </c>
      <c r="K704" s="30">
        <v>60.292000000000002</v>
      </c>
      <c r="L704" s="30">
        <v>0.373</v>
      </c>
      <c r="M704" s="30">
        <v>528.04</v>
      </c>
      <c r="N704" s="30">
        <v>6.306</v>
      </c>
      <c r="O704" s="29">
        <v>12.000999999999999</v>
      </c>
      <c r="P704" s="31">
        <v>44</v>
      </c>
      <c r="Q704" s="31">
        <v>23.3</v>
      </c>
      <c r="R704" s="31">
        <v>213.601</v>
      </c>
      <c r="S704" s="31">
        <v>314.43900000000002</v>
      </c>
      <c r="T704" s="10" t="b">
        <f t="shared" si="171"/>
        <v>1</v>
      </c>
      <c r="U704" s="10" t="b">
        <f t="shared" si="172"/>
        <v>1</v>
      </c>
      <c r="V704" s="11">
        <f>VLOOKUP(IF(J704&lt;10, 10, IF(J704&gt;50,50,J704)),'Over to underbark'!$A$3:$C$43,IF(A704="Scots pine",3,IF(A704="Sitka spruce",2, "error")),TRUE)/100</f>
        <v>0.9</v>
      </c>
      <c r="W704">
        <f t="shared" si="173"/>
        <v>173.01681000000002</v>
      </c>
      <c r="X704">
        <f t="shared" si="174"/>
        <v>254.69559000000004</v>
      </c>
      <c r="Y704">
        <f t="shared" si="175"/>
        <v>47.523599999999988</v>
      </c>
      <c r="Z704">
        <f t="shared" si="176"/>
        <v>196.40380627350001</v>
      </c>
      <c r="AA704">
        <f t="shared" si="177"/>
        <v>42.793649099999996</v>
      </c>
      <c r="AB704">
        <f t="shared" si="178"/>
        <v>95.446578946500011</v>
      </c>
      <c r="AC704">
        <f t="shared" si="179"/>
        <v>140.59196568000002</v>
      </c>
      <c r="AD704">
        <f>LOOKUP($A704,'Over to underbark'!$A$47:$A$48,'Over to underbark'!E$47:E$48)*Z704</f>
        <v>64.813256070255008</v>
      </c>
      <c r="AE704">
        <f>LOOKUP($A704,'Over to underbark'!$A$47:$A$48,'Over to underbark'!E$47:E$48)*AA704</f>
        <v>14.121904203</v>
      </c>
      <c r="AF704">
        <f>LOOKUP($A704,'Over to underbark'!$A$47:$A$48,'Over to underbark'!E$47:E$48)*AB704</f>
        <v>31.497371052345006</v>
      </c>
      <c r="AG704">
        <f>LOOKUP($A704,'Over to underbark'!$A$47:$A$48,'Over to underbark'!E$47:E$48)*AC704</f>
        <v>46.395348674400005</v>
      </c>
      <c r="AH704" t="b">
        <f t="shared" si="180"/>
        <v>1</v>
      </c>
      <c r="AI704" t="b">
        <f t="shared" si="181"/>
        <v>1</v>
      </c>
      <c r="AJ704">
        <f>LOOKUP(A704,'Over to underbark'!$A$47:$A$48,'Over to underbark'!E$47:E$48)*M704</f>
        <v>174.25319999999999</v>
      </c>
      <c r="AK704" s="22">
        <f>LOOKUP(A704,'Over to underbark'!$A$47:$A$48,'Over to underbark'!$B$47:$B$48)*AJ704</f>
        <v>55.761023999999999</v>
      </c>
      <c r="AL704" s="22">
        <f>LOOKUP(A704,'Over to underbark'!$A$47:$A$48,'Over to underbark'!C$47:C$48)*AJ704</f>
        <v>85.384067999999999</v>
      </c>
      <c r="AM704" s="22">
        <f t="shared" si="182"/>
        <v>230.01422399999998</v>
      </c>
      <c r="AN704" s="36">
        <v>941</v>
      </c>
      <c r="AO704" s="23">
        <f t="shared" si="183"/>
        <v>460.02844799999997</v>
      </c>
      <c r="AQ704">
        <f t="shared" si="170"/>
        <v>0.68181818181818199</v>
      </c>
    </row>
    <row r="705" spans="1:43" x14ac:dyDescent="0.35">
      <c r="A705" t="s">
        <v>43</v>
      </c>
      <c r="B705">
        <v>14</v>
      </c>
      <c r="C705">
        <v>2</v>
      </c>
      <c r="D705" t="s">
        <v>42</v>
      </c>
      <c r="E705">
        <v>2</v>
      </c>
      <c r="F705">
        <v>1</v>
      </c>
      <c r="G705" s="30">
        <v>45</v>
      </c>
      <c r="H705" s="30">
        <v>21.245999999999999</v>
      </c>
      <c r="I705" s="30">
        <v>1386</v>
      </c>
      <c r="J705" s="30">
        <v>23.661000000000001</v>
      </c>
      <c r="K705" s="30">
        <v>60.942999999999998</v>
      </c>
      <c r="L705" s="30">
        <v>0.39200000000000002</v>
      </c>
      <c r="M705" s="30">
        <v>543.78</v>
      </c>
      <c r="N705" s="30">
        <v>6.641</v>
      </c>
      <c r="O705" s="29">
        <v>12.084</v>
      </c>
      <c r="P705" s="31">
        <v>45</v>
      </c>
      <c r="Q705" s="31">
        <v>23.661000000000001</v>
      </c>
      <c r="R705" s="31">
        <v>211.5</v>
      </c>
      <c r="S705" s="31">
        <v>332.28</v>
      </c>
      <c r="T705" s="10" t="b">
        <f t="shared" si="171"/>
        <v>1</v>
      </c>
      <c r="U705" s="10" t="b">
        <f t="shared" si="172"/>
        <v>1</v>
      </c>
      <c r="V705" s="11">
        <f>VLOOKUP(IF(J705&lt;10, 10, IF(J705&gt;50,50,J705)),'Over to underbark'!$A$3:$C$43,IF(A705="Scots pine",3,IF(A705="Sitka spruce",2, "error")),TRUE)/100</f>
        <v>0.9</v>
      </c>
      <c r="W705">
        <f t="shared" si="173"/>
        <v>171.315</v>
      </c>
      <c r="X705">
        <f t="shared" si="174"/>
        <v>269.14679999999998</v>
      </c>
      <c r="Y705">
        <f t="shared" si="175"/>
        <v>48.94019999999999</v>
      </c>
      <c r="Z705">
        <f t="shared" si="176"/>
        <v>200.89090664999998</v>
      </c>
      <c r="AA705">
        <f t="shared" si="177"/>
        <v>43.314749999999997</v>
      </c>
      <c r="AB705">
        <f t="shared" si="178"/>
        <v>96.627309749999995</v>
      </c>
      <c r="AC705">
        <f t="shared" si="179"/>
        <v>148.56903360000001</v>
      </c>
      <c r="AD705">
        <f>LOOKUP($A705,'Over to underbark'!$A$47:$A$48,'Over to underbark'!E$47:E$48)*Z705</f>
        <v>66.293999194499989</v>
      </c>
      <c r="AE705">
        <f>LOOKUP($A705,'Over to underbark'!$A$47:$A$48,'Over to underbark'!E$47:E$48)*AA705</f>
        <v>14.293867499999999</v>
      </c>
      <c r="AF705">
        <f>LOOKUP($A705,'Over to underbark'!$A$47:$A$48,'Over to underbark'!E$47:E$48)*AB705</f>
        <v>31.887012217500001</v>
      </c>
      <c r="AG705">
        <f>LOOKUP($A705,'Over to underbark'!$A$47:$A$48,'Over to underbark'!E$47:E$48)*AC705</f>
        <v>49.027781088000005</v>
      </c>
      <c r="AH705" t="b">
        <f t="shared" si="180"/>
        <v>1</v>
      </c>
      <c r="AI705" t="b">
        <f t="shared" si="181"/>
        <v>1</v>
      </c>
      <c r="AJ705">
        <f>LOOKUP(A705,'Over to underbark'!$A$47:$A$48,'Over to underbark'!E$47:E$48)*M705</f>
        <v>179.44739999999999</v>
      </c>
      <c r="AK705" s="22">
        <f>LOOKUP(A705,'Over to underbark'!$A$47:$A$48,'Over to underbark'!$B$47:$B$48)*AJ705</f>
        <v>57.423167999999997</v>
      </c>
      <c r="AL705" s="22">
        <f>LOOKUP(A705,'Over to underbark'!$A$47:$A$48,'Over to underbark'!C$47:C$48)*AJ705</f>
        <v>87.929225999999986</v>
      </c>
      <c r="AM705" s="22">
        <f t="shared" si="182"/>
        <v>236.87056799999999</v>
      </c>
      <c r="AN705" s="36">
        <v>942</v>
      </c>
      <c r="AO705" s="23">
        <f t="shared" si="183"/>
        <v>473.74113599999998</v>
      </c>
      <c r="AQ705">
        <f t="shared" si="170"/>
        <v>0.68181818181818177</v>
      </c>
    </row>
    <row r="706" spans="1:43" x14ac:dyDescent="0.35">
      <c r="A706" t="s">
        <v>43</v>
      </c>
      <c r="B706">
        <v>14</v>
      </c>
      <c r="C706">
        <v>2</v>
      </c>
      <c r="D706" t="s">
        <v>42</v>
      </c>
      <c r="E706">
        <v>2</v>
      </c>
      <c r="F706">
        <v>1</v>
      </c>
      <c r="G706" s="30">
        <v>46</v>
      </c>
      <c r="H706" s="30">
        <v>21.643999999999998</v>
      </c>
      <c r="I706" s="30">
        <v>1357</v>
      </c>
      <c r="J706" s="30">
        <v>24.04</v>
      </c>
      <c r="K706" s="30">
        <v>61.594000000000001</v>
      </c>
      <c r="L706" s="30">
        <v>0.41199999999999998</v>
      </c>
      <c r="M706" s="30">
        <v>559.52</v>
      </c>
      <c r="N706" s="30">
        <v>6.9539999999999997</v>
      </c>
      <c r="O706" s="29">
        <v>12.163</v>
      </c>
      <c r="P706" s="31">
        <v>46</v>
      </c>
      <c r="Q706" s="31">
        <v>24.04</v>
      </c>
      <c r="R706" s="31">
        <v>208.75200000000001</v>
      </c>
      <c r="S706" s="31">
        <v>350.76799999999997</v>
      </c>
      <c r="T706" s="10" t="b">
        <f t="shared" si="171"/>
        <v>1</v>
      </c>
      <c r="U706" s="10" t="b">
        <f t="shared" si="172"/>
        <v>1</v>
      </c>
      <c r="V706" s="11">
        <f>VLOOKUP(IF(J706&lt;10, 10, IF(J706&gt;50,50,J706)),'Over to underbark'!$A$3:$C$43,IF(A706="Scots pine",3,IF(A706="Sitka spruce",2, "error")),TRUE)/100</f>
        <v>0.9</v>
      </c>
      <c r="W706">
        <f t="shared" si="173"/>
        <v>169.08912000000001</v>
      </c>
      <c r="X706">
        <f t="shared" si="174"/>
        <v>284.12207999999998</v>
      </c>
      <c r="Y706">
        <f t="shared" si="175"/>
        <v>50.356799999999986</v>
      </c>
      <c r="Z706">
        <f t="shared" si="176"/>
        <v>205.27353367200001</v>
      </c>
      <c r="AA706">
        <f t="shared" si="177"/>
        <v>43.778203199999993</v>
      </c>
      <c r="AB706">
        <f t="shared" si="178"/>
        <v>97.680874968000012</v>
      </c>
      <c r="AC706">
        <f t="shared" si="179"/>
        <v>156.83538815999998</v>
      </c>
      <c r="AD706">
        <f>LOOKUP($A706,'Over to underbark'!$A$47:$A$48,'Over to underbark'!E$47:E$48)*Z706</f>
        <v>67.740266111760008</v>
      </c>
      <c r="AE706">
        <f>LOOKUP($A706,'Over to underbark'!$A$47:$A$48,'Over to underbark'!E$47:E$48)*AA706</f>
        <v>14.446807055999999</v>
      </c>
      <c r="AF706">
        <f>LOOKUP($A706,'Over to underbark'!$A$47:$A$48,'Over to underbark'!E$47:E$48)*AB706</f>
        <v>32.234688739440003</v>
      </c>
      <c r="AG706">
        <f>LOOKUP($A706,'Over to underbark'!$A$47:$A$48,'Over to underbark'!E$47:E$48)*AC706</f>
        <v>51.755678092799997</v>
      </c>
      <c r="AH706" t="b">
        <f t="shared" si="180"/>
        <v>1</v>
      </c>
      <c r="AI706" t="b">
        <f t="shared" si="181"/>
        <v>1</v>
      </c>
      <c r="AJ706">
        <f>LOOKUP(A706,'Over to underbark'!$A$47:$A$48,'Over to underbark'!E$47:E$48)*M706</f>
        <v>184.64160000000001</v>
      </c>
      <c r="AK706" s="22">
        <f>LOOKUP(A706,'Over to underbark'!$A$47:$A$48,'Over to underbark'!$B$47:$B$48)*AJ706</f>
        <v>59.085312000000002</v>
      </c>
      <c r="AL706" s="22">
        <f>LOOKUP(A706,'Over to underbark'!$A$47:$A$48,'Over to underbark'!C$47:C$48)*AJ706</f>
        <v>90.474384000000001</v>
      </c>
      <c r="AM706" s="22">
        <f t="shared" si="182"/>
        <v>243.72691200000003</v>
      </c>
      <c r="AN706" s="36">
        <v>943</v>
      </c>
      <c r="AO706" s="23">
        <f t="shared" si="183"/>
        <v>487.45382400000005</v>
      </c>
      <c r="AQ706">
        <f t="shared" si="170"/>
        <v>0.68181818181818166</v>
      </c>
    </row>
    <row r="707" spans="1:43" x14ac:dyDescent="0.35">
      <c r="A707" t="s">
        <v>43</v>
      </c>
      <c r="B707">
        <v>14</v>
      </c>
      <c r="C707">
        <v>2</v>
      </c>
      <c r="D707" t="s">
        <v>42</v>
      </c>
      <c r="E707">
        <v>2</v>
      </c>
      <c r="F707">
        <v>1</v>
      </c>
      <c r="G707" s="30">
        <v>47</v>
      </c>
      <c r="H707" s="30">
        <v>22.042000000000002</v>
      </c>
      <c r="I707" s="30">
        <v>1329</v>
      </c>
      <c r="J707" s="30">
        <v>24.42</v>
      </c>
      <c r="K707" s="30">
        <v>62.244999999999997</v>
      </c>
      <c r="L707" s="30">
        <v>0.433</v>
      </c>
      <c r="M707" s="30">
        <v>575.26</v>
      </c>
      <c r="N707" s="30">
        <v>7.2489999999999997</v>
      </c>
      <c r="O707" s="29">
        <v>12.24</v>
      </c>
      <c r="P707" s="31">
        <v>47</v>
      </c>
      <c r="Q707" s="31">
        <v>24.42</v>
      </c>
      <c r="R707" s="31">
        <v>205.774</v>
      </c>
      <c r="S707" s="31">
        <v>369.48599999999999</v>
      </c>
      <c r="T707" s="10" t="b">
        <f t="shared" si="171"/>
        <v>1</v>
      </c>
      <c r="U707" s="10" t="b">
        <f t="shared" si="172"/>
        <v>1</v>
      </c>
      <c r="V707" s="11">
        <f>VLOOKUP(IF(J707&lt;10, 10, IF(J707&gt;50,50,J707)),'Over to underbark'!$A$3:$C$43,IF(A707="Scots pine",3,IF(A707="Sitka spruce",2, "error")),TRUE)/100</f>
        <v>0.9</v>
      </c>
      <c r="W707">
        <f t="shared" si="173"/>
        <v>166.67694000000003</v>
      </c>
      <c r="X707">
        <f t="shared" si="174"/>
        <v>299.28366</v>
      </c>
      <c r="Y707">
        <f t="shared" si="175"/>
        <v>51.773399999999995</v>
      </c>
      <c r="Z707">
        <f t="shared" si="176"/>
        <v>209.61902178900002</v>
      </c>
      <c r="AA707">
        <f t="shared" si="177"/>
        <v>44.221163400000002</v>
      </c>
      <c r="AB707">
        <f t="shared" si="178"/>
        <v>98.689234491000008</v>
      </c>
      <c r="AC707">
        <f t="shared" si="179"/>
        <v>165.20458031999999</v>
      </c>
      <c r="AD707">
        <f>LOOKUP($A707,'Over to underbark'!$A$47:$A$48,'Over to underbark'!E$47:E$48)*Z707</f>
        <v>69.174277190370006</v>
      </c>
      <c r="AE707">
        <f>LOOKUP($A707,'Over to underbark'!$A$47:$A$48,'Over to underbark'!E$47:E$48)*AA707</f>
        <v>14.592983922000002</v>
      </c>
      <c r="AF707">
        <f>LOOKUP($A707,'Over to underbark'!$A$47:$A$48,'Over to underbark'!E$47:E$48)*AB707</f>
        <v>32.567447382030004</v>
      </c>
      <c r="AG707">
        <f>LOOKUP($A707,'Over to underbark'!$A$47:$A$48,'Over to underbark'!E$47:E$48)*AC707</f>
        <v>54.517511505599998</v>
      </c>
      <c r="AH707" t="b">
        <f t="shared" si="180"/>
        <v>1</v>
      </c>
      <c r="AI707" t="b">
        <f t="shared" si="181"/>
        <v>1</v>
      </c>
      <c r="AJ707">
        <f>LOOKUP(A707,'Over to underbark'!$A$47:$A$48,'Over to underbark'!E$47:E$48)*M707</f>
        <v>189.83580000000001</v>
      </c>
      <c r="AK707" s="22">
        <f>LOOKUP(A707,'Over to underbark'!$A$47:$A$48,'Over to underbark'!$B$47:$B$48)*AJ707</f>
        <v>60.747456</v>
      </c>
      <c r="AL707" s="22">
        <f>LOOKUP(A707,'Over to underbark'!$A$47:$A$48,'Over to underbark'!C$47:C$48)*AJ707</f>
        <v>93.019542000000001</v>
      </c>
      <c r="AM707" s="22">
        <f t="shared" si="182"/>
        <v>250.58325600000001</v>
      </c>
      <c r="AN707" s="36">
        <v>944</v>
      </c>
      <c r="AO707" s="23">
        <f t="shared" si="183"/>
        <v>501.16651200000001</v>
      </c>
      <c r="AQ707">
        <f t="shared" si="170"/>
        <v>0.68181818181818188</v>
      </c>
    </row>
    <row r="708" spans="1:43" x14ac:dyDescent="0.35">
      <c r="A708" t="s">
        <v>43</v>
      </c>
      <c r="B708">
        <v>14</v>
      </c>
      <c r="C708">
        <v>2</v>
      </c>
      <c r="D708" t="s">
        <v>42</v>
      </c>
      <c r="E708">
        <v>2</v>
      </c>
      <c r="F708">
        <v>1</v>
      </c>
      <c r="G708" s="30">
        <v>48</v>
      </c>
      <c r="H708" s="30">
        <v>22.44</v>
      </c>
      <c r="I708" s="30">
        <v>1301</v>
      </c>
      <c r="J708" s="30">
        <v>24.81</v>
      </c>
      <c r="K708" s="30">
        <v>62.896000000000001</v>
      </c>
      <c r="L708" s="30">
        <v>0.45400000000000001</v>
      </c>
      <c r="M708" s="30">
        <v>591</v>
      </c>
      <c r="N708" s="30">
        <v>7.5259999999999998</v>
      </c>
      <c r="O708" s="29">
        <v>12.313000000000001</v>
      </c>
      <c r="P708" s="31">
        <v>48</v>
      </c>
      <c r="Q708" s="31">
        <v>24.81</v>
      </c>
      <c r="R708" s="31">
        <v>202.38399999999999</v>
      </c>
      <c r="S708" s="31">
        <v>388.61599999999999</v>
      </c>
      <c r="T708" s="10" t="b">
        <f t="shared" si="171"/>
        <v>1</v>
      </c>
      <c r="U708" s="10" t="b">
        <f t="shared" si="172"/>
        <v>1</v>
      </c>
      <c r="V708" s="11">
        <f>VLOOKUP(IF(J708&lt;10, 10, IF(J708&gt;50,50,J708)),'Over to underbark'!$A$3:$C$43,IF(A708="Scots pine",3,IF(A708="Sitka spruce",2, "error")),TRUE)/100</f>
        <v>0.9</v>
      </c>
      <c r="W708">
        <f t="shared" si="173"/>
        <v>163.93104</v>
      </c>
      <c r="X708">
        <f t="shared" si="174"/>
        <v>314.77895999999998</v>
      </c>
      <c r="Y708">
        <f t="shared" si="175"/>
        <v>53.189999999999984</v>
      </c>
      <c r="Z708">
        <f t="shared" si="176"/>
        <v>213.89798282399997</v>
      </c>
      <c r="AA708">
        <f t="shared" si="177"/>
        <v>44.627414399999992</v>
      </c>
      <c r="AB708">
        <f t="shared" si="178"/>
        <v>99.616616855999993</v>
      </c>
      <c r="AC708">
        <f t="shared" si="179"/>
        <v>173.75798591999998</v>
      </c>
      <c r="AD708">
        <f>LOOKUP($A708,'Over to underbark'!$A$47:$A$48,'Over to underbark'!E$47:E$48)*Z708</f>
        <v>70.586334331919986</v>
      </c>
      <c r="AE708">
        <f>LOOKUP($A708,'Over to underbark'!$A$47:$A$48,'Over to underbark'!E$47:E$48)*AA708</f>
        <v>14.727046751999998</v>
      </c>
      <c r="AF708">
        <f>LOOKUP($A708,'Over to underbark'!$A$47:$A$48,'Over to underbark'!E$47:E$48)*AB708</f>
        <v>32.873483562479997</v>
      </c>
      <c r="AG708">
        <f>LOOKUP($A708,'Over to underbark'!$A$47:$A$48,'Over to underbark'!E$47:E$48)*AC708</f>
        <v>57.340135353599997</v>
      </c>
      <c r="AH708" t="b">
        <f t="shared" si="180"/>
        <v>1</v>
      </c>
      <c r="AI708" t="b">
        <f t="shared" si="181"/>
        <v>1</v>
      </c>
      <c r="AJ708">
        <f>LOOKUP(A708,'Over to underbark'!$A$47:$A$48,'Over to underbark'!E$47:E$48)*M708</f>
        <v>195.03</v>
      </c>
      <c r="AK708" s="22">
        <f>LOOKUP(A708,'Over to underbark'!$A$47:$A$48,'Over to underbark'!$B$47:$B$48)*AJ708</f>
        <v>62.409600000000005</v>
      </c>
      <c r="AL708" s="22">
        <f>LOOKUP(A708,'Over to underbark'!$A$47:$A$48,'Over to underbark'!C$47:C$48)*AJ708</f>
        <v>95.564700000000002</v>
      </c>
      <c r="AM708" s="22">
        <f t="shared" si="182"/>
        <v>257.43959999999998</v>
      </c>
      <c r="AN708" s="36">
        <v>945</v>
      </c>
      <c r="AO708" s="23">
        <f t="shared" si="183"/>
        <v>514.87919999999997</v>
      </c>
      <c r="AQ708">
        <f t="shared" ref="AQ708:AQ738" si="184">(AD708+AE708+AF708+AG708)/AM708</f>
        <v>0.68181818181818177</v>
      </c>
    </row>
    <row r="709" spans="1:43" x14ac:dyDescent="0.35">
      <c r="A709" t="s">
        <v>43</v>
      </c>
      <c r="B709">
        <v>14</v>
      </c>
      <c r="C709">
        <v>2</v>
      </c>
      <c r="D709" t="s">
        <v>42</v>
      </c>
      <c r="E709">
        <v>2</v>
      </c>
      <c r="F709">
        <v>1</v>
      </c>
      <c r="G709" s="30">
        <v>49</v>
      </c>
      <c r="H709" s="30">
        <v>22.777999999999999</v>
      </c>
      <c r="I709" s="30">
        <v>1279</v>
      </c>
      <c r="J709" s="30">
        <v>25.132000000000001</v>
      </c>
      <c r="K709" s="30">
        <v>63.448</v>
      </c>
      <c r="L709" s="30">
        <v>0.47299999999999998</v>
      </c>
      <c r="M709" s="30">
        <v>604.67999999999995</v>
      </c>
      <c r="N709" s="30">
        <v>7.8029999999999999</v>
      </c>
      <c r="O709" s="29">
        <v>12.34</v>
      </c>
      <c r="P709" s="31">
        <v>49</v>
      </c>
      <c r="Q709" s="31">
        <v>25.132000000000001</v>
      </c>
      <c r="R709" s="31">
        <v>199.69</v>
      </c>
      <c r="S709" s="31">
        <v>404.99</v>
      </c>
      <c r="T709" s="10" t="b">
        <f t="shared" si="171"/>
        <v>1</v>
      </c>
      <c r="U709" s="10" t="b">
        <f t="shared" si="172"/>
        <v>1</v>
      </c>
      <c r="V709" s="11">
        <f>VLOOKUP(IF(J709&lt;10, 10, IF(J709&gt;50,50,J709)),'Over to underbark'!$A$3:$C$43,IF(A709="Scots pine",3,IF(A709="Sitka spruce",2, "error")),TRUE)/100</f>
        <v>0.9</v>
      </c>
      <c r="W709">
        <f t="shared" si="173"/>
        <v>161.74890000000002</v>
      </c>
      <c r="X709">
        <f t="shared" si="174"/>
        <v>328.04190000000006</v>
      </c>
      <c r="Y709">
        <f t="shared" si="175"/>
        <v>54.421199999999999</v>
      </c>
      <c r="Z709">
        <f t="shared" si="176"/>
        <v>217.65767161500003</v>
      </c>
      <c r="AA709">
        <f t="shared" si="177"/>
        <v>45.002979000000003</v>
      </c>
      <c r="AB709">
        <f t="shared" si="178"/>
        <v>100.472220585</v>
      </c>
      <c r="AC709">
        <f t="shared" si="179"/>
        <v>181.07912880000003</v>
      </c>
      <c r="AD709">
        <f>LOOKUP($A709,'Over to underbark'!$A$47:$A$48,'Over to underbark'!E$47:E$48)*Z709</f>
        <v>71.82703163295001</v>
      </c>
      <c r="AE709">
        <f>LOOKUP($A709,'Over to underbark'!$A$47:$A$48,'Over to underbark'!E$47:E$48)*AA709</f>
        <v>14.850983070000002</v>
      </c>
      <c r="AF709">
        <f>LOOKUP($A709,'Over to underbark'!$A$47:$A$48,'Over to underbark'!E$47:E$48)*AB709</f>
        <v>33.155832793050003</v>
      </c>
      <c r="AG709">
        <f>LOOKUP($A709,'Over to underbark'!$A$47:$A$48,'Over to underbark'!E$47:E$48)*AC709</f>
        <v>59.756112504000015</v>
      </c>
      <c r="AH709" t="b">
        <f t="shared" si="180"/>
        <v>1</v>
      </c>
      <c r="AI709" t="b">
        <f t="shared" si="181"/>
        <v>1</v>
      </c>
      <c r="AJ709">
        <f>LOOKUP(A709,'Over to underbark'!$A$47:$A$48,'Over to underbark'!E$47:E$48)*M709</f>
        <v>199.5444</v>
      </c>
      <c r="AK709" s="22">
        <f>LOOKUP(A709,'Over to underbark'!$A$47:$A$48,'Over to underbark'!$B$47:$B$48)*AJ709</f>
        <v>63.854208</v>
      </c>
      <c r="AL709" s="22">
        <f>LOOKUP(A709,'Over to underbark'!$A$47:$A$48,'Over to underbark'!C$47:C$48)*AJ709</f>
        <v>97.776755999999992</v>
      </c>
      <c r="AM709" s="22">
        <f t="shared" si="182"/>
        <v>263.39860799999997</v>
      </c>
      <c r="AN709" s="36">
        <v>946</v>
      </c>
      <c r="AO709" s="23">
        <f t="shared" si="183"/>
        <v>526.79721599999993</v>
      </c>
      <c r="AQ709">
        <f t="shared" si="184"/>
        <v>0.68181818181818199</v>
      </c>
    </row>
    <row r="710" spans="1:43" x14ac:dyDescent="0.35">
      <c r="A710" t="s">
        <v>43</v>
      </c>
      <c r="B710">
        <v>14</v>
      </c>
      <c r="C710">
        <v>2</v>
      </c>
      <c r="D710" t="s">
        <v>42</v>
      </c>
      <c r="E710">
        <v>2</v>
      </c>
      <c r="F710">
        <v>1</v>
      </c>
      <c r="G710" s="30">
        <v>50</v>
      </c>
      <c r="H710" s="30">
        <v>23.116</v>
      </c>
      <c r="I710" s="30">
        <v>1258</v>
      </c>
      <c r="J710" s="30">
        <v>25.451000000000001</v>
      </c>
      <c r="K710" s="30">
        <v>64</v>
      </c>
      <c r="L710" s="30">
        <v>0.49199999999999999</v>
      </c>
      <c r="M710" s="30">
        <v>618.36</v>
      </c>
      <c r="N710" s="30">
        <v>8.0670000000000002</v>
      </c>
      <c r="O710" s="29">
        <v>12.367000000000001</v>
      </c>
      <c r="P710" s="31">
        <v>50</v>
      </c>
      <c r="Q710" s="31">
        <v>25.451000000000001</v>
      </c>
      <c r="R710" s="31">
        <v>196.94900000000001</v>
      </c>
      <c r="S710" s="31">
        <v>421.411</v>
      </c>
      <c r="T710" s="10" t="b">
        <f t="shared" si="171"/>
        <v>1</v>
      </c>
      <c r="U710" s="10" t="b">
        <f t="shared" si="172"/>
        <v>1</v>
      </c>
      <c r="V710" s="11">
        <f>VLOOKUP(IF(J710&lt;10, 10, IF(J710&gt;50,50,J710)),'Over to underbark'!$A$3:$C$43,IF(A710="Scots pine",3,IF(A710="Sitka spruce",2, "error")),TRUE)/100</f>
        <v>0.9</v>
      </c>
      <c r="W710">
        <f t="shared" si="173"/>
        <v>159.52869000000001</v>
      </c>
      <c r="X710">
        <f t="shared" si="174"/>
        <v>341.34291000000002</v>
      </c>
      <c r="Y710">
        <f t="shared" si="175"/>
        <v>55.652399999999986</v>
      </c>
      <c r="Z710">
        <f t="shared" si="176"/>
        <v>221.4097711515</v>
      </c>
      <c r="AA710">
        <f t="shared" si="177"/>
        <v>45.374355899999998</v>
      </c>
      <c r="AB710">
        <f t="shared" si="178"/>
        <v>101.3185866285</v>
      </c>
      <c r="AC710">
        <f t="shared" si="179"/>
        <v>188.42128632000001</v>
      </c>
      <c r="AD710">
        <f>LOOKUP($A710,'Over to underbark'!$A$47:$A$48,'Over to underbark'!E$47:E$48)*Z710</f>
        <v>73.065224479994995</v>
      </c>
      <c r="AE710">
        <f>LOOKUP($A710,'Over to underbark'!$A$47:$A$48,'Over to underbark'!E$47:E$48)*AA710</f>
        <v>14.973537447</v>
      </c>
      <c r="AF710">
        <f>LOOKUP($A710,'Over to underbark'!$A$47:$A$48,'Over to underbark'!E$47:E$48)*AB710</f>
        <v>33.435133587405005</v>
      </c>
      <c r="AG710">
        <f>LOOKUP($A710,'Over to underbark'!$A$47:$A$48,'Over to underbark'!E$47:E$48)*AC710</f>
        <v>62.179024485600003</v>
      </c>
      <c r="AH710" t="b">
        <f t="shared" si="180"/>
        <v>1</v>
      </c>
      <c r="AI710" t="b">
        <f t="shared" si="181"/>
        <v>1</v>
      </c>
      <c r="AJ710">
        <f>LOOKUP(A710,'Over to underbark'!$A$47:$A$48,'Over to underbark'!E$47:E$48)*M710</f>
        <v>204.05880000000002</v>
      </c>
      <c r="AK710" s="22">
        <f>LOOKUP(A710,'Over to underbark'!$A$47:$A$48,'Over to underbark'!$B$47:$B$48)*AJ710</f>
        <v>65.298816000000002</v>
      </c>
      <c r="AL710" s="22">
        <f>LOOKUP(A710,'Over to underbark'!$A$47:$A$48,'Over to underbark'!C$47:C$48)*AJ710</f>
        <v>99.98881200000001</v>
      </c>
      <c r="AM710" s="22">
        <f t="shared" si="182"/>
        <v>269.35761600000001</v>
      </c>
      <c r="AN710" s="36">
        <v>947</v>
      </c>
      <c r="AO710" s="23">
        <f t="shared" si="183"/>
        <v>538.71523200000001</v>
      </c>
      <c r="AQ710">
        <f t="shared" si="184"/>
        <v>0.68181818181818177</v>
      </c>
    </row>
    <row r="711" spans="1:43" x14ac:dyDescent="0.35">
      <c r="A711" t="s">
        <v>43</v>
      </c>
      <c r="B711">
        <v>14</v>
      </c>
      <c r="C711">
        <v>2</v>
      </c>
      <c r="D711" t="s">
        <v>42</v>
      </c>
      <c r="E711">
        <v>2</v>
      </c>
      <c r="F711">
        <v>1</v>
      </c>
      <c r="G711" s="30">
        <v>51</v>
      </c>
      <c r="H711" s="30">
        <v>23.454000000000001</v>
      </c>
      <c r="I711" s="30">
        <v>1236</v>
      </c>
      <c r="J711" s="30">
        <v>25.786999999999999</v>
      </c>
      <c r="K711" s="30">
        <v>64.552000000000007</v>
      </c>
      <c r="L711" s="30">
        <v>0.51100000000000001</v>
      </c>
      <c r="M711" s="30">
        <v>632.04</v>
      </c>
      <c r="N711" s="30">
        <v>8.3179999999999996</v>
      </c>
      <c r="O711" s="29">
        <v>12.393000000000001</v>
      </c>
      <c r="P711" s="31">
        <v>51</v>
      </c>
      <c r="Q711" s="31">
        <v>25.786999999999999</v>
      </c>
      <c r="R711" s="31">
        <v>193.72800000000001</v>
      </c>
      <c r="S711" s="31">
        <v>438.31200000000001</v>
      </c>
      <c r="T711" s="10" t="b">
        <f t="shared" si="171"/>
        <v>1</v>
      </c>
      <c r="U711" s="10" t="b">
        <f t="shared" si="172"/>
        <v>1</v>
      </c>
      <c r="V711" s="11">
        <f>VLOOKUP(IF(J711&lt;10, 10, IF(J711&gt;50,50,J711)),'Over to underbark'!$A$3:$C$43,IF(A711="Scots pine",3,IF(A711="Sitka spruce",2, "error")),TRUE)/100</f>
        <v>0.9</v>
      </c>
      <c r="W711">
        <f t="shared" si="173"/>
        <v>156.91968000000003</v>
      </c>
      <c r="X711">
        <f t="shared" si="174"/>
        <v>355.03272000000004</v>
      </c>
      <c r="Y711">
        <f t="shared" si="175"/>
        <v>56.883599999999987</v>
      </c>
      <c r="Z711">
        <f t="shared" si="176"/>
        <v>225.08436340800003</v>
      </c>
      <c r="AA711">
        <f t="shared" si="177"/>
        <v>45.702964799999997</v>
      </c>
      <c r="AB711">
        <f t="shared" si="178"/>
        <v>102.07061035200002</v>
      </c>
      <c r="AC711">
        <f t="shared" si="179"/>
        <v>195.97806144000003</v>
      </c>
      <c r="AD711">
        <f>LOOKUP($A711,'Over to underbark'!$A$47:$A$48,'Over to underbark'!E$47:E$48)*Z711</f>
        <v>74.27783992464002</v>
      </c>
      <c r="AE711">
        <f>LOOKUP($A711,'Over to underbark'!$A$47:$A$48,'Over to underbark'!E$47:E$48)*AA711</f>
        <v>15.081978383999999</v>
      </c>
      <c r="AF711">
        <f>LOOKUP($A711,'Over to underbark'!$A$47:$A$48,'Over to underbark'!E$47:E$48)*AB711</f>
        <v>33.683301416160006</v>
      </c>
      <c r="AG711">
        <f>LOOKUP($A711,'Over to underbark'!$A$47:$A$48,'Over to underbark'!E$47:E$48)*AC711</f>
        <v>64.672760275200019</v>
      </c>
      <c r="AH711" t="b">
        <f t="shared" si="180"/>
        <v>1</v>
      </c>
      <c r="AI711" t="b">
        <f t="shared" si="181"/>
        <v>1</v>
      </c>
      <c r="AJ711">
        <f>LOOKUP(A711,'Over to underbark'!$A$47:$A$48,'Over to underbark'!E$47:E$48)*M711</f>
        <v>208.57319999999999</v>
      </c>
      <c r="AK711" s="22">
        <f>LOOKUP(A711,'Over to underbark'!$A$47:$A$48,'Over to underbark'!$B$47:$B$48)*AJ711</f>
        <v>66.74342399999999</v>
      </c>
      <c r="AL711" s="22">
        <f>LOOKUP(A711,'Over to underbark'!$A$47:$A$48,'Over to underbark'!C$47:C$48)*AJ711</f>
        <v>102.20086799999999</v>
      </c>
      <c r="AM711" s="22">
        <f t="shared" si="182"/>
        <v>275.31662399999999</v>
      </c>
      <c r="AN711" s="36">
        <v>948</v>
      </c>
      <c r="AO711" s="23">
        <f t="shared" si="183"/>
        <v>550.63324799999998</v>
      </c>
      <c r="AQ711">
        <f t="shared" si="184"/>
        <v>0.68181818181818199</v>
      </c>
    </row>
    <row r="712" spans="1:43" x14ac:dyDescent="0.35">
      <c r="A712" t="s">
        <v>43</v>
      </c>
      <c r="B712">
        <v>14</v>
      </c>
      <c r="C712">
        <v>2</v>
      </c>
      <c r="D712" t="s">
        <v>42</v>
      </c>
      <c r="E712">
        <v>2</v>
      </c>
      <c r="F712">
        <v>1</v>
      </c>
      <c r="G712" s="30">
        <v>52</v>
      </c>
      <c r="H712" s="30">
        <v>23.792000000000002</v>
      </c>
      <c r="I712" s="30">
        <v>1215</v>
      </c>
      <c r="J712" s="30">
        <v>26.12</v>
      </c>
      <c r="K712" s="30">
        <v>65.103999999999999</v>
      </c>
      <c r="L712" s="30">
        <v>0.53100000000000003</v>
      </c>
      <c r="M712" s="30">
        <v>645.72</v>
      </c>
      <c r="N712" s="30">
        <v>8.5559999999999992</v>
      </c>
      <c r="O712" s="29">
        <v>12.417999999999999</v>
      </c>
      <c r="P712" s="31">
        <v>52</v>
      </c>
      <c r="Q712" s="31">
        <v>26.12</v>
      </c>
      <c r="R712" s="31">
        <v>190.489</v>
      </c>
      <c r="S712" s="31">
        <v>455.23099999999999</v>
      </c>
      <c r="T712" s="10" t="b">
        <f t="shared" si="171"/>
        <v>1</v>
      </c>
      <c r="U712" s="10" t="b">
        <f t="shared" si="172"/>
        <v>1</v>
      </c>
      <c r="V712" s="11">
        <f>VLOOKUP(IF(J712&lt;10, 10, IF(J712&gt;50,50,J712)),'Over to underbark'!$A$3:$C$43,IF(A712="Scots pine",3,IF(A712="Sitka spruce",2, "error")),TRUE)/100</f>
        <v>0.9</v>
      </c>
      <c r="W712">
        <f t="shared" si="173"/>
        <v>154.29608999999999</v>
      </c>
      <c r="X712">
        <f t="shared" si="174"/>
        <v>368.73711000000003</v>
      </c>
      <c r="Y712">
        <f t="shared" si="175"/>
        <v>58.114799999999988</v>
      </c>
      <c r="Z712">
        <f t="shared" si="176"/>
        <v>228.75604914149997</v>
      </c>
      <c r="AA712">
        <f t="shared" si="177"/>
        <v>46.029969899999998</v>
      </c>
      <c r="AB712">
        <f t="shared" si="178"/>
        <v>102.81909623850001</v>
      </c>
      <c r="AC712">
        <f t="shared" si="179"/>
        <v>203.54288472000002</v>
      </c>
      <c r="AD712">
        <f>LOOKUP($A712,'Over to underbark'!$A$47:$A$48,'Over to underbark'!E$47:E$48)*Z712</f>
        <v>75.489496216694988</v>
      </c>
      <c r="AE712">
        <f>LOOKUP($A712,'Over to underbark'!$A$47:$A$48,'Over to underbark'!E$47:E$48)*AA712</f>
        <v>15.189890067</v>
      </c>
      <c r="AF712">
        <f>LOOKUP($A712,'Over to underbark'!$A$47:$A$48,'Over to underbark'!E$47:E$48)*AB712</f>
        <v>33.930301758705006</v>
      </c>
      <c r="AG712">
        <f>LOOKUP($A712,'Over to underbark'!$A$47:$A$48,'Over to underbark'!E$47:E$48)*AC712</f>
        <v>67.169151957600008</v>
      </c>
      <c r="AH712" t="b">
        <f t="shared" si="180"/>
        <v>1</v>
      </c>
      <c r="AI712" t="b">
        <f t="shared" si="181"/>
        <v>1</v>
      </c>
      <c r="AJ712">
        <f>LOOKUP(A712,'Over to underbark'!$A$47:$A$48,'Over to underbark'!E$47:E$48)*M712</f>
        <v>213.08760000000001</v>
      </c>
      <c r="AK712" s="22">
        <f>LOOKUP(A712,'Over to underbark'!$A$47:$A$48,'Over to underbark'!$B$47:$B$48)*AJ712</f>
        <v>68.188032000000007</v>
      </c>
      <c r="AL712" s="22">
        <f>LOOKUP(A712,'Over to underbark'!$A$47:$A$48,'Over to underbark'!C$47:C$48)*AJ712</f>
        <v>104.412924</v>
      </c>
      <c r="AM712" s="22">
        <f t="shared" si="182"/>
        <v>281.27563200000003</v>
      </c>
      <c r="AN712" s="36">
        <v>949</v>
      </c>
      <c r="AO712" s="23">
        <f t="shared" si="183"/>
        <v>562.55126400000006</v>
      </c>
      <c r="AQ712">
        <f t="shared" si="184"/>
        <v>0.68181818181818177</v>
      </c>
    </row>
    <row r="713" spans="1:43" x14ac:dyDescent="0.35">
      <c r="A713" t="s">
        <v>43</v>
      </c>
      <c r="B713">
        <v>14</v>
      </c>
      <c r="C713">
        <v>2</v>
      </c>
      <c r="D713" t="s">
        <v>42</v>
      </c>
      <c r="E713">
        <v>2</v>
      </c>
      <c r="F713">
        <v>1</v>
      </c>
      <c r="G713" s="30">
        <v>53</v>
      </c>
      <c r="H713" s="30">
        <v>24.13</v>
      </c>
      <c r="I713" s="30">
        <v>1194</v>
      </c>
      <c r="J713" s="30">
        <v>26.46</v>
      </c>
      <c r="K713" s="30">
        <v>65.656000000000006</v>
      </c>
      <c r="L713" s="30">
        <v>0.55200000000000005</v>
      </c>
      <c r="M713" s="30">
        <v>659.4</v>
      </c>
      <c r="N713" s="30">
        <v>8.7840000000000007</v>
      </c>
      <c r="O713" s="29">
        <v>12.442</v>
      </c>
      <c r="P713" s="31">
        <v>53</v>
      </c>
      <c r="Q713" s="31">
        <v>26.46</v>
      </c>
      <c r="R713" s="31">
        <v>187.024</v>
      </c>
      <c r="S713" s="31">
        <v>472.37599999999998</v>
      </c>
      <c r="T713" s="10" t="b">
        <f t="shared" si="171"/>
        <v>1</v>
      </c>
      <c r="U713" s="10" t="b">
        <f t="shared" si="172"/>
        <v>1</v>
      </c>
      <c r="V713" s="11">
        <f>VLOOKUP(IF(J713&lt;10, 10, IF(J713&gt;50,50,J713)),'Over to underbark'!$A$3:$C$43,IF(A713="Scots pine",3,IF(A713="Sitka spruce",2, "error")),TRUE)/100</f>
        <v>0.9</v>
      </c>
      <c r="W713">
        <f t="shared" si="173"/>
        <v>151.48944000000003</v>
      </c>
      <c r="X713">
        <f t="shared" si="174"/>
        <v>382.62455999999997</v>
      </c>
      <c r="Y713">
        <f t="shared" si="175"/>
        <v>59.345999999999989</v>
      </c>
      <c r="Z713">
        <f t="shared" si="176"/>
        <v>232.39124186400002</v>
      </c>
      <c r="AA713">
        <f t="shared" si="177"/>
        <v>46.336838399999998</v>
      </c>
      <c r="AB713">
        <f t="shared" si="178"/>
        <v>103.52316261600001</v>
      </c>
      <c r="AC713">
        <f t="shared" si="179"/>
        <v>211.20875711999997</v>
      </c>
      <c r="AD713">
        <f>LOOKUP($A713,'Over to underbark'!$A$47:$A$48,'Over to underbark'!E$47:E$48)*Z713</f>
        <v>76.689109815120005</v>
      </c>
      <c r="AE713">
        <f>LOOKUP($A713,'Over to underbark'!$A$47:$A$48,'Over to underbark'!E$47:E$48)*AA713</f>
        <v>15.291156672</v>
      </c>
      <c r="AF713">
        <f>LOOKUP($A713,'Over to underbark'!$A$47:$A$48,'Over to underbark'!E$47:E$48)*AB713</f>
        <v>34.162643663280001</v>
      </c>
      <c r="AG713">
        <f>LOOKUP($A713,'Over to underbark'!$A$47:$A$48,'Over to underbark'!E$47:E$48)*AC713</f>
        <v>69.698889849599993</v>
      </c>
      <c r="AH713" t="b">
        <f t="shared" si="180"/>
        <v>1</v>
      </c>
      <c r="AI713" t="b">
        <f t="shared" si="181"/>
        <v>1</v>
      </c>
      <c r="AJ713">
        <f>LOOKUP(A713,'Over to underbark'!$A$47:$A$48,'Over to underbark'!E$47:E$48)*M713</f>
        <v>217.602</v>
      </c>
      <c r="AK713" s="22">
        <f>LOOKUP(A713,'Over to underbark'!$A$47:$A$48,'Over to underbark'!$B$47:$B$48)*AJ713</f>
        <v>69.632640000000009</v>
      </c>
      <c r="AL713" s="22">
        <f>LOOKUP(A713,'Over to underbark'!$A$47:$A$48,'Over to underbark'!C$47:C$48)*AJ713</f>
        <v>106.62497999999999</v>
      </c>
      <c r="AM713" s="22">
        <f t="shared" si="182"/>
        <v>287.23464000000001</v>
      </c>
      <c r="AN713" s="36">
        <v>950</v>
      </c>
      <c r="AO713" s="23">
        <f t="shared" si="183"/>
        <v>574.46928000000003</v>
      </c>
      <c r="AQ713">
        <f t="shared" si="184"/>
        <v>0.68181818181818177</v>
      </c>
    </row>
    <row r="714" spans="1:43" x14ac:dyDescent="0.35">
      <c r="A714" t="s">
        <v>43</v>
      </c>
      <c r="B714">
        <v>14</v>
      </c>
      <c r="C714">
        <v>2</v>
      </c>
      <c r="D714" t="s">
        <v>42</v>
      </c>
      <c r="E714">
        <v>2</v>
      </c>
      <c r="F714">
        <v>1</v>
      </c>
      <c r="G714" s="30">
        <v>54</v>
      </c>
      <c r="H714" s="30">
        <v>24.411999999999999</v>
      </c>
      <c r="I714" s="30">
        <v>1178</v>
      </c>
      <c r="J714" s="30">
        <v>26.739000000000001</v>
      </c>
      <c r="K714" s="30">
        <v>66.150999999999996</v>
      </c>
      <c r="L714" s="30">
        <v>0.56999999999999995</v>
      </c>
      <c r="M714" s="30">
        <v>671.16</v>
      </c>
      <c r="N714" s="30">
        <v>8.9879999999999995</v>
      </c>
      <c r="O714" s="29">
        <v>12.429</v>
      </c>
      <c r="P714" s="31">
        <v>54</v>
      </c>
      <c r="Q714" s="31">
        <v>26.739000000000001</v>
      </c>
      <c r="R714" s="31">
        <v>184.28299999999999</v>
      </c>
      <c r="S714" s="31">
        <v>486.87700000000001</v>
      </c>
      <c r="T714" s="10" t="b">
        <f t="shared" si="171"/>
        <v>1</v>
      </c>
      <c r="U714" s="10" t="b">
        <f t="shared" si="172"/>
        <v>1</v>
      </c>
      <c r="V714" s="11">
        <f>VLOOKUP(IF(J714&lt;10, 10, IF(J714&gt;50,50,J714)),'Over to underbark'!$A$3:$C$43,IF(A714="Scots pine",3,IF(A714="Sitka spruce",2, "error")),TRUE)/100</f>
        <v>0.9</v>
      </c>
      <c r="W714">
        <f t="shared" si="173"/>
        <v>149.26922999999999</v>
      </c>
      <c r="X714">
        <f t="shared" si="174"/>
        <v>394.37037000000004</v>
      </c>
      <c r="Y714">
        <f t="shared" si="175"/>
        <v>60.404399999999988</v>
      </c>
      <c r="Z714">
        <f t="shared" si="176"/>
        <v>235.5546118005</v>
      </c>
      <c r="AA714">
        <f t="shared" si="177"/>
        <v>46.621815299999994</v>
      </c>
      <c r="AB714">
        <f t="shared" si="178"/>
        <v>104.1751286595</v>
      </c>
      <c r="AC714">
        <f t="shared" si="179"/>
        <v>217.69244424000004</v>
      </c>
      <c r="AD714">
        <f>LOOKUP($A714,'Over to underbark'!$A$47:$A$48,'Over to underbark'!E$47:E$48)*Z714</f>
        <v>77.733021894165006</v>
      </c>
      <c r="AE714">
        <f>LOOKUP($A714,'Over to underbark'!$A$47:$A$48,'Over to underbark'!E$47:E$48)*AA714</f>
        <v>15.385199048999999</v>
      </c>
      <c r="AF714">
        <f>LOOKUP($A714,'Over to underbark'!$A$47:$A$48,'Over to underbark'!E$47:E$48)*AB714</f>
        <v>34.377792457635003</v>
      </c>
      <c r="AG714">
        <f>LOOKUP($A714,'Over to underbark'!$A$47:$A$48,'Over to underbark'!E$47:E$48)*AC714</f>
        <v>71.838506599200016</v>
      </c>
      <c r="AH714" t="b">
        <f t="shared" si="180"/>
        <v>1</v>
      </c>
      <c r="AI714" t="b">
        <f t="shared" si="181"/>
        <v>1</v>
      </c>
      <c r="AJ714">
        <f>LOOKUP(A714,'Over to underbark'!$A$47:$A$48,'Over to underbark'!E$47:E$48)*M714</f>
        <v>221.4828</v>
      </c>
      <c r="AK714" s="22">
        <f>LOOKUP(A714,'Over to underbark'!$A$47:$A$48,'Over to underbark'!$B$47:$B$48)*AJ714</f>
        <v>70.874496000000008</v>
      </c>
      <c r="AL714" s="22">
        <f>LOOKUP(A714,'Over to underbark'!$A$47:$A$48,'Over to underbark'!C$47:C$48)*AJ714</f>
        <v>108.526572</v>
      </c>
      <c r="AM714" s="22">
        <f t="shared" si="182"/>
        <v>292.35729600000002</v>
      </c>
      <c r="AN714" s="36">
        <v>951</v>
      </c>
      <c r="AO714" s="23">
        <f t="shared" si="183"/>
        <v>584.71459200000004</v>
      </c>
      <c r="AQ714">
        <f t="shared" si="184"/>
        <v>0.68181818181818177</v>
      </c>
    </row>
    <row r="715" spans="1:43" x14ac:dyDescent="0.35">
      <c r="A715" t="s">
        <v>43</v>
      </c>
      <c r="B715">
        <v>14</v>
      </c>
      <c r="C715">
        <v>2</v>
      </c>
      <c r="D715" t="s">
        <v>42</v>
      </c>
      <c r="E715">
        <v>2</v>
      </c>
      <c r="F715">
        <v>1</v>
      </c>
      <c r="G715" s="30">
        <v>55</v>
      </c>
      <c r="H715" s="30">
        <v>24.693999999999999</v>
      </c>
      <c r="I715" s="30">
        <v>1162</v>
      </c>
      <c r="J715" s="30">
        <v>27.023</v>
      </c>
      <c r="K715" s="30">
        <v>66.646000000000001</v>
      </c>
      <c r="L715" s="30">
        <v>0.58799999999999997</v>
      </c>
      <c r="M715" s="30">
        <v>682.92</v>
      </c>
      <c r="N715" s="30">
        <v>9.1839999999999993</v>
      </c>
      <c r="O715" s="29">
        <v>12.417</v>
      </c>
      <c r="P715" s="31">
        <v>55</v>
      </c>
      <c r="Q715" s="31">
        <v>27.023</v>
      </c>
      <c r="R715" s="31">
        <v>181.393</v>
      </c>
      <c r="S715" s="31">
        <v>501.52699999999999</v>
      </c>
      <c r="T715" s="10" t="b">
        <f t="shared" si="171"/>
        <v>1</v>
      </c>
      <c r="U715" s="10" t="b">
        <f t="shared" si="172"/>
        <v>1</v>
      </c>
      <c r="V715" s="11">
        <f>VLOOKUP(IF(J715&lt;10, 10, IF(J715&gt;50,50,J715)),'Over to underbark'!$A$3:$C$43,IF(A715="Scots pine",3,IF(A715="Sitka spruce",2, "error")),TRUE)/100</f>
        <v>0.9</v>
      </c>
      <c r="W715">
        <f t="shared" si="173"/>
        <v>146.92833000000002</v>
      </c>
      <c r="X715">
        <f t="shared" si="174"/>
        <v>406.23687000000001</v>
      </c>
      <c r="Y715">
        <f t="shared" si="175"/>
        <v>61.46279999999998</v>
      </c>
      <c r="Z715">
        <f t="shared" si="176"/>
        <v>238.69392218550001</v>
      </c>
      <c r="AA715">
        <f t="shared" si="177"/>
        <v>46.893516299999987</v>
      </c>
      <c r="AB715">
        <f t="shared" si="178"/>
        <v>104.7978092745</v>
      </c>
      <c r="AC715">
        <f t="shared" si="179"/>
        <v>224.24275224000002</v>
      </c>
      <c r="AD715">
        <f>LOOKUP($A715,'Over to underbark'!$A$47:$A$48,'Over to underbark'!E$47:E$48)*Z715</f>
        <v>78.768994321215004</v>
      </c>
      <c r="AE715">
        <f>LOOKUP($A715,'Over to underbark'!$A$47:$A$48,'Over to underbark'!E$47:E$48)*AA715</f>
        <v>15.474860378999997</v>
      </c>
      <c r="AF715">
        <f>LOOKUP($A715,'Over to underbark'!$A$47:$A$48,'Over to underbark'!E$47:E$48)*AB715</f>
        <v>34.583277060584997</v>
      </c>
      <c r="AG715">
        <f>LOOKUP($A715,'Over to underbark'!$A$47:$A$48,'Over to underbark'!E$47:E$48)*AC715</f>
        <v>74.000108239200003</v>
      </c>
      <c r="AH715" t="b">
        <f t="shared" si="180"/>
        <v>1</v>
      </c>
      <c r="AI715" t="b">
        <f t="shared" si="181"/>
        <v>1</v>
      </c>
      <c r="AJ715">
        <f>LOOKUP(A715,'Over to underbark'!$A$47:$A$48,'Over to underbark'!E$47:E$48)*M715</f>
        <v>225.36359999999999</v>
      </c>
      <c r="AK715" s="22">
        <f>LOOKUP(A715,'Over to underbark'!$A$47:$A$48,'Over to underbark'!$B$47:$B$48)*AJ715</f>
        <v>72.116351999999992</v>
      </c>
      <c r="AL715" s="22">
        <f>LOOKUP(A715,'Over to underbark'!$A$47:$A$48,'Over to underbark'!C$47:C$48)*AJ715</f>
        <v>110.428164</v>
      </c>
      <c r="AM715" s="22">
        <f t="shared" si="182"/>
        <v>297.47995199999997</v>
      </c>
      <c r="AN715" s="36">
        <v>952</v>
      </c>
      <c r="AO715" s="23">
        <f t="shared" si="183"/>
        <v>594.95990399999994</v>
      </c>
      <c r="AQ715">
        <f t="shared" si="184"/>
        <v>0.68181818181818199</v>
      </c>
    </row>
    <row r="716" spans="1:43" x14ac:dyDescent="0.35">
      <c r="A716" t="s">
        <v>43</v>
      </c>
      <c r="B716">
        <v>14</v>
      </c>
      <c r="C716">
        <v>2</v>
      </c>
      <c r="D716" t="s">
        <v>42</v>
      </c>
      <c r="E716">
        <v>2</v>
      </c>
      <c r="F716">
        <v>1</v>
      </c>
      <c r="G716" s="30">
        <v>56</v>
      </c>
      <c r="H716" s="30">
        <v>24.975999999999999</v>
      </c>
      <c r="I716" s="30">
        <v>1147</v>
      </c>
      <c r="J716" s="30">
        <v>27.3</v>
      </c>
      <c r="K716" s="30">
        <v>67.14</v>
      </c>
      <c r="L716" s="30">
        <v>0.60599999999999998</v>
      </c>
      <c r="M716" s="30">
        <v>694.68</v>
      </c>
      <c r="N716" s="30">
        <v>9.3719999999999999</v>
      </c>
      <c r="O716" s="29">
        <v>12.404999999999999</v>
      </c>
      <c r="P716" s="31">
        <v>56</v>
      </c>
      <c r="Q716" s="31">
        <v>27.3</v>
      </c>
      <c r="R716" s="31">
        <v>178.614</v>
      </c>
      <c r="S716" s="31">
        <v>516.06600000000003</v>
      </c>
      <c r="T716" s="10" t="b">
        <f t="shared" si="171"/>
        <v>1</v>
      </c>
      <c r="U716" s="10" t="b">
        <f t="shared" si="172"/>
        <v>1</v>
      </c>
      <c r="V716" s="11">
        <f>VLOOKUP(IF(J716&lt;10, 10, IF(J716&gt;50,50,J716)),'Over to underbark'!$A$3:$C$43,IF(A716="Scots pine",3,IF(A716="Sitka spruce",2, "error")),TRUE)/100</f>
        <v>0.9</v>
      </c>
      <c r="W716">
        <f t="shared" si="173"/>
        <v>144.67734000000002</v>
      </c>
      <c r="X716">
        <f t="shared" si="174"/>
        <v>418.01346000000001</v>
      </c>
      <c r="Y716">
        <f t="shared" si="175"/>
        <v>62.521199999999993</v>
      </c>
      <c r="Z716">
        <f t="shared" si="176"/>
        <v>241.851156129</v>
      </c>
      <c r="AA716">
        <f t="shared" si="177"/>
        <v>47.175107400000002</v>
      </c>
      <c r="AB716">
        <f t="shared" si="178"/>
        <v>105.442306551</v>
      </c>
      <c r="AC716">
        <f t="shared" si="179"/>
        <v>230.74342992000001</v>
      </c>
      <c r="AD716">
        <f>LOOKUP($A716,'Over to underbark'!$A$47:$A$48,'Over to underbark'!E$47:E$48)*Z716</f>
        <v>79.81088152257</v>
      </c>
      <c r="AE716">
        <f>LOOKUP($A716,'Over to underbark'!$A$47:$A$48,'Over to underbark'!E$47:E$48)*AA716</f>
        <v>15.567785442000002</v>
      </c>
      <c r="AF716">
        <f>LOOKUP($A716,'Over to underbark'!$A$47:$A$48,'Over to underbark'!E$47:E$48)*AB716</f>
        <v>34.79596116183</v>
      </c>
      <c r="AG716">
        <f>LOOKUP($A716,'Over to underbark'!$A$47:$A$48,'Over to underbark'!E$47:E$48)*AC716</f>
        <v>76.145331873600014</v>
      </c>
      <c r="AH716" t="b">
        <f t="shared" si="180"/>
        <v>1</v>
      </c>
      <c r="AI716" t="b">
        <f t="shared" si="181"/>
        <v>1</v>
      </c>
      <c r="AJ716">
        <f>LOOKUP(A716,'Over to underbark'!$A$47:$A$48,'Over to underbark'!E$47:E$48)*M716</f>
        <v>229.24439999999998</v>
      </c>
      <c r="AK716" s="22">
        <f>LOOKUP(A716,'Over to underbark'!$A$47:$A$48,'Over to underbark'!$B$47:$B$48)*AJ716</f>
        <v>73.358207999999991</v>
      </c>
      <c r="AL716" s="22">
        <f>LOOKUP(A716,'Over to underbark'!$A$47:$A$48,'Over to underbark'!C$47:C$48)*AJ716</f>
        <v>112.32975599999999</v>
      </c>
      <c r="AM716" s="22">
        <f t="shared" si="182"/>
        <v>302.60260799999998</v>
      </c>
      <c r="AN716" s="36">
        <v>953</v>
      </c>
      <c r="AO716" s="23">
        <f t="shared" si="183"/>
        <v>605.20521599999995</v>
      </c>
      <c r="AQ716">
        <f t="shared" si="184"/>
        <v>0.68181818181818188</v>
      </c>
    </row>
    <row r="717" spans="1:43" x14ac:dyDescent="0.35">
      <c r="A717" t="s">
        <v>43</v>
      </c>
      <c r="B717">
        <v>14</v>
      </c>
      <c r="C717">
        <v>2</v>
      </c>
      <c r="D717" t="s">
        <v>42</v>
      </c>
      <c r="E717">
        <v>2</v>
      </c>
      <c r="F717">
        <v>1</v>
      </c>
      <c r="G717" s="30">
        <v>57</v>
      </c>
      <c r="H717" s="30">
        <v>25.257999999999999</v>
      </c>
      <c r="I717" s="30">
        <v>1131</v>
      </c>
      <c r="J717" s="30">
        <v>27.594000000000001</v>
      </c>
      <c r="K717" s="30">
        <v>67.635000000000005</v>
      </c>
      <c r="L717" s="30">
        <v>0.625</v>
      </c>
      <c r="M717" s="30">
        <v>706.44</v>
      </c>
      <c r="N717" s="30">
        <v>9.5540000000000003</v>
      </c>
      <c r="O717" s="29">
        <v>12.394</v>
      </c>
      <c r="P717" s="31">
        <v>57</v>
      </c>
      <c r="Q717" s="31">
        <v>27.594000000000001</v>
      </c>
      <c r="R717" s="31">
        <v>175.45099999999999</v>
      </c>
      <c r="S717" s="31">
        <v>530.98900000000003</v>
      </c>
      <c r="T717" s="10" t="b">
        <f t="shared" si="171"/>
        <v>1</v>
      </c>
      <c r="U717" s="10" t="b">
        <f t="shared" si="172"/>
        <v>1</v>
      </c>
      <c r="V717" s="11">
        <f>VLOOKUP(IF(J717&lt;10, 10, IF(J717&gt;50,50,J717)),'Over to underbark'!$A$3:$C$43,IF(A717="Scots pine",3,IF(A717="Sitka spruce",2, "error")),TRUE)/100</f>
        <v>0.9</v>
      </c>
      <c r="W717">
        <f t="shared" si="173"/>
        <v>142.11530999999999</v>
      </c>
      <c r="X717">
        <f t="shared" si="174"/>
        <v>430.10109</v>
      </c>
      <c r="Y717">
        <f t="shared" si="175"/>
        <v>63.579599999999992</v>
      </c>
      <c r="Z717">
        <f t="shared" si="176"/>
        <v>244.94638424849998</v>
      </c>
      <c r="AA717">
        <f t="shared" si="177"/>
        <v>47.422484099999991</v>
      </c>
      <c r="AB717">
        <f t="shared" si="178"/>
        <v>106.0113299715</v>
      </c>
      <c r="AC717">
        <f t="shared" si="179"/>
        <v>237.41580168000002</v>
      </c>
      <c r="AD717">
        <f>LOOKUP($A717,'Over to underbark'!$A$47:$A$48,'Over to underbark'!E$47:E$48)*Z717</f>
        <v>80.832306802004993</v>
      </c>
      <c r="AE717">
        <f>LOOKUP($A717,'Over to underbark'!$A$47:$A$48,'Over to underbark'!E$47:E$48)*AA717</f>
        <v>15.649419752999998</v>
      </c>
      <c r="AF717">
        <f>LOOKUP($A717,'Over to underbark'!$A$47:$A$48,'Over to underbark'!E$47:E$48)*AB717</f>
        <v>34.983738890595006</v>
      </c>
      <c r="AG717">
        <f>LOOKUP($A717,'Over to underbark'!$A$47:$A$48,'Over to underbark'!E$47:E$48)*AC717</f>
        <v>78.347214554400011</v>
      </c>
      <c r="AH717" t="b">
        <f t="shared" si="180"/>
        <v>1</v>
      </c>
      <c r="AI717" t="b">
        <f t="shared" si="181"/>
        <v>1</v>
      </c>
      <c r="AJ717">
        <f>LOOKUP(A717,'Over to underbark'!$A$47:$A$48,'Over to underbark'!E$47:E$48)*M717</f>
        <v>233.12520000000004</v>
      </c>
      <c r="AK717" s="22">
        <f>LOOKUP(A717,'Over to underbark'!$A$47:$A$48,'Over to underbark'!$B$47:$B$48)*AJ717</f>
        <v>74.600064000000017</v>
      </c>
      <c r="AL717" s="22">
        <f>LOOKUP(A717,'Over to underbark'!$A$47:$A$48,'Over to underbark'!C$47:C$48)*AJ717</f>
        <v>114.23134800000001</v>
      </c>
      <c r="AM717" s="22">
        <f t="shared" si="182"/>
        <v>307.72526400000004</v>
      </c>
      <c r="AN717" s="36">
        <v>954</v>
      </c>
      <c r="AO717" s="23">
        <f t="shared" si="183"/>
        <v>615.45052800000008</v>
      </c>
      <c r="AQ717">
        <f t="shared" si="184"/>
        <v>0.68181818181818177</v>
      </c>
    </row>
    <row r="718" spans="1:43" x14ac:dyDescent="0.35">
      <c r="A718" t="s">
        <v>43</v>
      </c>
      <c r="B718">
        <v>14</v>
      </c>
      <c r="C718">
        <v>2</v>
      </c>
      <c r="D718" t="s">
        <v>42</v>
      </c>
      <c r="E718">
        <v>2</v>
      </c>
      <c r="F718">
        <v>1</v>
      </c>
      <c r="G718" s="30">
        <v>58</v>
      </c>
      <c r="H718" s="30">
        <v>25.54</v>
      </c>
      <c r="I718" s="30">
        <v>1116</v>
      </c>
      <c r="J718" s="30">
        <v>27.88</v>
      </c>
      <c r="K718" s="30">
        <v>68.13</v>
      </c>
      <c r="L718" s="30">
        <v>0.64400000000000002</v>
      </c>
      <c r="M718" s="30">
        <v>718.2</v>
      </c>
      <c r="N718" s="30">
        <v>9.7289999999999992</v>
      </c>
      <c r="O718" s="29">
        <v>12.382999999999999</v>
      </c>
      <c r="P718" s="31">
        <v>58</v>
      </c>
      <c r="Q718" s="31">
        <v>27.88</v>
      </c>
      <c r="R718" s="31">
        <v>172.43199999999999</v>
      </c>
      <c r="S718" s="31">
        <v>545.76800000000003</v>
      </c>
      <c r="T718" s="10" t="b">
        <f t="shared" si="171"/>
        <v>1</v>
      </c>
      <c r="U718" s="10" t="b">
        <f t="shared" si="172"/>
        <v>1</v>
      </c>
      <c r="V718" s="11">
        <f>VLOOKUP(IF(J718&lt;10, 10, IF(J718&gt;50,50,J718)),'Over to underbark'!$A$3:$C$43,IF(A718="Scots pine",3,IF(A718="Sitka spruce",2, "error")),TRUE)/100</f>
        <v>0.9</v>
      </c>
      <c r="W718">
        <f t="shared" si="173"/>
        <v>139.66991999999999</v>
      </c>
      <c r="X718">
        <f t="shared" si="174"/>
        <v>442.07208000000003</v>
      </c>
      <c r="Y718">
        <f t="shared" si="175"/>
        <v>64.637999999999991</v>
      </c>
      <c r="Z718">
        <f t="shared" si="176"/>
        <v>248.06486455200002</v>
      </c>
      <c r="AA718">
        <f t="shared" si="177"/>
        <v>47.682691199999994</v>
      </c>
      <c r="AB718">
        <f t="shared" si="178"/>
        <v>106.608656088</v>
      </c>
      <c r="AC718">
        <f t="shared" si="179"/>
        <v>244.02378816000001</v>
      </c>
      <c r="AD718">
        <f>LOOKUP($A718,'Over to underbark'!$A$47:$A$48,'Over to underbark'!E$47:E$48)*Z718</f>
        <v>81.861405302160009</v>
      </c>
      <c r="AE718">
        <f>LOOKUP($A718,'Over to underbark'!$A$47:$A$48,'Over to underbark'!E$47:E$48)*AA718</f>
        <v>15.735288095999998</v>
      </c>
      <c r="AF718">
        <f>LOOKUP($A718,'Over to underbark'!$A$47:$A$48,'Over to underbark'!E$47:E$48)*AB718</f>
        <v>35.180856509040005</v>
      </c>
      <c r="AG718">
        <f>LOOKUP($A718,'Over to underbark'!$A$47:$A$48,'Over to underbark'!E$47:E$48)*AC718</f>
        <v>80.527850092800008</v>
      </c>
      <c r="AH718" t="b">
        <f t="shared" si="180"/>
        <v>1</v>
      </c>
      <c r="AI718" t="b">
        <f t="shared" si="181"/>
        <v>1</v>
      </c>
      <c r="AJ718">
        <f>LOOKUP(A718,'Over to underbark'!$A$47:$A$48,'Over to underbark'!E$47:E$48)*M718</f>
        <v>237.00600000000003</v>
      </c>
      <c r="AK718" s="22">
        <f>LOOKUP(A718,'Over to underbark'!$A$47:$A$48,'Over to underbark'!$B$47:$B$48)*AJ718</f>
        <v>75.841920000000016</v>
      </c>
      <c r="AL718" s="22">
        <f>LOOKUP(A718,'Over to underbark'!$A$47:$A$48,'Over to underbark'!C$47:C$48)*AJ718</f>
        <v>116.13294</v>
      </c>
      <c r="AM718" s="22">
        <f t="shared" si="182"/>
        <v>312.84792000000004</v>
      </c>
      <c r="AN718" s="36">
        <v>955</v>
      </c>
      <c r="AO718" s="23">
        <f t="shared" si="183"/>
        <v>625.69584000000009</v>
      </c>
      <c r="AQ718">
        <f t="shared" si="184"/>
        <v>0.68181818181818177</v>
      </c>
    </row>
    <row r="719" spans="1:43" x14ac:dyDescent="0.35">
      <c r="A719" t="s">
        <v>43</v>
      </c>
      <c r="B719">
        <v>14</v>
      </c>
      <c r="C719">
        <v>2</v>
      </c>
      <c r="D719" t="s">
        <v>42</v>
      </c>
      <c r="E719">
        <v>2</v>
      </c>
      <c r="F719">
        <v>1</v>
      </c>
      <c r="G719" s="30">
        <v>59</v>
      </c>
      <c r="H719" s="30">
        <v>25.771999999999998</v>
      </c>
      <c r="I719" s="30">
        <v>1104</v>
      </c>
      <c r="J719" s="30">
        <v>28.122</v>
      </c>
      <c r="K719" s="30">
        <v>68.570999999999998</v>
      </c>
      <c r="L719" s="30">
        <v>0.66</v>
      </c>
      <c r="M719" s="30">
        <v>728.22</v>
      </c>
      <c r="N719" s="30">
        <v>9.8849999999999998</v>
      </c>
      <c r="O719" s="29">
        <v>12.343</v>
      </c>
      <c r="P719" s="31">
        <v>59</v>
      </c>
      <c r="Q719" s="31">
        <v>28.122</v>
      </c>
      <c r="R719" s="31">
        <v>169.881</v>
      </c>
      <c r="S719" s="31">
        <v>558.33900000000006</v>
      </c>
      <c r="T719" s="10" t="b">
        <f t="shared" si="171"/>
        <v>1</v>
      </c>
      <c r="U719" s="10" t="b">
        <f t="shared" si="172"/>
        <v>1</v>
      </c>
      <c r="V719" s="11">
        <f>VLOOKUP(IF(J719&lt;10, 10, IF(J719&gt;50,50,J719)),'Over to underbark'!$A$3:$C$43,IF(A719="Scots pine",3,IF(A719="Sitka spruce",2, "error")),TRUE)/100</f>
        <v>0.9</v>
      </c>
      <c r="W719">
        <f t="shared" si="173"/>
        <v>137.60361</v>
      </c>
      <c r="X719">
        <f t="shared" si="174"/>
        <v>452.25459000000006</v>
      </c>
      <c r="Y719">
        <f t="shared" si="175"/>
        <v>65.539799999999985</v>
      </c>
      <c r="Z719">
        <f t="shared" si="176"/>
        <v>250.72537825350003</v>
      </c>
      <c r="AA719">
        <f t="shared" si="177"/>
        <v>47.906297099999989</v>
      </c>
      <c r="AB719">
        <f t="shared" si="178"/>
        <v>107.12179096650001</v>
      </c>
      <c r="AC719">
        <f t="shared" si="179"/>
        <v>249.64453368000002</v>
      </c>
      <c r="AD719">
        <f>LOOKUP($A719,'Over to underbark'!$A$47:$A$48,'Over to underbark'!E$47:E$48)*Z719</f>
        <v>82.739374823655012</v>
      </c>
      <c r="AE719">
        <f>LOOKUP($A719,'Over to underbark'!$A$47:$A$48,'Over to underbark'!E$47:E$48)*AA719</f>
        <v>15.809078042999998</v>
      </c>
      <c r="AF719">
        <f>LOOKUP($A719,'Over to underbark'!$A$47:$A$48,'Over to underbark'!E$47:E$48)*AB719</f>
        <v>35.350191018945004</v>
      </c>
      <c r="AG719">
        <f>LOOKUP($A719,'Over to underbark'!$A$47:$A$48,'Over to underbark'!E$47:E$48)*AC719</f>
        <v>82.382696114400005</v>
      </c>
      <c r="AH719" t="b">
        <f t="shared" si="180"/>
        <v>1</v>
      </c>
      <c r="AI719" t="b">
        <f t="shared" si="181"/>
        <v>1</v>
      </c>
      <c r="AJ719">
        <f>LOOKUP(A719,'Over to underbark'!$A$47:$A$48,'Over to underbark'!E$47:E$48)*M719</f>
        <v>240.31260000000003</v>
      </c>
      <c r="AK719" s="22">
        <f>LOOKUP(A719,'Over to underbark'!$A$47:$A$48,'Over to underbark'!$B$47:$B$48)*AJ719</f>
        <v>76.90003200000001</v>
      </c>
      <c r="AL719" s="22">
        <f>LOOKUP(A719,'Over to underbark'!$A$47:$A$48,'Over to underbark'!C$47:C$48)*AJ719</f>
        <v>117.75317400000002</v>
      </c>
      <c r="AM719" s="22">
        <f t="shared" si="182"/>
        <v>317.21263200000004</v>
      </c>
      <c r="AN719" s="36">
        <v>956</v>
      </c>
      <c r="AO719" s="23">
        <f t="shared" si="183"/>
        <v>634.42526400000008</v>
      </c>
      <c r="AQ719">
        <f t="shared" si="184"/>
        <v>0.68181818181818177</v>
      </c>
    </row>
    <row r="720" spans="1:43" x14ac:dyDescent="0.35">
      <c r="A720" t="s">
        <v>43</v>
      </c>
      <c r="B720">
        <v>14</v>
      </c>
      <c r="C720">
        <v>2</v>
      </c>
      <c r="D720" t="s">
        <v>42</v>
      </c>
      <c r="E720">
        <v>2</v>
      </c>
      <c r="F720">
        <v>1</v>
      </c>
      <c r="G720" s="30">
        <v>60</v>
      </c>
      <c r="H720" s="30">
        <v>26.004000000000001</v>
      </c>
      <c r="I720" s="30">
        <v>1093</v>
      </c>
      <c r="J720" s="30">
        <v>28.353999999999999</v>
      </c>
      <c r="K720" s="30">
        <v>69.012</v>
      </c>
      <c r="L720" s="30">
        <v>0.67500000000000004</v>
      </c>
      <c r="M720" s="30">
        <v>738.24</v>
      </c>
      <c r="N720" s="30">
        <v>10.037000000000001</v>
      </c>
      <c r="O720" s="29">
        <v>12.304</v>
      </c>
      <c r="P720" s="31">
        <v>60</v>
      </c>
      <c r="Q720" s="31">
        <v>28.353999999999999</v>
      </c>
      <c r="R720" s="31">
        <v>167.52</v>
      </c>
      <c r="S720" s="31">
        <v>570.72</v>
      </c>
      <c r="T720" s="10" t="b">
        <f t="shared" si="171"/>
        <v>1</v>
      </c>
      <c r="U720" s="10" t="b">
        <f t="shared" si="172"/>
        <v>1</v>
      </c>
      <c r="V720" s="11">
        <f>VLOOKUP(IF(J720&lt;10, 10, IF(J720&gt;50,50,J720)),'Over to underbark'!$A$3:$C$43,IF(A720="Scots pine",3,IF(A720="Sitka spruce",2, "error")),TRUE)/100</f>
        <v>0.9</v>
      </c>
      <c r="W720">
        <f t="shared" si="173"/>
        <v>135.69120000000001</v>
      </c>
      <c r="X720">
        <f t="shared" si="174"/>
        <v>462.28320000000002</v>
      </c>
      <c r="Y720">
        <f t="shared" si="175"/>
        <v>66.441599999999994</v>
      </c>
      <c r="Z720">
        <f t="shared" si="176"/>
        <v>253.41657192</v>
      </c>
      <c r="AA720">
        <f t="shared" si="177"/>
        <v>48.146831999999996</v>
      </c>
      <c r="AB720">
        <f t="shared" si="178"/>
        <v>107.67226968</v>
      </c>
      <c r="AC720">
        <f t="shared" si="179"/>
        <v>255.18032639999998</v>
      </c>
      <c r="AD720">
        <f>LOOKUP($A720,'Over to underbark'!$A$47:$A$48,'Over to underbark'!E$47:E$48)*Z720</f>
        <v>83.627468733599997</v>
      </c>
      <c r="AE720">
        <f>LOOKUP($A720,'Over to underbark'!$A$47:$A$48,'Over to underbark'!E$47:E$48)*AA720</f>
        <v>15.88845456</v>
      </c>
      <c r="AF720">
        <f>LOOKUP($A720,'Over to underbark'!$A$47:$A$48,'Over to underbark'!E$47:E$48)*AB720</f>
        <v>35.531848994400001</v>
      </c>
      <c r="AG720">
        <f>LOOKUP($A720,'Over to underbark'!$A$47:$A$48,'Over to underbark'!E$47:E$48)*AC720</f>
        <v>84.209507712000004</v>
      </c>
      <c r="AH720" t="b">
        <f t="shared" si="180"/>
        <v>1</v>
      </c>
      <c r="AI720" t="b">
        <f t="shared" si="181"/>
        <v>1</v>
      </c>
      <c r="AJ720">
        <f>LOOKUP(A720,'Over to underbark'!$A$47:$A$48,'Over to underbark'!E$47:E$48)*M720</f>
        <v>243.61920000000001</v>
      </c>
      <c r="AK720" s="22">
        <f>LOOKUP(A720,'Over to underbark'!$A$47:$A$48,'Over to underbark'!$B$47:$B$48)*AJ720</f>
        <v>77.958144000000004</v>
      </c>
      <c r="AL720" s="22">
        <f>LOOKUP(A720,'Over to underbark'!$A$47:$A$48,'Over to underbark'!C$47:C$48)*AJ720</f>
        <v>119.373408</v>
      </c>
      <c r="AM720" s="22">
        <f t="shared" si="182"/>
        <v>321.57734400000004</v>
      </c>
      <c r="AN720" s="36">
        <v>957</v>
      </c>
      <c r="AO720" s="23">
        <f t="shared" si="183"/>
        <v>643.15468800000008</v>
      </c>
      <c r="AQ720">
        <f t="shared" si="184"/>
        <v>0.68181818181818177</v>
      </c>
    </row>
    <row r="721" spans="1:43" x14ac:dyDescent="0.35">
      <c r="A721" t="s">
        <v>43</v>
      </c>
      <c r="B721">
        <v>14</v>
      </c>
      <c r="C721">
        <v>2</v>
      </c>
      <c r="D721" t="s">
        <v>42</v>
      </c>
      <c r="E721">
        <v>2</v>
      </c>
      <c r="F721">
        <v>1</v>
      </c>
      <c r="G721" s="30">
        <v>61</v>
      </c>
      <c r="H721" s="30">
        <v>26.236000000000001</v>
      </c>
      <c r="I721" s="30">
        <v>1081</v>
      </c>
      <c r="J721" s="30">
        <v>28.602</v>
      </c>
      <c r="K721" s="30">
        <v>69.453000000000003</v>
      </c>
      <c r="L721" s="30">
        <v>0.69199999999999995</v>
      </c>
      <c r="M721" s="30">
        <v>748.26</v>
      </c>
      <c r="N721" s="30">
        <v>10.183999999999999</v>
      </c>
      <c r="O721" s="29">
        <v>12.266999999999999</v>
      </c>
      <c r="P721" s="31">
        <v>61</v>
      </c>
      <c r="Q721" s="31">
        <v>28.602</v>
      </c>
      <c r="R721" s="31">
        <v>164.83</v>
      </c>
      <c r="S721" s="31">
        <v>583.42999999999995</v>
      </c>
      <c r="T721" s="10" t="b">
        <f t="shared" si="171"/>
        <v>1</v>
      </c>
      <c r="U721" s="10" t="b">
        <f t="shared" si="172"/>
        <v>1</v>
      </c>
      <c r="V721" s="11">
        <f>VLOOKUP(IF(J721&lt;10, 10, IF(J721&gt;50,50,J721)),'Over to underbark'!$A$3:$C$43,IF(A721="Scots pine",3,IF(A721="Sitka spruce",2, "error")),TRUE)/100</f>
        <v>0.9</v>
      </c>
      <c r="W721">
        <f t="shared" si="173"/>
        <v>133.51230000000001</v>
      </c>
      <c r="X721">
        <f t="shared" si="174"/>
        <v>472.57830000000001</v>
      </c>
      <c r="Y721">
        <f t="shared" si="175"/>
        <v>67.343399999999988</v>
      </c>
      <c r="Z721">
        <f t="shared" si="176"/>
        <v>256.05464080500002</v>
      </c>
      <c r="AA721">
        <f t="shared" si="177"/>
        <v>48.358052999999998</v>
      </c>
      <c r="AB721">
        <f t="shared" si="178"/>
        <v>108.15808459500001</v>
      </c>
      <c r="AC721">
        <f t="shared" si="179"/>
        <v>260.86322160000003</v>
      </c>
      <c r="AD721">
        <f>LOOKUP($A721,'Over to underbark'!$A$47:$A$48,'Over to underbark'!E$47:E$48)*Z721</f>
        <v>84.498031465650016</v>
      </c>
      <c r="AE721">
        <f>LOOKUP($A721,'Over to underbark'!$A$47:$A$48,'Over to underbark'!E$47:E$48)*AA721</f>
        <v>15.95815749</v>
      </c>
      <c r="AF721">
        <f>LOOKUP($A721,'Over to underbark'!$A$47:$A$48,'Over to underbark'!E$47:E$48)*AB721</f>
        <v>35.692167916350002</v>
      </c>
      <c r="AG721">
        <f>LOOKUP($A721,'Over to underbark'!$A$47:$A$48,'Over to underbark'!E$47:E$48)*AC721</f>
        <v>86.084863128000009</v>
      </c>
      <c r="AH721" t="b">
        <f t="shared" si="180"/>
        <v>1</v>
      </c>
      <c r="AI721" t="b">
        <f t="shared" si="181"/>
        <v>1</v>
      </c>
      <c r="AJ721">
        <f>LOOKUP(A721,'Over to underbark'!$A$47:$A$48,'Over to underbark'!E$47:E$48)*M721</f>
        <v>246.92580000000001</v>
      </c>
      <c r="AK721" s="22">
        <f>LOOKUP(A721,'Over to underbark'!$A$47:$A$48,'Over to underbark'!$B$47:$B$48)*AJ721</f>
        <v>79.016255999999998</v>
      </c>
      <c r="AL721" s="22">
        <f>LOOKUP(A721,'Over to underbark'!$A$47:$A$48,'Over to underbark'!C$47:C$48)*AJ721</f>
        <v>120.99364200000001</v>
      </c>
      <c r="AM721" s="22">
        <f t="shared" si="182"/>
        <v>325.94205599999998</v>
      </c>
      <c r="AN721" s="36">
        <v>958</v>
      </c>
      <c r="AO721" s="23">
        <f t="shared" si="183"/>
        <v>651.88411199999996</v>
      </c>
      <c r="AQ721">
        <f t="shared" si="184"/>
        <v>0.68181818181818188</v>
      </c>
    </row>
    <row r="722" spans="1:43" x14ac:dyDescent="0.35">
      <c r="A722" t="s">
        <v>43</v>
      </c>
      <c r="B722">
        <v>14</v>
      </c>
      <c r="C722">
        <v>2</v>
      </c>
      <c r="D722" t="s">
        <v>42</v>
      </c>
      <c r="E722">
        <v>2</v>
      </c>
      <c r="F722">
        <v>1</v>
      </c>
      <c r="G722" s="30">
        <v>62</v>
      </c>
      <c r="H722" s="30">
        <v>26.468</v>
      </c>
      <c r="I722" s="30">
        <v>1070</v>
      </c>
      <c r="J722" s="30">
        <v>28.838999999999999</v>
      </c>
      <c r="K722" s="30">
        <v>69.894000000000005</v>
      </c>
      <c r="L722" s="30">
        <v>0.70899999999999996</v>
      </c>
      <c r="M722" s="30">
        <v>758.28</v>
      </c>
      <c r="N722" s="30">
        <v>10.326000000000001</v>
      </c>
      <c r="O722" s="29">
        <v>12.23</v>
      </c>
      <c r="P722" s="31">
        <v>62</v>
      </c>
      <c r="Q722" s="31">
        <v>28.838999999999999</v>
      </c>
      <c r="R722" s="31">
        <v>162.35300000000001</v>
      </c>
      <c r="S722" s="31">
        <v>595.92700000000002</v>
      </c>
      <c r="T722" s="10" t="b">
        <f t="shared" si="171"/>
        <v>1</v>
      </c>
      <c r="U722" s="10" t="b">
        <f t="shared" si="172"/>
        <v>1</v>
      </c>
      <c r="V722" s="11">
        <f>VLOOKUP(IF(J722&lt;10, 10, IF(J722&gt;50,50,J722)),'Over to underbark'!$A$3:$C$43,IF(A722="Scots pine",3,IF(A722="Sitka spruce",2, "error")),TRUE)/100</f>
        <v>0.9</v>
      </c>
      <c r="W722">
        <f t="shared" si="173"/>
        <v>131.50593000000001</v>
      </c>
      <c r="X722">
        <f t="shared" si="174"/>
        <v>482.70087000000001</v>
      </c>
      <c r="Y722">
        <f t="shared" si="175"/>
        <v>68.245199999999983</v>
      </c>
      <c r="Z722">
        <f t="shared" si="176"/>
        <v>258.72710354549997</v>
      </c>
      <c r="AA722">
        <f t="shared" si="177"/>
        <v>48.588252299999994</v>
      </c>
      <c r="AB722">
        <f t="shared" si="178"/>
        <v>108.6857639145</v>
      </c>
      <c r="AC722">
        <f t="shared" si="179"/>
        <v>266.45088024</v>
      </c>
      <c r="AD722">
        <f>LOOKUP($A722,'Over to underbark'!$A$47:$A$48,'Over to underbark'!E$47:E$48)*Z722</f>
        <v>85.379944170014994</v>
      </c>
      <c r="AE722">
        <f>LOOKUP($A722,'Over to underbark'!$A$47:$A$48,'Over to underbark'!E$47:E$48)*AA722</f>
        <v>16.034123258999998</v>
      </c>
      <c r="AF722">
        <f>LOOKUP($A722,'Over to underbark'!$A$47:$A$48,'Over to underbark'!E$47:E$48)*AB722</f>
        <v>35.866302091785002</v>
      </c>
      <c r="AG722">
        <f>LOOKUP($A722,'Over to underbark'!$A$47:$A$48,'Over to underbark'!E$47:E$48)*AC722</f>
        <v>87.928790479200003</v>
      </c>
      <c r="AH722" t="b">
        <f t="shared" si="180"/>
        <v>1</v>
      </c>
      <c r="AI722" t="b">
        <f t="shared" si="181"/>
        <v>1</v>
      </c>
      <c r="AJ722">
        <f>LOOKUP(A722,'Over to underbark'!$A$47:$A$48,'Over to underbark'!E$47:E$48)*M722</f>
        <v>250.23240000000001</v>
      </c>
      <c r="AK722" s="22">
        <f>LOOKUP(A722,'Over to underbark'!$A$47:$A$48,'Over to underbark'!$B$47:$B$48)*AJ722</f>
        <v>80.074368000000007</v>
      </c>
      <c r="AL722" s="22">
        <f>LOOKUP(A722,'Over to underbark'!$A$47:$A$48,'Over to underbark'!C$47:C$48)*AJ722</f>
        <v>122.613876</v>
      </c>
      <c r="AM722" s="22">
        <f t="shared" si="182"/>
        <v>330.30676800000003</v>
      </c>
      <c r="AN722" s="36">
        <v>959</v>
      </c>
      <c r="AO722" s="23">
        <f t="shared" si="183"/>
        <v>660.61353600000007</v>
      </c>
      <c r="AQ722">
        <f t="shared" si="184"/>
        <v>0.68181818181818177</v>
      </c>
    </row>
    <row r="723" spans="1:43" x14ac:dyDescent="0.35">
      <c r="A723" t="s">
        <v>43</v>
      </c>
      <c r="B723">
        <v>14</v>
      </c>
      <c r="C723">
        <v>2</v>
      </c>
      <c r="D723" t="s">
        <v>42</v>
      </c>
      <c r="E723">
        <v>2</v>
      </c>
      <c r="F723">
        <v>1</v>
      </c>
      <c r="G723" s="30">
        <v>63</v>
      </c>
      <c r="H723" s="30">
        <v>26.7</v>
      </c>
      <c r="I723" s="30">
        <v>1059</v>
      </c>
      <c r="J723" s="30">
        <v>29.08</v>
      </c>
      <c r="K723" s="30">
        <v>70.335999999999999</v>
      </c>
      <c r="L723" s="30">
        <v>0.72499999999999998</v>
      </c>
      <c r="M723" s="30">
        <v>768.3</v>
      </c>
      <c r="N723" s="30">
        <v>10.465</v>
      </c>
      <c r="O723" s="29">
        <v>12.195</v>
      </c>
      <c r="P723" s="31">
        <v>63</v>
      </c>
      <c r="Q723" s="31">
        <v>29.08</v>
      </c>
      <c r="R723" s="31">
        <v>159.79499999999999</v>
      </c>
      <c r="S723" s="31">
        <v>608.505</v>
      </c>
      <c r="T723" s="10" t="b">
        <f t="shared" si="171"/>
        <v>1</v>
      </c>
      <c r="U723" s="10" t="b">
        <f t="shared" si="172"/>
        <v>1</v>
      </c>
      <c r="V723" s="11">
        <f>VLOOKUP(IF(J723&lt;10, 10, IF(J723&gt;50,50,J723)),'Over to underbark'!$A$3:$C$43,IF(A723="Scots pine",3,IF(A723="Sitka spruce",2, "error")),TRUE)/100</f>
        <v>0.9</v>
      </c>
      <c r="W723">
        <f t="shared" si="173"/>
        <v>129.43394999999998</v>
      </c>
      <c r="X723">
        <f t="shared" si="174"/>
        <v>492.88905</v>
      </c>
      <c r="Y723">
        <f t="shared" si="175"/>
        <v>69.146999999999991</v>
      </c>
      <c r="Z723">
        <f t="shared" si="176"/>
        <v>261.38648693250002</v>
      </c>
      <c r="AA723">
        <f t="shared" si="177"/>
        <v>48.811234499999998</v>
      </c>
      <c r="AB723">
        <f t="shared" si="178"/>
        <v>109.19752296749999</v>
      </c>
      <c r="AC723">
        <f t="shared" si="179"/>
        <v>272.0747556</v>
      </c>
      <c r="AD723">
        <f>LOOKUP($A723,'Over to underbark'!$A$47:$A$48,'Over to underbark'!E$47:E$48)*Z723</f>
        <v>86.257540687725012</v>
      </c>
      <c r="AE723">
        <f>LOOKUP($A723,'Over to underbark'!$A$47:$A$48,'Over to underbark'!E$47:E$48)*AA723</f>
        <v>16.107707385000001</v>
      </c>
      <c r="AF723">
        <f>LOOKUP($A723,'Over to underbark'!$A$47:$A$48,'Over to underbark'!E$47:E$48)*AB723</f>
        <v>36.035182579275002</v>
      </c>
      <c r="AG723">
        <f>LOOKUP($A723,'Over to underbark'!$A$47:$A$48,'Over to underbark'!E$47:E$48)*AC723</f>
        <v>89.784669348000008</v>
      </c>
      <c r="AH723" t="b">
        <f t="shared" si="180"/>
        <v>1</v>
      </c>
      <c r="AI723" t="b">
        <f t="shared" si="181"/>
        <v>1</v>
      </c>
      <c r="AJ723">
        <f>LOOKUP(A723,'Over to underbark'!$A$47:$A$48,'Over to underbark'!E$47:E$48)*M723</f>
        <v>253.53899999999999</v>
      </c>
      <c r="AK723" s="22">
        <f>LOOKUP(A723,'Over to underbark'!$A$47:$A$48,'Over to underbark'!$B$47:$B$48)*AJ723</f>
        <v>81.132480000000001</v>
      </c>
      <c r="AL723" s="22">
        <f>LOOKUP(A723,'Over to underbark'!$A$47:$A$48,'Over to underbark'!C$47:C$48)*AJ723</f>
        <v>124.23410999999999</v>
      </c>
      <c r="AM723" s="22">
        <f t="shared" si="182"/>
        <v>334.67147999999997</v>
      </c>
      <c r="AN723" s="36">
        <v>960</v>
      </c>
      <c r="AO723" s="23">
        <f t="shared" si="183"/>
        <v>669.34295999999995</v>
      </c>
      <c r="AQ723">
        <f t="shared" si="184"/>
        <v>0.68181818181818199</v>
      </c>
    </row>
    <row r="724" spans="1:43" x14ac:dyDescent="0.35">
      <c r="A724" t="s">
        <v>43</v>
      </c>
      <c r="B724">
        <v>14</v>
      </c>
      <c r="C724">
        <v>2</v>
      </c>
      <c r="D724" t="s">
        <v>42</v>
      </c>
      <c r="E724">
        <v>2</v>
      </c>
      <c r="F724">
        <v>1</v>
      </c>
      <c r="G724" s="30">
        <v>64</v>
      </c>
      <c r="H724" s="30">
        <v>26.9</v>
      </c>
      <c r="I724" s="30">
        <v>1050</v>
      </c>
      <c r="J724" s="30">
        <v>29.285</v>
      </c>
      <c r="K724" s="30">
        <v>70.722999999999999</v>
      </c>
      <c r="L724" s="30">
        <v>0.74</v>
      </c>
      <c r="M724" s="30">
        <v>777.02</v>
      </c>
      <c r="N724" s="30">
        <v>10.577999999999999</v>
      </c>
      <c r="O724" s="29">
        <v>12.141</v>
      </c>
      <c r="P724" s="31">
        <v>64</v>
      </c>
      <c r="Q724" s="31">
        <v>29.285</v>
      </c>
      <c r="R724" s="31">
        <v>157.65899999999999</v>
      </c>
      <c r="S724" s="31">
        <v>619.36099999999999</v>
      </c>
      <c r="T724" s="10" t="b">
        <f t="shared" si="171"/>
        <v>1</v>
      </c>
      <c r="U724" s="10" t="b">
        <f t="shared" si="172"/>
        <v>1</v>
      </c>
      <c r="V724" s="11">
        <f>VLOOKUP(IF(J724&lt;10, 10, IF(J724&gt;50,50,J724)),'Over to underbark'!$A$3:$C$43,IF(A724="Scots pine",3,IF(A724="Sitka spruce",2, "error")),TRUE)/100</f>
        <v>0.9</v>
      </c>
      <c r="W724">
        <f t="shared" si="173"/>
        <v>127.70379000000001</v>
      </c>
      <c r="X724">
        <f t="shared" si="174"/>
        <v>501.68241</v>
      </c>
      <c r="Y724">
        <f t="shared" si="175"/>
        <v>69.931799999999981</v>
      </c>
      <c r="Z724">
        <f t="shared" si="176"/>
        <v>263.71539313649998</v>
      </c>
      <c r="AA724">
        <f t="shared" si="177"/>
        <v>49.013316899999992</v>
      </c>
      <c r="AB724">
        <f t="shared" si="178"/>
        <v>109.66059964350001</v>
      </c>
      <c r="AC724">
        <f t="shared" si="179"/>
        <v>276.92869031999999</v>
      </c>
      <c r="AD724">
        <f>LOOKUP($A724,'Over to underbark'!$A$47:$A$48,'Over to underbark'!E$47:E$48)*Z724</f>
        <v>87.026079735045002</v>
      </c>
      <c r="AE724">
        <f>LOOKUP($A724,'Over to underbark'!$A$47:$A$48,'Over to underbark'!E$47:E$48)*AA724</f>
        <v>16.174394576999997</v>
      </c>
      <c r="AF724">
        <f>LOOKUP($A724,'Over to underbark'!$A$47:$A$48,'Over to underbark'!E$47:E$48)*AB724</f>
        <v>36.187997882355006</v>
      </c>
      <c r="AG724">
        <f>LOOKUP($A724,'Over to underbark'!$A$47:$A$48,'Over to underbark'!E$47:E$48)*AC724</f>
        <v>91.386467805600006</v>
      </c>
      <c r="AH724" t="b">
        <f t="shared" si="180"/>
        <v>1</v>
      </c>
      <c r="AI724" t="b">
        <f t="shared" si="181"/>
        <v>1</v>
      </c>
      <c r="AJ724">
        <f>LOOKUP(A724,'Over to underbark'!$A$47:$A$48,'Over to underbark'!E$47:E$48)*M724</f>
        <v>256.41660000000002</v>
      </c>
      <c r="AK724" s="22">
        <f>LOOKUP(A724,'Over to underbark'!$A$47:$A$48,'Over to underbark'!$B$47:$B$48)*AJ724</f>
        <v>82.053312000000005</v>
      </c>
      <c r="AL724" s="22">
        <f>LOOKUP(A724,'Over to underbark'!$A$47:$A$48,'Over to underbark'!C$47:C$48)*AJ724</f>
        <v>125.64413400000001</v>
      </c>
      <c r="AM724" s="22">
        <f t="shared" si="182"/>
        <v>338.46991200000002</v>
      </c>
      <c r="AN724" s="36">
        <v>961</v>
      </c>
      <c r="AO724" s="23">
        <f t="shared" si="183"/>
        <v>676.93982400000004</v>
      </c>
      <c r="AQ724">
        <f t="shared" si="184"/>
        <v>0.68181818181818177</v>
      </c>
    </row>
    <row r="725" spans="1:43" x14ac:dyDescent="0.35">
      <c r="A725" t="s">
        <v>43</v>
      </c>
      <c r="B725">
        <v>14</v>
      </c>
      <c r="C725">
        <v>2</v>
      </c>
      <c r="D725" t="s">
        <v>42</v>
      </c>
      <c r="E725">
        <v>2</v>
      </c>
      <c r="F725">
        <v>1</v>
      </c>
      <c r="G725" s="30">
        <v>65</v>
      </c>
      <c r="H725" s="30">
        <v>27.1</v>
      </c>
      <c r="I725" s="30">
        <v>1041</v>
      </c>
      <c r="J725" s="30">
        <v>29.491</v>
      </c>
      <c r="K725" s="30">
        <v>71.111000000000004</v>
      </c>
      <c r="L725" s="30">
        <v>0.755</v>
      </c>
      <c r="M725" s="30">
        <v>785.74</v>
      </c>
      <c r="N725" s="30">
        <v>10.689</v>
      </c>
      <c r="O725" s="29">
        <v>12.087999999999999</v>
      </c>
      <c r="P725" s="31">
        <v>65</v>
      </c>
      <c r="Q725" s="31">
        <v>29.491</v>
      </c>
      <c r="R725" s="31">
        <v>155.50299999999999</v>
      </c>
      <c r="S725" s="31">
        <v>630.23699999999997</v>
      </c>
      <c r="T725" s="10" t="b">
        <f t="shared" si="171"/>
        <v>1</v>
      </c>
      <c r="U725" s="10" t="b">
        <f t="shared" si="172"/>
        <v>1</v>
      </c>
      <c r="V725" s="11">
        <f>VLOOKUP(IF(J725&lt;10, 10, IF(J725&gt;50,50,J725)),'Over to underbark'!$A$3:$C$43,IF(A725="Scots pine",3,IF(A725="Sitka spruce",2, "error")),TRUE)/100</f>
        <v>0.9</v>
      </c>
      <c r="W725">
        <f t="shared" si="173"/>
        <v>125.95743</v>
      </c>
      <c r="X725">
        <f t="shared" si="174"/>
        <v>510.49197000000004</v>
      </c>
      <c r="Y725">
        <f t="shared" si="175"/>
        <v>70.716599999999985</v>
      </c>
      <c r="Z725">
        <f t="shared" si="176"/>
        <v>266.0410698705</v>
      </c>
      <c r="AA725">
        <f t="shared" si="177"/>
        <v>49.213617299999996</v>
      </c>
      <c r="AB725">
        <f t="shared" si="178"/>
        <v>110.1197453895</v>
      </c>
      <c r="AC725">
        <f t="shared" si="179"/>
        <v>281.79156743999999</v>
      </c>
      <c r="AD725">
        <f>LOOKUP($A725,'Over to underbark'!$A$47:$A$48,'Over to underbark'!E$47:E$48)*Z725</f>
        <v>87.793553057265001</v>
      </c>
      <c r="AE725">
        <f>LOOKUP($A725,'Over to underbark'!$A$47:$A$48,'Over to underbark'!E$47:E$48)*AA725</f>
        <v>16.240493708999999</v>
      </c>
      <c r="AF725">
        <f>LOOKUP($A725,'Over to underbark'!$A$47:$A$48,'Over to underbark'!E$47:E$48)*AB725</f>
        <v>36.339515978534997</v>
      </c>
      <c r="AG725">
        <f>LOOKUP($A725,'Over to underbark'!$A$47:$A$48,'Over to underbark'!E$47:E$48)*AC725</f>
        <v>92.991217255199999</v>
      </c>
      <c r="AH725" t="b">
        <f t="shared" si="180"/>
        <v>1</v>
      </c>
      <c r="AI725" t="b">
        <f t="shared" si="181"/>
        <v>1</v>
      </c>
      <c r="AJ725">
        <f>LOOKUP(A725,'Over to underbark'!$A$47:$A$48,'Over to underbark'!E$47:E$48)*M725</f>
        <v>259.29419999999999</v>
      </c>
      <c r="AK725" s="22">
        <f>LOOKUP(A725,'Over to underbark'!$A$47:$A$48,'Over to underbark'!$B$47:$B$48)*AJ725</f>
        <v>82.974143999999995</v>
      </c>
      <c r="AL725" s="22">
        <f>LOOKUP(A725,'Over to underbark'!$A$47:$A$48,'Over to underbark'!C$47:C$48)*AJ725</f>
        <v>127.05415799999999</v>
      </c>
      <c r="AM725" s="22">
        <f t="shared" si="182"/>
        <v>342.26834399999996</v>
      </c>
      <c r="AN725" s="36">
        <v>962</v>
      </c>
      <c r="AO725" s="23">
        <f t="shared" si="183"/>
        <v>684.53668799999991</v>
      </c>
      <c r="AQ725">
        <f t="shared" si="184"/>
        <v>0.68181818181818188</v>
      </c>
    </row>
    <row r="726" spans="1:43" x14ac:dyDescent="0.35">
      <c r="A726" t="s">
        <v>43</v>
      </c>
      <c r="B726">
        <v>14</v>
      </c>
      <c r="C726">
        <v>2</v>
      </c>
      <c r="D726" t="s">
        <v>42</v>
      </c>
      <c r="E726">
        <v>2</v>
      </c>
      <c r="F726">
        <v>1</v>
      </c>
      <c r="G726" s="30">
        <v>66</v>
      </c>
      <c r="H726" s="30">
        <v>27.3</v>
      </c>
      <c r="I726" s="30">
        <v>1032</v>
      </c>
      <c r="J726" s="30">
        <v>29.7</v>
      </c>
      <c r="K726" s="30">
        <v>71.498000000000005</v>
      </c>
      <c r="L726" s="30">
        <v>0.77</v>
      </c>
      <c r="M726" s="30">
        <v>794.46</v>
      </c>
      <c r="N726" s="30">
        <v>10.797000000000001</v>
      </c>
      <c r="O726" s="29">
        <v>12.037000000000001</v>
      </c>
      <c r="P726" s="31">
        <v>66</v>
      </c>
      <c r="Q726" s="31">
        <v>29.7</v>
      </c>
      <c r="R726" s="31">
        <v>153.29400000000001</v>
      </c>
      <c r="S726" s="31">
        <v>641.16600000000005</v>
      </c>
      <c r="T726" s="10" t="b">
        <f t="shared" si="171"/>
        <v>1</v>
      </c>
      <c r="U726" s="10" t="b">
        <f t="shared" si="172"/>
        <v>1</v>
      </c>
      <c r="V726" s="11">
        <f>VLOOKUP(IF(J726&lt;10, 10, IF(J726&gt;50,50,J726)),'Over to underbark'!$A$3:$C$43,IF(A726="Scots pine",3,IF(A726="Sitka spruce",2, "error")),TRUE)/100</f>
        <v>0.9</v>
      </c>
      <c r="W726">
        <f t="shared" si="173"/>
        <v>124.16814000000002</v>
      </c>
      <c r="X726">
        <f t="shared" si="174"/>
        <v>519.34446000000014</v>
      </c>
      <c r="Y726">
        <f t="shared" si="175"/>
        <v>71.50139999999999</v>
      </c>
      <c r="Z726">
        <f t="shared" si="176"/>
        <v>268.35818850900006</v>
      </c>
      <c r="AA726">
        <f t="shared" si="177"/>
        <v>49.409195400000002</v>
      </c>
      <c r="AB726">
        <f t="shared" si="178"/>
        <v>110.56847417100002</v>
      </c>
      <c r="AC726">
        <f t="shared" si="179"/>
        <v>286.67814192000003</v>
      </c>
      <c r="AD726">
        <f>LOOKUP($A726,'Over to underbark'!$A$47:$A$48,'Over to underbark'!E$47:E$48)*Z726</f>
        <v>88.558202207970027</v>
      </c>
      <c r="AE726">
        <f>LOOKUP($A726,'Over to underbark'!$A$47:$A$48,'Over to underbark'!E$47:E$48)*AA726</f>
        <v>16.305034482</v>
      </c>
      <c r="AF726">
        <f>LOOKUP($A726,'Over to underbark'!$A$47:$A$48,'Over to underbark'!E$47:E$48)*AB726</f>
        <v>36.487596476430006</v>
      </c>
      <c r="AG726">
        <f>LOOKUP($A726,'Over to underbark'!$A$47:$A$48,'Over to underbark'!E$47:E$48)*AC726</f>
        <v>94.603786833600012</v>
      </c>
      <c r="AH726" t="b">
        <f t="shared" si="180"/>
        <v>1</v>
      </c>
      <c r="AI726" t="b">
        <f t="shared" si="181"/>
        <v>1</v>
      </c>
      <c r="AJ726">
        <f>LOOKUP(A726,'Over to underbark'!$A$47:$A$48,'Over to underbark'!E$47:E$48)*M726</f>
        <v>262.17180000000002</v>
      </c>
      <c r="AK726" s="22">
        <f>LOOKUP(A726,'Over to underbark'!$A$47:$A$48,'Over to underbark'!$B$47:$B$48)*AJ726</f>
        <v>83.894976000000014</v>
      </c>
      <c r="AL726" s="22">
        <f>LOOKUP(A726,'Over to underbark'!$A$47:$A$48,'Over to underbark'!C$47:C$48)*AJ726</f>
        <v>128.46418199999999</v>
      </c>
      <c r="AM726" s="22">
        <f t="shared" si="182"/>
        <v>346.066776</v>
      </c>
      <c r="AN726" s="36">
        <v>963</v>
      </c>
      <c r="AO726" s="23">
        <f t="shared" si="183"/>
        <v>692.13355200000001</v>
      </c>
      <c r="AQ726">
        <f t="shared" si="184"/>
        <v>0.68181818181818188</v>
      </c>
    </row>
    <row r="727" spans="1:43" x14ac:dyDescent="0.35">
      <c r="A727" t="s">
        <v>43</v>
      </c>
      <c r="B727">
        <v>14</v>
      </c>
      <c r="C727">
        <v>2</v>
      </c>
      <c r="D727" t="s">
        <v>42</v>
      </c>
      <c r="E727">
        <v>2</v>
      </c>
      <c r="F727">
        <v>1</v>
      </c>
      <c r="G727" s="30">
        <v>67</v>
      </c>
      <c r="H727" s="30">
        <v>27.5</v>
      </c>
      <c r="I727" s="30">
        <v>1023</v>
      </c>
      <c r="J727" s="30">
        <v>29.911999999999999</v>
      </c>
      <c r="K727" s="30">
        <v>71.885999999999996</v>
      </c>
      <c r="L727" s="30">
        <v>0.78500000000000003</v>
      </c>
      <c r="M727" s="30">
        <v>803.18</v>
      </c>
      <c r="N727" s="30">
        <v>10.901999999999999</v>
      </c>
      <c r="O727" s="29">
        <v>11.988</v>
      </c>
      <c r="P727" s="31">
        <v>67</v>
      </c>
      <c r="Q727" s="31">
        <v>29.911999999999999</v>
      </c>
      <c r="R727" s="31">
        <v>151.03299999999999</v>
      </c>
      <c r="S727" s="31">
        <v>652.14700000000005</v>
      </c>
      <c r="T727" s="10" t="b">
        <f t="shared" si="171"/>
        <v>1</v>
      </c>
      <c r="U727" s="10" t="b">
        <f t="shared" si="172"/>
        <v>1</v>
      </c>
      <c r="V727" s="11">
        <f>VLOOKUP(IF(J727&lt;10, 10, IF(J727&gt;50,50,J727)),'Over to underbark'!$A$3:$C$43,IF(A727="Scots pine",3,IF(A727="Sitka spruce",2, "error")),TRUE)/100</f>
        <v>0.9</v>
      </c>
      <c r="W727">
        <f t="shared" si="173"/>
        <v>122.33673</v>
      </c>
      <c r="X727">
        <f t="shared" si="174"/>
        <v>528.23907000000008</v>
      </c>
      <c r="Y727">
        <f t="shared" si="175"/>
        <v>72.286199999999994</v>
      </c>
      <c r="Z727">
        <f t="shared" si="176"/>
        <v>270.66691052550004</v>
      </c>
      <c r="AA727">
        <f t="shared" si="177"/>
        <v>49.6001403</v>
      </c>
      <c r="AB727">
        <f t="shared" si="178"/>
        <v>111.0069825345</v>
      </c>
      <c r="AC727">
        <f t="shared" si="179"/>
        <v>291.58796664000005</v>
      </c>
      <c r="AD727">
        <f>LOOKUP($A727,'Over to underbark'!$A$47:$A$48,'Over to underbark'!E$47:E$48)*Z727</f>
        <v>89.320080473415018</v>
      </c>
      <c r="AE727">
        <f>LOOKUP($A727,'Over to underbark'!$A$47:$A$48,'Over to underbark'!E$47:E$48)*AA727</f>
        <v>16.368046299</v>
      </c>
      <c r="AF727">
        <f>LOOKUP($A727,'Over to underbark'!$A$47:$A$48,'Over to underbark'!E$47:E$48)*AB727</f>
        <v>36.632304236385004</v>
      </c>
      <c r="AG727">
        <f>LOOKUP($A727,'Over to underbark'!$A$47:$A$48,'Over to underbark'!E$47:E$48)*AC727</f>
        <v>96.224028991200015</v>
      </c>
      <c r="AH727" t="b">
        <f t="shared" si="180"/>
        <v>1</v>
      </c>
      <c r="AI727" t="b">
        <f t="shared" si="181"/>
        <v>1</v>
      </c>
      <c r="AJ727">
        <f>LOOKUP(A727,'Over to underbark'!$A$47:$A$48,'Over to underbark'!E$47:E$48)*M727</f>
        <v>265.04939999999999</v>
      </c>
      <c r="AK727" s="22">
        <f>LOOKUP(A727,'Over to underbark'!$A$47:$A$48,'Over to underbark'!$B$47:$B$48)*AJ727</f>
        <v>84.815808000000004</v>
      </c>
      <c r="AL727" s="22">
        <f>LOOKUP(A727,'Over to underbark'!$A$47:$A$48,'Over to underbark'!C$47:C$48)*AJ727</f>
        <v>129.87420599999999</v>
      </c>
      <c r="AM727" s="22">
        <f t="shared" si="182"/>
        <v>349.865208</v>
      </c>
      <c r="AN727" s="36">
        <v>964</v>
      </c>
      <c r="AO727" s="23">
        <f t="shared" si="183"/>
        <v>699.73041599999999</v>
      </c>
      <c r="AQ727">
        <f t="shared" si="184"/>
        <v>0.68181818181818199</v>
      </c>
    </row>
    <row r="728" spans="1:43" x14ac:dyDescent="0.35">
      <c r="A728" t="s">
        <v>43</v>
      </c>
      <c r="B728">
        <v>14</v>
      </c>
      <c r="C728">
        <v>2</v>
      </c>
      <c r="D728" t="s">
        <v>42</v>
      </c>
      <c r="E728">
        <v>2</v>
      </c>
      <c r="F728">
        <v>1</v>
      </c>
      <c r="G728" s="30">
        <v>68</v>
      </c>
      <c r="H728" s="30">
        <v>27.7</v>
      </c>
      <c r="I728" s="30">
        <v>1015</v>
      </c>
      <c r="J728" s="30">
        <v>30.11</v>
      </c>
      <c r="K728" s="30">
        <v>72.272999999999996</v>
      </c>
      <c r="L728" s="30">
        <v>0.8</v>
      </c>
      <c r="M728" s="30">
        <v>811.9</v>
      </c>
      <c r="N728" s="30">
        <v>11.005000000000001</v>
      </c>
      <c r="O728" s="29">
        <v>11.94</v>
      </c>
      <c r="P728" s="31">
        <v>68</v>
      </c>
      <c r="Q728" s="31">
        <v>30.11</v>
      </c>
      <c r="R728" s="31">
        <v>149.03299999999999</v>
      </c>
      <c r="S728" s="31">
        <v>662.86699999999996</v>
      </c>
      <c r="T728" s="10" t="b">
        <f t="shared" si="171"/>
        <v>1</v>
      </c>
      <c r="U728" s="10" t="b">
        <f t="shared" si="172"/>
        <v>1</v>
      </c>
      <c r="V728" s="11">
        <f>VLOOKUP(IF(J728&lt;10, 10, IF(J728&gt;50,50,J728)),'Over to underbark'!$A$3:$C$43,IF(A728="Scots pine",3,IF(A728="Sitka spruce",2, "error")),TRUE)/100</f>
        <v>0.9</v>
      </c>
      <c r="W728">
        <f t="shared" si="173"/>
        <v>120.71672999999998</v>
      </c>
      <c r="X728">
        <f t="shared" si="174"/>
        <v>536.92227000000003</v>
      </c>
      <c r="Y728">
        <f t="shared" si="175"/>
        <v>73.070999999999984</v>
      </c>
      <c r="Z728">
        <f t="shared" si="176"/>
        <v>273.0177771255</v>
      </c>
      <c r="AA728">
        <f t="shared" si="177"/>
        <v>49.814340299999991</v>
      </c>
      <c r="AB728">
        <f t="shared" si="178"/>
        <v>111.4967895345</v>
      </c>
      <c r="AC728">
        <f t="shared" si="179"/>
        <v>296.38109304000005</v>
      </c>
      <c r="AD728">
        <f>LOOKUP($A728,'Over to underbark'!$A$47:$A$48,'Over to underbark'!E$47:E$48)*Z728</f>
        <v>90.095866451415006</v>
      </c>
      <c r="AE728">
        <f>LOOKUP($A728,'Over to underbark'!$A$47:$A$48,'Over to underbark'!E$47:E$48)*AA728</f>
        <v>16.438732298999998</v>
      </c>
      <c r="AF728">
        <f>LOOKUP($A728,'Over to underbark'!$A$47:$A$48,'Over to underbark'!E$47:E$48)*AB728</f>
        <v>36.793940546385002</v>
      </c>
      <c r="AG728">
        <f>LOOKUP($A728,'Over to underbark'!$A$47:$A$48,'Over to underbark'!E$47:E$48)*AC728</f>
        <v>97.805760703200022</v>
      </c>
      <c r="AH728" t="b">
        <f t="shared" si="180"/>
        <v>1</v>
      </c>
      <c r="AI728" t="b">
        <f t="shared" si="181"/>
        <v>1</v>
      </c>
      <c r="AJ728">
        <f>LOOKUP(A728,'Over to underbark'!$A$47:$A$48,'Over to underbark'!E$47:E$48)*M728</f>
        <v>267.92700000000002</v>
      </c>
      <c r="AK728" s="22">
        <f>LOOKUP(A728,'Over to underbark'!$A$47:$A$48,'Over to underbark'!$B$47:$B$48)*AJ728</f>
        <v>85.736640000000008</v>
      </c>
      <c r="AL728" s="22">
        <f>LOOKUP(A728,'Over to underbark'!$A$47:$A$48,'Over to underbark'!C$47:C$48)*AJ728</f>
        <v>131.28423000000001</v>
      </c>
      <c r="AM728" s="22">
        <f t="shared" si="182"/>
        <v>353.66364000000004</v>
      </c>
      <c r="AN728" s="36">
        <v>965</v>
      </c>
      <c r="AO728" s="23">
        <f t="shared" si="183"/>
        <v>707.32728000000009</v>
      </c>
      <c r="AQ728">
        <f t="shared" si="184"/>
        <v>0.68181818181818177</v>
      </c>
    </row>
    <row r="729" spans="1:43" x14ac:dyDescent="0.35">
      <c r="A729" t="s">
        <v>43</v>
      </c>
      <c r="B729">
        <v>14</v>
      </c>
      <c r="C729">
        <v>2</v>
      </c>
      <c r="D729" t="s">
        <v>42</v>
      </c>
      <c r="E729">
        <v>2</v>
      </c>
      <c r="F729">
        <v>1</v>
      </c>
      <c r="G729" s="30">
        <v>69</v>
      </c>
      <c r="H729" s="30">
        <v>27.882000000000001</v>
      </c>
      <c r="I729" s="30">
        <v>1007</v>
      </c>
      <c r="J729" s="30">
        <v>30.294</v>
      </c>
      <c r="K729" s="30">
        <v>72.581999999999994</v>
      </c>
      <c r="L729" s="30">
        <v>0.81399999999999995</v>
      </c>
      <c r="M729" s="30">
        <v>819.82</v>
      </c>
      <c r="N729" s="30">
        <v>11.084</v>
      </c>
      <c r="O729" s="29">
        <v>11.881</v>
      </c>
      <c r="P729" s="31">
        <v>69</v>
      </c>
      <c r="Q729" s="31">
        <v>30.294</v>
      </c>
      <c r="R729" s="31">
        <v>147.14400000000001</v>
      </c>
      <c r="S729" s="31">
        <v>672.67600000000004</v>
      </c>
      <c r="T729" s="10" t="b">
        <f t="shared" si="171"/>
        <v>1</v>
      </c>
      <c r="U729" s="10" t="b">
        <f t="shared" si="172"/>
        <v>1</v>
      </c>
      <c r="V729" s="11">
        <f>VLOOKUP(IF(J729&lt;10, 10, IF(J729&gt;50,50,J729)),'Over to underbark'!$A$3:$C$43,IF(A729="Scots pine",3,IF(A729="Sitka spruce",2, "error")),TRUE)/100</f>
        <v>0.9</v>
      </c>
      <c r="W729">
        <f t="shared" si="173"/>
        <v>119.18664000000003</v>
      </c>
      <c r="X729">
        <f t="shared" si="174"/>
        <v>544.86756000000003</v>
      </c>
      <c r="Y729">
        <f t="shared" si="175"/>
        <v>73.783799999999985</v>
      </c>
      <c r="Z729">
        <f t="shared" si="176"/>
        <v>275.14126328400005</v>
      </c>
      <c r="AA729">
        <f t="shared" si="177"/>
        <v>50.002430399999994</v>
      </c>
      <c r="AB729">
        <f t="shared" si="178"/>
        <v>111.927413196</v>
      </c>
      <c r="AC729">
        <f t="shared" si="179"/>
        <v>300.76689312000002</v>
      </c>
      <c r="AD729">
        <f>LOOKUP($A729,'Over to underbark'!$A$47:$A$48,'Over to underbark'!E$47:E$48)*Z729</f>
        <v>90.79661688372002</v>
      </c>
      <c r="AE729">
        <f>LOOKUP($A729,'Over to underbark'!$A$47:$A$48,'Over to underbark'!E$47:E$48)*AA729</f>
        <v>16.500802031999999</v>
      </c>
      <c r="AF729">
        <f>LOOKUP($A729,'Over to underbark'!$A$47:$A$48,'Over to underbark'!E$47:E$48)*AB729</f>
        <v>36.936046354680002</v>
      </c>
      <c r="AG729">
        <f>LOOKUP($A729,'Over to underbark'!$A$47:$A$48,'Over to underbark'!E$47:E$48)*AC729</f>
        <v>99.253074729600016</v>
      </c>
      <c r="AH729" t="b">
        <f t="shared" si="180"/>
        <v>1</v>
      </c>
      <c r="AI729" t="b">
        <f t="shared" si="181"/>
        <v>1</v>
      </c>
      <c r="AJ729">
        <f>LOOKUP(A729,'Over to underbark'!$A$47:$A$48,'Over to underbark'!E$47:E$48)*M729</f>
        <v>270.54060000000004</v>
      </c>
      <c r="AK729" s="22">
        <f>LOOKUP(A729,'Over to underbark'!$A$47:$A$48,'Over to underbark'!$B$47:$B$48)*AJ729</f>
        <v>86.572992000000013</v>
      </c>
      <c r="AL729" s="22">
        <f>LOOKUP(A729,'Over to underbark'!$A$47:$A$48,'Over to underbark'!C$47:C$48)*AJ729</f>
        <v>132.56489400000001</v>
      </c>
      <c r="AM729" s="22">
        <f t="shared" si="182"/>
        <v>357.11359200000004</v>
      </c>
      <c r="AN729" s="36">
        <v>966</v>
      </c>
      <c r="AO729" s="23">
        <f t="shared" si="183"/>
        <v>714.22718400000008</v>
      </c>
      <c r="AQ729">
        <f t="shared" si="184"/>
        <v>0.68181818181818188</v>
      </c>
    </row>
    <row r="730" spans="1:43" x14ac:dyDescent="0.35">
      <c r="A730" t="s">
        <v>43</v>
      </c>
      <c r="B730">
        <v>14</v>
      </c>
      <c r="C730">
        <v>2</v>
      </c>
      <c r="D730" t="s">
        <v>42</v>
      </c>
      <c r="E730">
        <v>2</v>
      </c>
      <c r="F730">
        <v>1</v>
      </c>
      <c r="G730" s="30">
        <v>70</v>
      </c>
      <c r="H730" s="30">
        <v>28.064</v>
      </c>
      <c r="I730" s="30">
        <v>1000</v>
      </c>
      <c r="J730" s="30">
        <v>30.465</v>
      </c>
      <c r="K730" s="30">
        <v>72.891000000000005</v>
      </c>
      <c r="L730" s="30">
        <v>0.82799999999999996</v>
      </c>
      <c r="M730" s="30">
        <v>827.74</v>
      </c>
      <c r="N730" s="30">
        <v>11.162000000000001</v>
      </c>
      <c r="O730" s="29">
        <v>11.824999999999999</v>
      </c>
      <c r="P730" s="31">
        <v>70</v>
      </c>
      <c r="Q730" s="31">
        <v>30.465</v>
      </c>
      <c r="R730" s="31">
        <v>145.49</v>
      </c>
      <c r="S730" s="31">
        <v>682.25</v>
      </c>
      <c r="T730" s="10" t="b">
        <f t="shared" si="171"/>
        <v>1</v>
      </c>
      <c r="U730" s="10" t="b">
        <f t="shared" si="172"/>
        <v>1</v>
      </c>
      <c r="V730" s="11">
        <f>VLOOKUP(IF(J730&lt;10, 10, IF(J730&gt;50,50,J730)),'Over to underbark'!$A$3:$C$43,IF(A730="Scots pine",3,IF(A730="Sitka spruce",2, "error")),TRUE)/100</f>
        <v>0.9</v>
      </c>
      <c r="W730">
        <f t="shared" si="173"/>
        <v>117.84690000000001</v>
      </c>
      <c r="X730">
        <f t="shared" si="174"/>
        <v>552.62249999999995</v>
      </c>
      <c r="Y730">
        <f t="shared" si="175"/>
        <v>74.496599999999987</v>
      </c>
      <c r="Z730">
        <f t="shared" si="176"/>
        <v>277.30269571499997</v>
      </c>
      <c r="AA730">
        <f t="shared" si="177"/>
        <v>50.211458999999991</v>
      </c>
      <c r="AB730">
        <f t="shared" si="178"/>
        <v>112.404225285</v>
      </c>
      <c r="AC730">
        <f t="shared" si="179"/>
        <v>305.04761999999999</v>
      </c>
      <c r="AD730">
        <f>LOOKUP($A730,'Over to underbark'!$A$47:$A$48,'Over to underbark'!E$47:E$48)*Z730</f>
        <v>91.509889585949992</v>
      </c>
      <c r="AE730">
        <f>LOOKUP($A730,'Over to underbark'!$A$47:$A$48,'Over to underbark'!E$47:E$48)*AA730</f>
        <v>16.569781469999999</v>
      </c>
      <c r="AF730">
        <f>LOOKUP($A730,'Over to underbark'!$A$47:$A$48,'Over to underbark'!E$47:E$48)*AB730</f>
        <v>37.093394344049997</v>
      </c>
      <c r="AG730">
        <f>LOOKUP($A730,'Over to underbark'!$A$47:$A$48,'Over to underbark'!E$47:E$48)*AC730</f>
        <v>100.6657146</v>
      </c>
      <c r="AH730" t="b">
        <f t="shared" si="180"/>
        <v>1</v>
      </c>
      <c r="AI730" t="b">
        <f t="shared" si="181"/>
        <v>1</v>
      </c>
      <c r="AJ730">
        <f>LOOKUP(A730,'Over to underbark'!$A$47:$A$48,'Over to underbark'!E$47:E$48)*M730</f>
        <v>273.1542</v>
      </c>
      <c r="AK730" s="22">
        <f>LOOKUP(A730,'Over to underbark'!$A$47:$A$48,'Over to underbark'!$B$47:$B$48)*AJ730</f>
        <v>87.409344000000004</v>
      </c>
      <c r="AL730" s="22">
        <f>LOOKUP(A730,'Over to underbark'!$A$47:$A$48,'Over to underbark'!C$47:C$48)*AJ730</f>
        <v>133.84555800000001</v>
      </c>
      <c r="AM730" s="22">
        <f t="shared" si="182"/>
        <v>360.56354399999998</v>
      </c>
      <c r="AN730" s="36">
        <v>967</v>
      </c>
      <c r="AO730" s="23">
        <f t="shared" si="183"/>
        <v>721.12708799999996</v>
      </c>
      <c r="AQ730">
        <f t="shared" si="184"/>
        <v>0.68181818181818177</v>
      </c>
    </row>
    <row r="731" spans="1:43" x14ac:dyDescent="0.35">
      <c r="A731" t="s">
        <v>43</v>
      </c>
      <c r="B731">
        <v>14</v>
      </c>
      <c r="C731">
        <v>2</v>
      </c>
      <c r="D731" t="s">
        <v>42</v>
      </c>
      <c r="E731">
        <v>2</v>
      </c>
      <c r="F731">
        <v>1</v>
      </c>
      <c r="G731" s="30">
        <v>71</v>
      </c>
      <c r="H731" s="30">
        <v>28.245999999999999</v>
      </c>
      <c r="I731" s="30">
        <v>992</v>
      </c>
      <c r="J731" s="30">
        <v>30.645</v>
      </c>
      <c r="K731" s="30">
        <v>73.2</v>
      </c>
      <c r="L731" s="30">
        <v>0.84199999999999997</v>
      </c>
      <c r="M731" s="30">
        <v>835.66</v>
      </c>
      <c r="N731" s="30">
        <v>11.238</v>
      </c>
      <c r="O731" s="29">
        <v>11.77</v>
      </c>
      <c r="P731" s="31">
        <v>71</v>
      </c>
      <c r="Q731" s="31">
        <v>30.645</v>
      </c>
      <c r="R731" s="31">
        <v>143.678</v>
      </c>
      <c r="S731" s="31">
        <v>691.98199999999997</v>
      </c>
      <c r="T731" s="10" t="b">
        <f t="shared" si="171"/>
        <v>1</v>
      </c>
      <c r="U731" s="10" t="b">
        <f t="shared" si="172"/>
        <v>1</v>
      </c>
      <c r="V731" s="11">
        <f>VLOOKUP(IF(J731&lt;10, 10, IF(J731&gt;50,50,J731)),'Over to underbark'!$A$3:$C$43,IF(A731="Scots pine",3,IF(A731="Sitka spruce",2, "error")),TRUE)/100</f>
        <v>0.9</v>
      </c>
      <c r="W731">
        <f t="shared" si="173"/>
        <v>116.37918000000001</v>
      </c>
      <c r="X731">
        <f t="shared" si="174"/>
        <v>560.50542000000007</v>
      </c>
      <c r="Y731">
        <f t="shared" si="175"/>
        <v>75.209399999999974</v>
      </c>
      <c r="Z731">
        <f t="shared" si="176"/>
        <v>279.43861533300003</v>
      </c>
      <c r="AA731">
        <f t="shared" si="177"/>
        <v>50.406409799999992</v>
      </c>
      <c r="AB731">
        <f t="shared" si="178"/>
        <v>112.84998302700001</v>
      </c>
      <c r="AC731">
        <f t="shared" si="179"/>
        <v>309.39899184000006</v>
      </c>
      <c r="AD731">
        <f>LOOKUP($A731,'Over to underbark'!$A$47:$A$48,'Over to underbark'!E$47:E$48)*Z731</f>
        <v>92.214743059890012</v>
      </c>
      <c r="AE731">
        <f>LOOKUP($A731,'Over to underbark'!$A$47:$A$48,'Over to underbark'!E$47:E$48)*AA731</f>
        <v>16.634115233999999</v>
      </c>
      <c r="AF731">
        <f>LOOKUP($A731,'Over to underbark'!$A$47:$A$48,'Over to underbark'!E$47:E$48)*AB731</f>
        <v>37.240494398910002</v>
      </c>
      <c r="AG731">
        <f>LOOKUP($A731,'Over to underbark'!$A$47:$A$48,'Over to underbark'!E$47:E$48)*AC731</f>
        <v>102.10166730720003</v>
      </c>
      <c r="AH731" t="b">
        <f t="shared" si="180"/>
        <v>1</v>
      </c>
      <c r="AI731" t="b">
        <f t="shared" si="181"/>
        <v>1</v>
      </c>
      <c r="AJ731">
        <f>LOOKUP(A731,'Over to underbark'!$A$47:$A$48,'Over to underbark'!E$47:E$48)*M731</f>
        <v>275.76780000000002</v>
      </c>
      <c r="AK731" s="22">
        <f>LOOKUP(A731,'Over to underbark'!$A$47:$A$48,'Over to underbark'!$B$47:$B$48)*AJ731</f>
        <v>88.245696000000009</v>
      </c>
      <c r="AL731" s="22">
        <f>LOOKUP(A731,'Over to underbark'!$A$47:$A$48,'Over to underbark'!C$47:C$48)*AJ731</f>
        <v>135.12622200000001</v>
      </c>
      <c r="AM731" s="22">
        <f t="shared" si="182"/>
        <v>364.01349600000003</v>
      </c>
      <c r="AN731" s="36">
        <v>968</v>
      </c>
      <c r="AO731" s="23">
        <f t="shared" si="183"/>
        <v>728.02699200000006</v>
      </c>
      <c r="AQ731">
        <f t="shared" si="184"/>
        <v>0.68181818181818188</v>
      </c>
    </row>
    <row r="732" spans="1:43" x14ac:dyDescent="0.35">
      <c r="A732" t="s">
        <v>43</v>
      </c>
      <c r="B732">
        <v>14</v>
      </c>
      <c r="C732">
        <v>2</v>
      </c>
      <c r="D732" t="s">
        <v>42</v>
      </c>
      <c r="E732">
        <v>2</v>
      </c>
      <c r="F732">
        <v>1</v>
      </c>
      <c r="G732" s="30">
        <v>72</v>
      </c>
      <c r="H732" s="30">
        <v>28.428000000000001</v>
      </c>
      <c r="I732" s="30">
        <v>985</v>
      </c>
      <c r="J732" s="30">
        <v>30.827000000000002</v>
      </c>
      <c r="K732" s="30">
        <v>73.510000000000005</v>
      </c>
      <c r="L732" s="30">
        <v>0.85599999999999998</v>
      </c>
      <c r="M732" s="30">
        <v>843.58</v>
      </c>
      <c r="N732" s="30">
        <v>11.311999999999999</v>
      </c>
      <c r="O732" s="29">
        <v>11.715999999999999</v>
      </c>
      <c r="P732" s="31">
        <v>72</v>
      </c>
      <c r="Q732" s="31">
        <v>30.827000000000002</v>
      </c>
      <c r="R732" s="31">
        <v>141.83500000000001</v>
      </c>
      <c r="S732" s="31">
        <v>701.745</v>
      </c>
      <c r="T732" s="10" t="b">
        <f t="shared" si="171"/>
        <v>1</v>
      </c>
      <c r="U732" s="10" t="b">
        <f t="shared" si="172"/>
        <v>1</v>
      </c>
      <c r="V732" s="11">
        <f>VLOOKUP(IF(J732&lt;10, 10, IF(J732&gt;50,50,J732)),'Over to underbark'!$A$3:$C$43,IF(A732="Scots pine",3,IF(A732="Sitka spruce",2, "error")),TRUE)/100</f>
        <v>0.9</v>
      </c>
      <c r="W732">
        <f t="shared" si="173"/>
        <v>114.88635000000001</v>
      </c>
      <c r="X732">
        <f t="shared" si="174"/>
        <v>568.41345000000001</v>
      </c>
      <c r="Y732">
        <f t="shared" si="175"/>
        <v>75.922199999999989</v>
      </c>
      <c r="Z732">
        <f t="shared" si="176"/>
        <v>281.56952927250001</v>
      </c>
      <c r="AA732">
        <f t="shared" si="177"/>
        <v>50.598598499999994</v>
      </c>
      <c r="AB732">
        <f t="shared" si="178"/>
        <v>113.2896478275</v>
      </c>
      <c r="AC732">
        <f t="shared" si="179"/>
        <v>313.76422439999999</v>
      </c>
      <c r="AD732">
        <f>LOOKUP($A732,'Over to underbark'!$A$47:$A$48,'Over to underbark'!E$47:E$48)*Z732</f>
        <v>92.917944659925013</v>
      </c>
      <c r="AE732">
        <f>LOOKUP($A732,'Over to underbark'!$A$47:$A$48,'Over to underbark'!E$47:E$48)*AA732</f>
        <v>16.697537505</v>
      </c>
      <c r="AF732">
        <f>LOOKUP($A732,'Over to underbark'!$A$47:$A$48,'Over to underbark'!E$47:E$48)*AB732</f>
        <v>37.385583783075006</v>
      </c>
      <c r="AG732">
        <f>LOOKUP($A732,'Over to underbark'!$A$47:$A$48,'Over to underbark'!E$47:E$48)*AC732</f>
        <v>103.542194052</v>
      </c>
      <c r="AH732" t="b">
        <f t="shared" si="180"/>
        <v>1</v>
      </c>
      <c r="AI732" t="b">
        <f t="shared" si="181"/>
        <v>1</v>
      </c>
      <c r="AJ732">
        <f>LOOKUP(A732,'Over to underbark'!$A$47:$A$48,'Over to underbark'!E$47:E$48)*M732</f>
        <v>278.38140000000004</v>
      </c>
      <c r="AK732" s="22">
        <f>LOOKUP(A732,'Over to underbark'!$A$47:$A$48,'Over to underbark'!$B$47:$B$48)*AJ732</f>
        <v>89.082048000000015</v>
      </c>
      <c r="AL732" s="22">
        <f>LOOKUP(A732,'Over to underbark'!$A$47:$A$48,'Over to underbark'!C$47:C$48)*AJ732</f>
        <v>136.40688600000001</v>
      </c>
      <c r="AM732" s="22">
        <f t="shared" si="182"/>
        <v>367.46344800000008</v>
      </c>
      <c r="AN732" s="36">
        <v>969</v>
      </c>
      <c r="AO732" s="23">
        <f t="shared" si="183"/>
        <v>734.92689600000017</v>
      </c>
      <c r="AQ732">
        <f t="shared" si="184"/>
        <v>0.68181818181818177</v>
      </c>
    </row>
    <row r="733" spans="1:43" x14ac:dyDescent="0.35">
      <c r="A733" t="s">
        <v>43</v>
      </c>
      <c r="B733">
        <v>14</v>
      </c>
      <c r="C733">
        <v>2</v>
      </c>
      <c r="D733" t="s">
        <v>42</v>
      </c>
      <c r="E733">
        <v>2</v>
      </c>
      <c r="F733">
        <v>1</v>
      </c>
      <c r="G733" s="30">
        <v>73</v>
      </c>
      <c r="H733" s="30">
        <v>28.61</v>
      </c>
      <c r="I733" s="30">
        <v>977</v>
      </c>
      <c r="J733" s="30">
        <v>31.01</v>
      </c>
      <c r="K733" s="30">
        <v>73.819000000000003</v>
      </c>
      <c r="L733" s="30">
        <v>0.871</v>
      </c>
      <c r="M733" s="30">
        <v>851.5</v>
      </c>
      <c r="N733" s="30">
        <v>11.385</v>
      </c>
      <c r="O733" s="29">
        <v>11.664</v>
      </c>
      <c r="P733" s="31">
        <v>73</v>
      </c>
      <c r="Q733" s="31">
        <v>31.01</v>
      </c>
      <c r="R733" s="31">
        <v>139.98099999999999</v>
      </c>
      <c r="S733" s="31">
        <v>711.51900000000001</v>
      </c>
      <c r="T733" s="10" t="b">
        <f t="shared" si="171"/>
        <v>1</v>
      </c>
      <c r="U733" s="10" t="b">
        <f t="shared" si="172"/>
        <v>1</v>
      </c>
      <c r="V733" s="11">
        <f>VLOOKUP(IF(J733&lt;10, 10, IF(J733&gt;50,50,J733)),'Over to underbark'!$A$3:$C$43,IF(A733="Scots pine",3,IF(A733="Sitka spruce",2, "error")),TRUE)/100</f>
        <v>0.91</v>
      </c>
      <c r="W733">
        <f t="shared" si="173"/>
        <v>114.64443900000001</v>
      </c>
      <c r="X733">
        <f t="shared" si="174"/>
        <v>582.73406100000011</v>
      </c>
      <c r="Y733">
        <f t="shared" si="175"/>
        <v>68.971499999999978</v>
      </c>
      <c r="Z733">
        <f t="shared" si="176"/>
        <v>282.59337441465004</v>
      </c>
      <c r="AA733">
        <f t="shared" si="177"/>
        <v>47.096638289999987</v>
      </c>
      <c r="AB733">
        <f t="shared" si="178"/>
        <v>114.99078562335001</v>
      </c>
      <c r="AC733">
        <f t="shared" si="179"/>
        <v>321.66920167200004</v>
      </c>
      <c r="AD733">
        <f>LOOKUP($A733,'Over to underbark'!$A$47:$A$48,'Over to underbark'!E$47:E$48)*Z733</f>
        <v>93.255813556834525</v>
      </c>
      <c r="AE733">
        <f>LOOKUP($A733,'Over to underbark'!$A$47:$A$48,'Over to underbark'!E$47:E$48)*AA733</f>
        <v>15.541890635699996</v>
      </c>
      <c r="AF733">
        <f>LOOKUP($A733,'Over to underbark'!$A$47:$A$48,'Over to underbark'!E$47:E$48)*AB733</f>
        <v>37.946959255705501</v>
      </c>
      <c r="AG733">
        <f>LOOKUP($A733,'Over to underbark'!$A$47:$A$48,'Over to underbark'!E$47:E$48)*AC733</f>
        <v>106.15083655176002</v>
      </c>
      <c r="AH733" t="b">
        <f t="shared" si="180"/>
        <v>1</v>
      </c>
      <c r="AI733" t="b">
        <f t="shared" si="181"/>
        <v>1</v>
      </c>
      <c r="AJ733">
        <f>LOOKUP(A733,'Over to underbark'!$A$47:$A$48,'Over to underbark'!E$47:E$48)*M733</f>
        <v>280.995</v>
      </c>
      <c r="AK733" s="22">
        <f>LOOKUP(A733,'Over to underbark'!$A$47:$A$48,'Over to underbark'!$B$47:$B$48)*AJ733</f>
        <v>89.918400000000005</v>
      </c>
      <c r="AL733" s="22">
        <f>LOOKUP(A733,'Over to underbark'!$A$47:$A$48,'Over to underbark'!C$47:C$48)*AJ733</f>
        <v>137.68754999999999</v>
      </c>
      <c r="AM733" s="22">
        <f t="shared" si="182"/>
        <v>370.91340000000002</v>
      </c>
      <c r="AN733" s="36">
        <v>970</v>
      </c>
      <c r="AO733" s="23">
        <f t="shared" si="183"/>
        <v>741.82680000000005</v>
      </c>
      <c r="AQ733">
        <f t="shared" si="184"/>
        <v>0.68181818181818188</v>
      </c>
    </row>
    <row r="734" spans="1:43" x14ac:dyDescent="0.35">
      <c r="A734" t="s">
        <v>43</v>
      </c>
      <c r="B734">
        <v>14</v>
      </c>
      <c r="C734">
        <v>2</v>
      </c>
      <c r="D734" t="s">
        <v>42</v>
      </c>
      <c r="E734">
        <v>2</v>
      </c>
      <c r="F734">
        <v>1</v>
      </c>
      <c r="G734" s="30">
        <v>74</v>
      </c>
      <c r="H734" s="30">
        <v>28.77</v>
      </c>
      <c r="I734" s="30">
        <v>971</v>
      </c>
      <c r="J734" s="30">
        <v>31.164000000000001</v>
      </c>
      <c r="K734" s="30">
        <v>74.096000000000004</v>
      </c>
      <c r="L734" s="30">
        <v>0.88400000000000001</v>
      </c>
      <c r="M734" s="30">
        <v>858.46</v>
      </c>
      <c r="N734" s="30">
        <v>11.446</v>
      </c>
      <c r="O734" s="29">
        <v>11.601000000000001</v>
      </c>
      <c r="P734" s="31">
        <v>74</v>
      </c>
      <c r="Q734" s="31">
        <v>31.164000000000001</v>
      </c>
      <c r="R734" s="31">
        <v>138.47399999999999</v>
      </c>
      <c r="S734" s="31">
        <v>719.98599999999999</v>
      </c>
      <c r="T734" s="10" t="b">
        <f t="shared" si="171"/>
        <v>1</v>
      </c>
      <c r="U734" s="10" t="b">
        <f t="shared" si="172"/>
        <v>1</v>
      </c>
      <c r="V734" s="11">
        <f>VLOOKUP(IF(J734&lt;10, 10, IF(J734&gt;50,50,J734)),'Over to underbark'!$A$3:$C$43,IF(A734="Scots pine",3,IF(A734="Sitka spruce",2, "error")),TRUE)/100</f>
        <v>0.91</v>
      </c>
      <c r="W734">
        <f t="shared" si="173"/>
        <v>113.410206</v>
      </c>
      <c r="X734">
        <f t="shared" si="174"/>
        <v>589.66853400000002</v>
      </c>
      <c r="Y734">
        <f t="shared" si="175"/>
        <v>69.53525999999998</v>
      </c>
      <c r="Z734">
        <f t="shared" si="176"/>
        <v>284.4703875861</v>
      </c>
      <c r="AA734">
        <f t="shared" si="177"/>
        <v>47.242752659999994</v>
      </c>
      <c r="AB734">
        <f t="shared" si="178"/>
        <v>115.40382898589999</v>
      </c>
      <c r="AC734">
        <f t="shared" si="179"/>
        <v>325.497030768</v>
      </c>
      <c r="AD734">
        <f>LOOKUP($A734,'Over to underbark'!$A$47:$A$48,'Over to underbark'!E$47:E$48)*Z734</f>
        <v>93.875227903413005</v>
      </c>
      <c r="AE734">
        <f>LOOKUP($A734,'Over to underbark'!$A$47:$A$48,'Over to underbark'!E$47:E$48)*AA734</f>
        <v>15.590108377799998</v>
      </c>
      <c r="AF734">
        <f>LOOKUP($A734,'Over to underbark'!$A$47:$A$48,'Over to underbark'!E$47:E$48)*AB734</f>
        <v>38.083263565346996</v>
      </c>
      <c r="AG734">
        <f>LOOKUP($A734,'Over to underbark'!$A$47:$A$48,'Over to underbark'!E$47:E$48)*AC734</f>
        <v>107.41402015344001</v>
      </c>
      <c r="AH734" t="b">
        <f t="shared" si="180"/>
        <v>1</v>
      </c>
      <c r="AI734" t="b">
        <f t="shared" si="181"/>
        <v>1</v>
      </c>
      <c r="AJ734">
        <f>LOOKUP(A734,'Over to underbark'!$A$47:$A$48,'Over to underbark'!E$47:E$48)*M734</f>
        <v>283.29180000000002</v>
      </c>
      <c r="AK734" s="22">
        <f>LOOKUP(A734,'Over to underbark'!$A$47:$A$48,'Over to underbark'!$B$47:$B$48)*AJ734</f>
        <v>90.653376000000009</v>
      </c>
      <c r="AL734" s="22">
        <f>LOOKUP(A734,'Over to underbark'!$A$47:$A$48,'Over to underbark'!C$47:C$48)*AJ734</f>
        <v>138.81298200000001</v>
      </c>
      <c r="AM734" s="22">
        <f t="shared" si="182"/>
        <v>373.94517600000006</v>
      </c>
      <c r="AN734" s="36">
        <v>971</v>
      </c>
      <c r="AO734" s="23">
        <f t="shared" si="183"/>
        <v>747.89035200000012</v>
      </c>
      <c r="AQ734">
        <f t="shared" si="184"/>
        <v>0.68181818181818177</v>
      </c>
    </row>
    <row r="735" spans="1:43" x14ac:dyDescent="0.35">
      <c r="A735" t="s">
        <v>43</v>
      </c>
      <c r="B735">
        <v>14</v>
      </c>
      <c r="C735">
        <v>2</v>
      </c>
      <c r="D735" t="s">
        <v>42</v>
      </c>
      <c r="E735">
        <v>2</v>
      </c>
      <c r="F735">
        <v>1</v>
      </c>
      <c r="G735" s="30">
        <v>75</v>
      </c>
      <c r="H735" s="30">
        <v>28.93</v>
      </c>
      <c r="I735" s="30">
        <v>965</v>
      </c>
      <c r="J735" s="30">
        <v>31.318999999999999</v>
      </c>
      <c r="K735" s="30">
        <v>74.373000000000005</v>
      </c>
      <c r="L735" s="30">
        <v>0.89600000000000002</v>
      </c>
      <c r="M735" s="30">
        <v>865.42</v>
      </c>
      <c r="N735" s="30">
        <v>11.506</v>
      </c>
      <c r="O735" s="29">
        <v>11.539</v>
      </c>
      <c r="P735" s="31">
        <v>75</v>
      </c>
      <c r="Q735" s="31">
        <v>31.318999999999999</v>
      </c>
      <c r="R735" s="31">
        <v>136.953</v>
      </c>
      <c r="S735" s="31">
        <v>728.46699999999998</v>
      </c>
      <c r="T735" s="10" t="b">
        <f t="shared" si="171"/>
        <v>1</v>
      </c>
      <c r="U735" s="10" t="b">
        <f t="shared" si="172"/>
        <v>1</v>
      </c>
      <c r="V735" s="11">
        <f>VLOOKUP(IF(J735&lt;10, 10, IF(J735&gt;50,50,J735)),'Over to underbark'!$A$3:$C$43,IF(A735="Scots pine",3,IF(A735="Sitka spruce",2, "error")),TRUE)/100</f>
        <v>0.91</v>
      </c>
      <c r="W735">
        <f t="shared" si="173"/>
        <v>112.164507</v>
      </c>
      <c r="X735">
        <f t="shared" si="174"/>
        <v>596.61447300000009</v>
      </c>
      <c r="Y735">
        <f t="shared" si="175"/>
        <v>70.099019999999967</v>
      </c>
      <c r="Z735">
        <f t="shared" si="176"/>
        <v>286.34511501045</v>
      </c>
      <c r="AA735">
        <f t="shared" si="177"/>
        <v>47.387605769999986</v>
      </c>
      <c r="AB735">
        <f t="shared" si="178"/>
        <v>115.81409012355</v>
      </c>
      <c r="AC735">
        <f t="shared" si="179"/>
        <v>329.33118909600006</v>
      </c>
      <c r="AD735">
        <f>LOOKUP($A735,'Over to underbark'!$A$47:$A$48,'Over to underbark'!E$47:E$48)*Z735</f>
        <v>94.493887953448507</v>
      </c>
      <c r="AE735">
        <f>LOOKUP($A735,'Over to underbark'!$A$47:$A$48,'Over to underbark'!E$47:E$48)*AA735</f>
        <v>15.637909904099995</v>
      </c>
      <c r="AF735">
        <f>LOOKUP($A735,'Over to underbark'!$A$47:$A$48,'Over to underbark'!E$47:E$48)*AB735</f>
        <v>38.218649740771504</v>
      </c>
      <c r="AG735">
        <f>LOOKUP($A735,'Over to underbark'!$A$47:$A$48,'Over to underbark'!E$47:E$48)*AC735</f>
        <v>108.67929240168003</v>
      </c>
      <c r="AH735" t="b">
        <f t="shared" si="180"/>
        <v>1</v>
      </c>
      <c r="AI735" t="b">
        <f t="shared" si="181"/>
        <v>1</v>
      </c>
      <c r="AJ735">
        <f>LOOKUP(A735,'Over to underbark'!$A$47:$A$48,'Over to underbark'!E$47:E$48)*M735</f>
        <v>285.58859999999999</v>
      </c>
      <c r="AK735" s="22">
        <f>LOOKUP(A735,'Over to underbark'!$A$47:$A$48,'Over to underbark'!$B$47:$B$48)*AJ735</f>
        <v>91.388351999999998</v>
      </c>
      <c r="AL735" s="22">
        <f>LOOKUP(A735,'Over to underbark'!$A$47:$A$48,'Over to underbark'!C$47:C$48)*AJ735</f>
        <v>139.93841399999999</v>
      </c>
      <c r="AM735" s="22">
        <f t="shared" si="182"/>
        <v>376.97695199999998</v>
      </c>
      <c r="AN735" s="36">
        <v>972</v>
      </c>
      <c r="AO735" s="23">
        <f t="shared" si="183"/>
        <v>753.95390399999997</v>
      </c>
      <c r="AQ735">
        <f t="shared" si="184"/>
        <v>0.68181818181818199</v>
      </c>
    </row>
    <row r="736" spans="1:43" x14ac:dyDescent="0.35">
      <c r="A736" t="s">
        <v>43</v>
      </c>
      <c r="B736">
        <v>14</v>
      </c>
      <c r="C736">
        <v>2</v>
      </c>
      <c r="D736" t="s">
        <v>42</v>
      </c>
      <c r="E736">
        <v>2</v>
      </c>
      <c r="F736">
        <v>1</v>
      </c>
      <c r="G736" s="30">
        <v>76</v>
      </c>
      <c r="H736" s="30">
        <v>29.09</v>
      </c>
      <c r="I736" s="30">
        <v>959</v>
      </c>
      <c r="J736" s="30">
        <v>31.474</v>
      </c>
      <c r="K736" s="30">
        <v>74.650999999999996</v>
      </c>
      <c r="L736" s="30">
        <v>0.90900000000000003</v>
      </c>
      <c r="M736" s="30">
        <v>872.38</v>
      </c>
      <c r="N736" s="30">
        <v>11.565</v>
      </c>
      <c r="O736" s="29">
        <v>11.478999999999999</v>
      </c>
      <c r="P736" s="31">
        <v>76</v>
      </c>
      <c r="Q736" s="31">
        <v>31.474</v>
      </c>
      <c r="R736" s="31">
        <v>135.43600000000001</v>
      </c>
      <c r="S736" s="31">
        <v>736.94399999999996</v>
      </c>
      <c r="T736" s="10" t="b">
        <f t="shared" si="171"/>
        <v>1</v>
      </c>
      <c r="U736" s="10" t="b">
        <f t="shared" si="172"/>
        <v>1</v>
      </c>
      <c r="V736" s="11">
        <f>VLOOKUP(IF(J736&lt;10, 10, IF(J736&gt;50,50,J736)),'Over to underbark'!$A$3:$C$43,IF(A736="Scots pine",3,IF(A736="Sitka spruce",2, "error")),TRUE)/100</f>
        <v>0.91</v>
      </c>
      <c r="W736">
        <f t="shared" si="173"/>
        <v>110.92208400000001</v>
      </c>
      <c r="X736">
        <f t="shared" si="174"/>
        <v>603.55713600000001</v>
      </c>
      <c r="Y736">
        <f t="shared" si="175"/>
        <v>70.662779999999984</v>
      </c>
      <c r="Z736">
        <f t="shared" si="176"/>
        <v>288.22049550540004</v>
      </c>
      <c r="AA736">
        <f t="shared" si="177"/>
        <v>47.532819239999995</v>
      </c>
      <c r="AB736">
        <f t="shared" si="178"/>
        <v>116.22514618260001</v>
      </c>
      <c r="AC736">
        <f t="shared" si="179"/>
        <v>333.16353907200005</v>
      </c>
      <c r="AD736">
        <f>LOOKUP($A736,'Over to underbark'!$A$47:$A$48,'Over to underbark'!E$47:E$48)*Z736</f>
        <v>95.11276351678201</v>
      </c>
      <c r="AE736">
        <f>LOOKUP($A736,'Over to underbark'!$A$47:$A$48,'Over to underbark'!E$47:E$48)*AA736</f>
        <v>15.6858303492</v>
      </c>
      <c r="AF736">
        <f>LOOKUP($A736,'Over to underbark'!$A$47:$A$48,'Over to underbark'!E$47:E$48)*AB736</f>
        <v>38.354298240258004</v>
      </c>
      <c r="AG736">
        <f>LOOKUP($A736,'Over to underbark'!$A$47:$A$48,'Over to underbark'!E$47:E$48)*AC736</f>
        <v>109.94396789376002</v>
      </c>
      <c r="AH736" t="b">
        <f t="shared" si="180"/>
        <v>1</v>
      </c>
      <c r="AI736" t="b">
        <f t="shared" si="181"/>
        <v>1</v>
      </c>
      <c r="AJ736">
        <f>LOOKUP(A736,'Over to underbark'!$A$47:$A$48,'Over to underbark'!E$47:E$48)*M736</f>
        <v>287.8854</v>
      </c>
      <c r="AK736" s="22">
        <f>LOOKUP(A736,'Over to underbark'!$A$47:$A$48,'Over to underbark'!$B$47:$B$48)*AJ736</f>
        <v>92.123328000000001</v>
      </c>
      <c r="AL736" s="22">
        <f>LOOKUP(A736,'Over to underbark'!$A$47:$A$48,'Over to underbark'!C$47:C$48)*AJ736</f>
        <v>141.06384600000001</v>
      </c>
      <c r="AM736" s="22">
        <f t="shared" si="182"/>
        <v>380.00872800000002</v>
      </c>
      <c r="AN736" s="36">
        <v>973</v>
      </c>
      <c r="AO736" s="23">
        <f t="shared" si="183"/>
        <v>760.01745600000004</v>
      </c>
      <c r="AQ736">
        <f t="shared" si="184"/>
        <v>0.68181818181818188</v>
      </c>
    </row>
    <row r="737" spans="1:43" x14ac:dyDescent="0.35">
      <c r="A737" t="s">
        <v>43</v>
      </c>
      <c r="B737">
        <v>14</v>
      </c>
      <c r="C737">
        <v>2</v>
      </c>
      <c r="D737" t="s">
        <v>42</v>
      </c>
      <c r="E737">
        <v>2</v>
      </c>
      <c r="F737">
        <v>1</v>
      </c>
      <c r="G737" s="30">
        <v>77</v>
      </c>
      <c r="H737" s="30">
        <v>29.25</v>
      </c>
      <c r="I737" s="30">
        <v>953</v>
      </c>
      <c r="J737" s="30">
        <v>31.632000000000001</v>
      </c>
      <c r="K737" s="30">
        <v>74.927999999999997</v>
      </c>
      <c r="L737" s="30">
        <v>0.92200000000000004</v>
      </c>
      <c r="M737" s="30">
        <v>879.34</v>
      </c>
      <c r="N737" s="30">
        <v>11.622</v>
      </c>
      <c r="O737" s="29">
        <v>11.42</v>
      </c>
      <c r="P737" s="31">
        <v>77</v>
      </c>
      <c r="Q737" s="31">
        <v>31.632000000000001</v>
      </c>
      <c r="R737" s="31">
        <v>133.875</v>
      </c>
      <c r="S737" s="31">
        <v>745.46500000000003</v>
      </c>
      <c r="T737" s="10" t="b">
        <f t="shared" si="171"/>
        <v>1</v>
      </c>
      <c r="U737" s="10" t="b">
        <f t="shared" si="172"/>
        <v>1</v>
      </c>
      <c r="V737" s="11">
        <f>VLOOKUP(IF(J737&lt;10, 10, IF(J737&gt;50,50,J737)),'Over to underbark'!$A$3:$C$43,IF(A737="Scots pine",3,IF(A737="Sitka spruce",2, "error")),TRUE)/100</f>
        <v>0.91</v>
      </c>
      <c r="W737">
        <f t="shared" si="173"/>
        <v>109.643625</v>
      </c>
      <c r="X737">
        <f t="shared" si="174"/>
        <v>610.53583500000002</v>
      </c>
      <c r="Y737">
        <f t="shared" si="175"/>
        <v>71.226539999999986</v>
      </c>
      <c r="Z737">
        <f t="shared" si="176"/>
        <v>290.08869222375006</v>
      </c>
      <c r="AA737">
        <f t="shared" si="177"/>
        <v>47.674068749999989</v>
      </c>
      <c r="AB737">
        <f t="shared" si="178"/>
        <v>116.62745810625</v>
      </c>
      <c r="AC737">
        <f t="shared" si="179"/>
        <v>337.01578092</v>
      </c>
      <c r="AD737">
        <f>LOOKUP($A737,'Over to underbark'!$A$47:$A$48,'Over to underbark'!E$47:E$48)*Z737</f>
        <v>95.729268433837518</v>
      </c>
      <c r="AE737">
        <f>LOOKUP($A737,'Over to underbark'!$A$47:$A$48,'Over to underbark'!E$47:E$48)*AA737</f>
        <v>15.732442687499997</v>
      </c>
      <c r="AF737">
        <f>LOOKUP($A737,'Over to underbark'!$A$47:$A$48,'Over to underbark'!E$47:E$48)*AB737</f>
        <v>38.4870611750625</v>
      </c>
      <c r="AG737">
        <f>LOOKUP($A737,'Over to underbark'!$A$47:$A$48,'Over to underbark'!E$47:E$48)*AC737</f>
        <v>111.2152077036</v>
      </c>
      <c r="AH737" t="b">
        <f t="shared" si="180"/>
        <v>1</v>
      </c>
      <c r="AI737" t="b">
        <f t="shared" si="181"/>
        <v>1</v>
      </c>
      <c r="AJ737">
        <f>LOOKUP(A737,'Over to underbark'!$A$47:$A$48,'Over to underbark'!E$47:E$48)*M737</f>
        <v>290.18220000000002</v>
      </c>
      <c r="AK737" s="22">
        <f>LOOKUP(A737,'Over to underbark'!$A$47:$A$48,'Over to underbark'!$B$47:$B$48)*AJ737</f>
        <v>92.858304000000004</v>
      </c>
      <c r="AL737" s="22">
        <f>LOOKUP(A737,'Over to underbark'!$A$47:$A$48,'Over to underbark'!C$47:C$48)*AJ737</f>
        <v>142.189278</v>
      </c>
      <c r="AM737" s="22">
        <f t="shared" si="182"/>
        <v>383.04050400000006</v>
      </c>
      <c r="AN737" s="36">
        <v>974</v>
      </c>
      <c r="AO737" s="23">
        <f t="shared" si="183"/>
        <v>766.08100800000011</v>
      </c>
      <c r="AQ737">
        <f t="shared" si="184"/>
        <v>0.68181818181818177</v>
      </c>
    </row>
    <row r="738" spans="1:43" x14ac:dyDescent="0.35">
      <c r="A738" t="s">
        <v>43</v>
      </c>
      <c r="B738">
        <v>14</v>
      </c>
      <c r="C738">
        <v>2</v>
      </c>
      <c r="D738" t="s">
        <v>42</v>
      </c>
      <c r="E738">
        <v>2</v>
      </c>
      <c r="F738">
        <v>1</v>
      </c>
      <c r="G738" s="30">
        <v>78</v>
      </c>
      <c r="H738" s="30">
        <v>29.41</v>
      </c>
      <c r="I738" s="30">
        <v>948</v>
      </c>
      <c r="J738" s="30">
        <v>31.79</v>
      </c>
      <c r="K738" s="30">
        <v>75.206000000000003</v>
      </c>
      <c r="L738" s="30">
        <v>0.93500000000000005</v>
      </c>
      <c r="M738" s="30">
        <v>886.3</v>
      </c>
      <c r="N738" s="30">
        <v>11.679</v>
      </c>
      <c r="O738" s="29">
        <v>11.363</v>
      </c>
      <c r="P738" s="31">
        <v>78</v>
      </c>
      <c r="Q738" s="31">
        <v>31.79</v>
      </c>
      <c r="R738" s="31">
        <v>132.31899999999999</v>
      </c>
      <c r="S738" s="31">
        <v>753.98099999999999</v>
      </c>
      <c r="T738" s="10" t="b">
        <f t="shared" si="171"/>
        <v>1</v>
      </c>
      <c r="U738" s="10" t="b">
        <f t="shared" si="172"/>
        <v>1</v>
      </c>
      <c r="V738" s="11">
        <f>VLOOKUP(IF(J738&lt;10, 10, IF(J738&gt;50,50,J738)),'Over to underbark'!$A$3:$C$43,IF(A738="Scots pine",3,IF(A738="Sitka spruce",2, "error")),TRUE)/100</f>
        <v>0.91</v>
      </c>
      <c r="W738">
        <f t="shared" si="173"/>
        <v>108.36926099999999</v>
      </c>
      <c r="X738">
        <f t="shared" si="174"/>
        <v>617.51043900000002</v>
      </c>
      <c r="Y738">
        <f t="shared" si="175"/>
        <v>71.790299999999974</v>
      </c>
      <c r="Z738">
        <f t="shared" si="176"/>
        <v>291.95770528035001</v>
      </c>
      <c r="AA738">
        <f t="shared" si="177"/>
        <v>47.815768709999986</v>
      </c>
      <c r="AB738">
        <f t="shared" si="178"/>
        <v>117.03076368165</v>
      </c>
      <c r="AC738">
        <f t="shared" si="179"/>
        <v>340.86576232800002</v>
      </c>
      <c r="AD738">
        <f>LOOKUP($A738,'Over to underbark'!$A$47:$A$48,'Over to underbark'!E$47:E$48)*Z738</f>
        <v>96.346042742515507</v>
      </c>
      <c r="AE738">
        <f>LOOKUP($A738,'Over to underbark'!$A$47:$A$48,'Over to underbark'!E$47:E$48)*AA738</f>
        <v>15.779203674299996</v>
      </c>
      <c r="AF738">
        <f>LOOKUP($A738,'Over to underbark'!$A$47:$A$48,'Over to underbark'!E$47:E$48)*AB738</f>
        <v>38.620152014944502</v>
      </c>
      <c r="AG738">
        <f>LOOKUP($A738,'Over to underbark'!$A$47:$A$48,'Over to underbark'!E$47:E$48)*AC738</f>
        <v>112.48570156824002</v>
      </c>
      <c r="AH738" t="b">
        <f t="shared" si="180"/>
        <v>1</v>
      </c>
      <c r="AI738" t="b">
        <f t="shared" si="181"/>
        <v>1</v>
      </c>
      <c r="AJ738">
        <f>LOOKUP(A738,'Over to underbark'!$A$47:$A$48,'Over to underbark'!E$47:E$48)*M738</f>
        <v>292.47899999999998</v>
      </c>
      <c r="AK738" s="22">
        <f>LOOKUP(A738,'Over to underbark'!$A$47:$A$48,'Over to underbark'!$B$47:$B$48)*AJ738</f>
        <v>93.593279999999993</v>
      </c>
      <c r="AL738" s="22">
        <f>LOOKUP(A738,'Over to underbark'!$A$47:$A$48,'Over to underbark'!C$47:C$48)*AJ738</f>
        <v>143.31470999999999</v>
      </c>
      <c r="AM738" s="22">
        <f t="shared" si="182"/>
        <v>386.07227999999998</v>
      </c>
      <c r="AN738" s="36">
        <v>975</v>
      </c>
      <c r="AO738" s="23">
        <f t="shared" si="183"/>
        <v>772.14455999999996</v>
      </c>
      <c r="AQ738">
        <f t="shared" si="184"/>
        <v>0.68181818181818188</v>
      </c>
    </row>
  </sheetData>
  <autoFilter ref="A2:AI621" xr:uid="{860836E9-728F-4541-B40C-E3C525E8BA8E}"/>
  <mergeCells count="3">
    <mergeCell ref="H1:O1"/>
    <mergeCell ref="A1:G1"/>
    <mergeCell ref="AA1:A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D0F5-2789-4E5B-9571-41513986901F}">
  <dimension ref="A1:E48"/>
  <sheetViews>
    <sheetView workbookViewId="0">
      <selection activeCell="E48" sqref="E48"/>
    </sheetView>
  </sheetViews>
  <sheetFormatPr defaultRowHeight="14.5" x14ac:dyDescent="0.35"/>
  <cols>
    <col min="2" max="2" width="22.1796875" bestFit="1" customWidth="1"/>
    <col min="3" max="3" width="20.453125" bestFit="1" customWidth="1"/>
    <col min="4" max="4" width="18.453125" bestFit="1" customWidth="1"/>
    <col min="5" max="5" width="38.1796875" bestFit="1" customWidth="1"/>
  </cols>
  <sheetData>
    <row r="1" spans="1:5" x14ac:dyDescent="0.35">
      <c r="A1" s="2" t="s">
        <v>44</v>
      </c>
      <c r="B1" s="2" t="s">
        <v>45</v>
      </c>
      <c r="C1" s="2" t="s">
        <v>46</v>
      </c>
    </row>
    <row r="2" spans="1:5" x14ac:dyDescent="0.35">
      <c r="A2" s="2"/>
      <c r="B2" s="2" t="s">
        <v>43</v>
      </c>
      <c r="C2" s="2" t="s">
        <v>41</v>
      </c>
    </row>
    <row r="3" spans="1:5" x14ac:dyDescent="0.35">
      <c r="A3" s="3">
        <v>10</v>
      </c>
      <c r="B3" s="3">
        <v>73</v>
      </c>
      <c r="C3" s="3">
        <v>53</v>
      </c>
      <c r="E3" t="s">
        <v>47</v>
      </c>
    </row>
    <row r="4" spans="1:5" x14ac:dyDescent="0.35">
      <c r="A4" s="3">
        <v>11</v>
      </c>
      <c r="B4" s="3">
        <v>82</v>
      </c>
      <c r="C4" s="3">
        <v>66</v>
      </c>
    </row>
    <row r="5" spans="1:5" x14ac:dyDescent="0.35">
      <c r="A5" s="3">
        <v>12</v>
      </c>
      <c r="B5" s="3">
        <v>87</v>
      </c>
      <c r="C5" s="3">
        <v>74</v>
      </c>
    </row>
    <row r="6" spans="1:5" x14ac:dyDescent="0.35">
      <c r="A6" s="3">
        <v>13</v>
      </c>
      <c r="B6" s="3">
        <v>89</v>
      </c>
      <c r="C6" s="3">
        <v>79</v>
      </c>
    </row>
    <row r="7" spans="1:5" x14ac:dyDescent="0.35">
      <c r="A7" s="3">
        <v>14</v>
      </c>
      <c r="B7" s="3">
        <v>90</v>
      </c>
      <c r="C7" s="3">
        <v>82</v>
      </c>
    </row>
    <row r="8" spans="1:5" x14ac:dyDescent="0.35">
      <c r="A8" s="3">
        <v>15</v>
      </c>
      <c r="B8" s="3">
        <v>90</v>
      </c>
      <c r="C8" s="3">
        <v>84</v>
      </c>
    </row>
    <row r="9" spans="1:5" x14ac:dyDescent="0.35">
      <c r="A9" s="3">
        <v>16</v>
      </c>
      <c r="B9" s="3">
        <v>89</v>
      </c>
      <c r="C9" s="3">
        <v>84</v>
      </c>
    </row>
    <row r="10" spans="1:5" x14ac:dyDescent="0.35">
      <c r="A10" s="3">
        <v>17</v>
      </c>
      <c r="B10" s="3">
        <v>90</v>
      </c>
      <c r="C10" s="3">
        <v>84</v>
      </c>
    </row>
    <row r="11" spans="1:5" x14ac:dyDescent="0.35">
      <c r="A11" s="3">
        <v>18</v>
      </c>
      <c r="B11" s="3">
        <v>90</v>
      </c>
      <c r="C11" s="3">
        <v>84</v>
      </c>
    </row>
    <row r="12" spans="1:5" x14ac:dyDescent="0.35">
      <c r="A12" s="3">
        <v>19</v>
      </c>
      <c r="B12" s="3">
        <v>90</v>
      </c>
      <c r="C12" s="3">
        <v>84</v>
      </c>
    </row>
    <row r="13" spans="1:5" x14ac:dyDescent="0.35">
      <c r="A13" s="3">
        <v>20</v>
      </c>
      <c r="B13" s="3">
        <v>90</v>
      </c>
      <c r="C13" s="3">
        <v>84</v>
      </c>
    </row>
    <row r="14" spans="1:5" x14ac:dyDescent="0.35">
      <c r="A14" s="3">
        <v>21</v>
      </c>
      <c r="B14" s="3">
        <v>90</v>
      </c>
      <c r="C14" s="3">
        <v>84</v>
      </c>
    </row>
    <row r="15" spans="1:5" x14ac:dyDescent="0.35">
      <c r="A15" s="3">
        <v>22</v>
      </c>
      <c r="B15" s="3">
        <v>90</v>
      </c>
      <c r="C15" s="3">
        <v>84</v>
      </c>
    </row>
    <row r="16" spans="1:5" x14ac:dyDescent="0.35">
      <c r="A16" s="3">
        <v>23</v>
      </c>
      <c r="B16" s="3">
        <v>90</v>
      </c>
      <c r="C16" s="3">
        <v>84</v>
      </c>
    </row>
    <row r="17" spans="1:3" x14ac:dyDescent="0.35">
      <c r="A17" s="3">
        <v>24</v>
      </c>
      <c r="B17" s="3">
        <v>90</v>
      </c>
      <c r="C17" s="3">
        <v>84</v>
      </c>
    </row>
    <row r="18" spans="1:3" x14ac:dyDescent="0.35">
      <c r="A18" s="3">
        <v>25</v>
      </c>
      <c r="B18" s="3">
        <v>90</v>
      </c>
      <c r="C18" s="3">
        <v>84</v>
      </c>
    </row>
    <row r="19" spans="1:3" x14ac:dyDescent="0.35">
      <c r="A19" s="3">
        <v>26</v>
      </c>
      <c r="B19" s="3">
        <v>90</v>
      </c>
      <c r="C19" s="3">
        <v>84</v>
      </c>
    </row>
    <row r="20" spans="1:3" x14ac:dyDescent="0.35">
      <c r="A20" s="3">
        <v>27</v>
      </c>
      <c r="B20" s="3">
        <v>90</v>
      </c>
      <c r="C20" s="3">
        <v>85</v>
      </c>
    </row>
    <row r="21" spans="1:3" x14ac:dyDescent="0.35">
      <c r="A21" s="3">
        <v>28</v>
      </c>
      <c r="B21" s="3">
        <v>90</v>
      </c>
      <c r="C21" s="3">
        <v>85</v>
      </c>
    </row>
    <row r="22" spans="1:3" x14ac:dyDescent="0.35">
      <c r="A22" s="3">
        <v>29</v>
      </c>
      <c r="B22" s="3">
        <v>90</v>
      </c>
      <c r="C22" s="3">
        <v>85</v>
      </c>
    </row>
    <row r="23" spans="1:3" x14ac:dyDescent="0.35">
      <c r="A23" s="3">
        <v>30</v>
      </c>
      <c r="B23" s="3">
        <v>90</v>
      </c>
      <c r="C23" s="3">
        <v>85</v>
      </c>
    </row>
    <row r="24" spans="1:3" x14ac:dyDescent="0.35">
      <c r="A24" s="3">
        <v>31</v>
      </c>
      <c r="B24" s="3">
        <v>91</v>
      </c>
      <c r="C24" s="3">
        <v>85</v>
      </c>
    </row>
    <row r="25" spans="1:3" x14ac:dyDescent="0.35">
      <c r="A25" s="3">
        <v>32</v>
      </c>
      <c r="B25" s="3">
        <v>91</v>
      </c>
      <c r="C25" s="3">
        <v>85</v>
      </c>
    </row>
    <row r="26" spans="1:3" x14ac:dyDescent="0.35">
      <c r="A26" s="3">
        <v>33</v>
      </c>
      <c r="B26" s="3">
        <v>91</v>
      </c>
      <c r="C26" s="3">
        <v>85</v>
      </c>
    </row>
    <row r="27" spans="1:3" x14ac:dyDescent="0.35">
      <c r="A27" s="3">
        <v>34</v>
      </c>
      <c r="B27" s="3">
        <v>91</v>
      </c>
      <c r="C27" s="3">
        <v>85</v>
      </c>
    </row>
    <row r="28" spans="1:3" x14ac:dyDescent="0.35">
      <c r="A28" s="3">
        <v>35</v>
      </c>
      <c r="B28" s="3">
        <v>91</v>
      </c>
      <c r="C28" s="3">
        <v>85</v>
      </c>
    </row>
    <row r="29" spans="1:3" x14ac:dyDescent="0.35">
      <c r="A29" s="3">
        <v>36</v>
      </c>
      <c r="B29" s="3">
        <v>91</v>
      </c>
      <c r="C29" s="3">
        <v>85</v>
      </c>
    </row>
    <row r="30" spans="1:3" x14ac:dyDescent="0.35">
      <c r="A30" s="3">
        <v>37</v>
      </c>
      <c r="B30" s="3">
        <v>91</v>
      </c>
      <c r="C30" s="3">
        <v>85</v>
      </c>
    </row>
    <row r="31" spans="1:3" x14ac:dyDescent="0.35">
      <c r="A31" s="3">
        <v>38</v>
      </c>
      <c r="B31" s="3">
        <v>91</v>
      </c>
      <c r="C31" s="3">
        <v>85</v>
      </c>
    </row>
    <row r="32" spans="1:3" x14ac:dyDescent="0.35">
      <c r="A32" s="3">
        <v>39</v>
      </c>
      <c r="B32" s="3">
        <v>91</v>
      </c>
      <c r="C32" s="3">
        <v>85</v>
      </c>
    </row>
    <row r="33" spans="1:5" x14ac:dyDescent="0.35">
      <c r="A33" s="3">
        <v>40</v>
      </c>
      <c r="B33" s="3">
        <v>91</v>
      </c>
      <c r="C33" s="3">
        <v>85</v>
      </c>
    </row>
    <row r="34" spans="1:5" x14ac:dyDescent="0.35">
      <c r="A34" s="3">
        <v>41</v>
      </c>
      <c r="B34" s="3">
        <v>91</v>
      </c>
      <c r="C34" s="3">
        <v>85</v>
      </c>
    </row>
    <row r="35" spans="1:5" x14ac:dyDescent="0.35">
      <c r="A35" s="3">
        <v>42</v>
      </c>
      <c r="B35" s="3">
        <v>91</v>
      </c>
      <c r="C35" s="3">
        <v>85</v>
      </c>
    </row>
    <row r="36" spans="1:5" x14ac:dyDescent="0.35">
      <c r="A36" s="3">
        <v>43</v>
      </c>
      <c r="B36" s="3">
        <v>91</v>
      </c>
      <c r="C36" s="3">
        <v>85</v>
      </c>
    </row>
    <row r="37" spans="1:5" x14ac:dyDescent="0.35">
      <c r="A37" s="3">
        <v>44</v>
      </c>
      <c r="B37" s="3">
        <v>91</v>
      </c>
      <c r="C37" s="3">
        <v>85</v>
      </c>
    </row>
    <row r="38" spans="1:5" x14ac:dyDescent="0.35">
      <c r="A38" s="3">
        <v>45</v>
      </c>
      <c r="B38" s="3">
        <v>91</v>
      </c>
      <c r="C38" s="3">
        <v>85</v>
      </c>
    </row>
    <row r="39" spans="1:5" x14ac:dyDescent="0.35">
      <c r="A39" s="3">
        <v>46</v>
      </c>
      <c r="B39" s="3">
        <v>91</v>
      </c>
      <c r="C39" s="3">
        <v>85</v>
      </c>
    </row>
    <row r="40" spans="1:5" x14ac:dyDescent="0.35">
      <c r="A40" s="3">
        <v>47</v>
      </c>
      <c r="B40" s="3">
        <v>91</v>
      </c>
      <c r="C40" s="3">
        <v>85</v>
      </c>
    </row>
    <row r="41" spans="1:5" x14ac:dyDescent="0.35">
      <c r="A41" s="3">
        <v>48</v>
      </c>
      <c r="B41" s="3">
        <v>91</v>
      </c>
      <c r="C41" s="3">
        <v>85</v>
      </c>
    </row>
    <row r="42" spans="1:5" x14ac:dyDescent="0.35">
      <c r="A42" s="3">
        <v>49</v>
      </c>
      <c r="B42" s="3">
        <v>91</v>
      </c>
      <c r="C42" s="3">
        <v>85</v>
      </c>
    </row>
    <row r="43" spans="1:5" x14ac:dyDescent="0.35">
      <c r="A43" s="3">
        <v>50</v>
      </c>
      <c r="B43" s="3">
        <v>92</v>
      </c>
      <c r="C43" s="3">
        <v>85</v>
      </c>
      <c r="E43" t="s">
        <v>48</v>
      </c>
    </row>
    <row r="46" spans="1:5" x14ac:dyDescent="0.35">
      <c r="B46" t="s">
        <v>49</v>
      </c>
      <c r="C46" t="s">
        <v>50</v>
      </c>
      <c r="D46" t="s">
        <v>51</v>
      </c>
      <c r="E46" t="s">
        <v>52</v>
      </c>
    </row>
    <row r="47" spans="1:5" x14ac:dyDescent="0.35">
      <c r="A47" t="s">
        <v>41</v>
      </c>
      <c r="B47">
        <v>0.34</v>
      </c>
      <c r="C47">
        <v>0.35</v>
      </c>
      <c r="D47">
        <v>0.42</v>
      </c>
      <c r="E47">
        <v>0.42</v>
      </c>
    </row>
    <row r="48" spans="1:5" x14ac:dyDescent="0.35">
      <c r="A48" t="s">
        <v>43</v>
      </c>
      <c r="B48">
        <v>0.32</v>
      </c>
      <c r="C48">
        <v>0.49</v>
      </c>
      <c r="D48">
        <v>0.33</v>
      </c>
      <c r="E48">
        <v>0.33</v>
      </c>
    </row>
  </sheetData>
  <sortState xmlns:xlrd2="http://schemas.microsoft.com/office/spreadsheetml/2017/richdata2" ref="A47:D48">
    <sortCondition ref="A47:A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612D-AD78-48FE-A333-782B58081A8B}">
  <dimension ref="A1"/>
  <sheetViews>
    <sheetView workbookViewId="0">
      <selection activeCell="D9" sqref="D9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3D6-A4DF-43B9-A1DB-470FD57D3379}">
  <dimension ref="A1:O911"/>
  <sheetViews>
    <sheetView topLeftCell="G1" workbookViewId="0">
      <pane ySplit="1" topLeftCell="A2" activePane="bottomLeft" state="frozen"/>
      <selection pane="bottomLeft" activeCell="M33" sqref="M33"/>
    </sheetView>
  </sheetViews>
  <sheetFormatPr defaultRowHeight="14.5" x14ac:dyDescent="0.35"/>
  <cols>
    <col min="1" max="1" width="12.1796875" bestFit="1" customWidth="1"/>
    <col min="2" max="2" width="10.7265625" bestFit="1" customWidth="1"/>
    <col min="3" max="3" width="21.1796875" bestFit="1" customWidth="1"/>
    <col min="4" max="4" width="4.7265625" bestFit="1" customWidth="1"/>
    <col min="5" max="5" width="18.7265625" bestFit="1" customWidth="1"/>
    <col min="6" max="6" width="24.81640625" bestFit="1" customWidth="1"/>
    <col min="7" max="7" width="12.1796875" bestFit="1" customWidth="1"/>
    <col min="8" max="8" width="10.7265625" bestFit="1" customWidth="1"/>
    <col min="10" max="10" width="19.453125" bestFit="1" customWidth="1"/>
    <col min="11" max="11" width="19.453125" customWidth="1"/>
    <col min="12" max="12" width="23.26953125" bestFit="1" customWidth="1"/>
    <col min="13" max="13" width="23.26953125" customWidth="1"/>
    <col min="14" max="14" width="28.54296875" bestFit="1" customWidth="1"/>
    <col min="15" max="15" width="25.26953125" style="21" customWidth="1"/>
  </cols>
  <sheetData>
    <row r="1" spans="1:15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53</v>
      </c>
      <c r="H1" t="s">
        <v>54</v>
      </c>
      <c r="I1" t="s">
        <v>56</v>
      </c>
      <c r="J1" t="s">
        <v>59</v>
      </c>
      <c r="K1" t="s">
        <v>23</v>
      </c>
      <c r="L1" s="16" t="s">
        <v>60</v>
      </c>
      <c r="M1" s="16" t="s">
        <v>61</v>
      </c>
      <c r="N1" s="16" t="s">
        <v>62</v>
      </c>
      <c r="O1" s="20" t="s">
        <v>63</v>
      </c>
    </row>
    <row r="2" spans="1:15" x14ac:dyDescent="0.35">
      <c r="A2" t="s">
        <v>64</v>
      </c>
      <c r="B2">
        <v>4</v>
      </c>
      <c r="C2" t="s">
        <v>65</v>
      </c>
      <c r="D2">
        <v>0</v>
      </c>
      <c r="E2">
        <v>0</v>
      </c>
      <c r="F2">
        <v>0</v>
      </c>
      <c r="G2" t="s">
        <v>64</v>
      </c>
      <c r="H2">
        <v>4</v>
      </c>
      <c r="I2">
        <v>0</v>
      </c>
      <c r="J2">
        <v>0</v>
      </c>
      <c r="K2" t="b">
        <f t="shared" ref="K2:K65" si="0">H2=B2</f>
        <v>1</v>
      </c>
      <c r="L2">
        <f t="shared" ref="L2:L65" si="1">E2+F2+J2</f>
        <v>0</v>
      </c>
      <c r="M2">
        <f t="shared" ref="M2:M65" si="2">L2*2</f>
        <v>0</v>
      </c>
      <c r="N2">
        <f t="shared" ref="N2:N65" si="3">M2/(1-0.598)</f>
        <v>0</v>
      </c>
      <c r="O2" s="21">
        <f t="shared" ref="O2:O65" si="4">M2/0.42</f>
        <v>0</v>
      </c>
    </row>
    <row r="3" spans="1:15" x14ac:dyDescent="0.35">
      <c r="A3" t="s">
        <v>64</v>
      </c>
      <c r="B3">
        <v>4</v>
      </c>
      <c r="C3" t="s">
        <v>65</v>
      </c>
      <c r="D3">
        <v>1</v>
      </c>
      <c r="E3">
        <v>2.2188968206076302E-3</v>
      </c>
      <c r="F3" s="15">
        <v>8.8107072584362008E-6</v>
      </c>
      <c r="G3" t="s">
        <v>64</v>
      </c>
      <c r="H3">
        <v>4</v>
      </c>
      <c r="I3">
        <v>1</v>
      </c>
      <c r="J3" s="15">
        <v>2.9991748732464098E-5</v>
      </c>
      <c r="K3" t="b">
        <f t="shared" si="0"/>
        <v>1</v>
      </c>
      <c r="L3">
        <f t="shared" si="1"/>
        <v>2.2576992765985303E-3</v>
      </c>
      <c r="M3">
        <f t="shared" si="2"/>
        <v>4.5153985531970605E-3</v>
      </c>
      <c r="N3">
        <f t="shared" si="3"/>
        <v>1.1232334709445424E-2</v>
      </c>
      <c r="O3" s="21">
        <f t="shared" si="4"/>
        <v>1.0750948936183478E-2</v>
      </c>
    </row>
    <row r="4" spans="1:15" x14ac:dyDescent="0.35">
      <c r="A4" t="s">
        <v>64</v>
      </c>
      <c r="B4">
        <v>4</v>
      </c>
      <c r="C4" t="s">
        <v>65</v>
      </c>
      <c r="D4">
        <v>2</v>
      </c>
      <c r="E4">
        <v>4.9925178463671796E-3</v>
      </c>
      <c r="F4" s="15">
        <v>2.8370477372164599E-5</v>
      </c>
      <c r="G4" t="s">
        <v>64</v>
      </c>
      <c r="H4">
        <v>4</v>
      </c>
      <c r="I4">
        <v>2</v>
      </c>
      <c r="J4" s="15">
        <v>8.6752740596321396E-5</v>
      </c>
      <c r="K4" t="b">
        <f t="shared" si="0"/>
        <v>1</v>
      </c>
      <c r="L4">
        <f t="shared" si="1"/>
        <v>5.1076410643356657E-3</v>
      </c>
      <c r="M4">
        <f t="shared" si="2"/>
        <v>1.0215282128671331E-2</v>
      </c>
      <c r="N4">
        <f t="shared" si="3"/>
        <v>2.5411149573809282E-2</v>
      </c>
      <c r="O4" s="21">
        <f t="shared" si="4"/>
        <v>2.4322100306360315E-2</v>
      </c>
    </row>
    <row r="5" spans="1:15" x14ac:dyDescent="0.35">
      <c r="A5" t="s">
        <v>64</v>
      </c>
      <c r="B5">
        <v>4</v>
      </c>
      <c r="C5" t="s">
        <v>65</v>
      </c>
      <c r="D5">
        <v>3</v>
      </c>
      <c r="E5">
        <v>8.4595441285666394E-3</v>
      </c>
      <c r="F5" s="15">
        <v>6.1110184473787594E-5</v>
      </c>
      <c r="G5" t="s">
        <v>64</v>
      </c>
      <c r="H5">
        <v>4</v>
      </c>
      <c r="I5">
        <v>3</v>
      </c>
      <c r="J5" s="15">
        <v>1.7039321367417001E-4</v>
      </c>
      <c r="K5" t="b">
        <f t="shared" si="0"/>
        <v>1</v>
      </c>
      <c r="L5">
        <f t="shared" si="1"/>
        <v>8.6910475267145976E-3</v>
      </c>
      <c r="M5">
        <f t="shared" si="2"/>
        <v>1.7382095053429195E-2</v>
      </c>
      <c r="N5">
        <f t="shared" si="3"/>
        <v>4.3239042421465659E-2</v>
      </c>
      <c r="O5" s="21">
        <f t="shared" si="4"/>
        <v>4.1385940603402845E-2</v>
      </c>
    </row>
    <row r="6" spans="1:15" x14ac:dyDescent="0.35">
      <c r="A6" t="s">
        <v>64</v>
      </c>
      <c r="B6">
        <v>4</v>
      </c>
      <c r="C6" t="s">
        <v>65</v>
      </c>
      <c r="D6">
        <v>4</v>
      </c>
      <c r="E6">
        <v>1.2793326981315901E-2</v>
      </c>
      <c r="F6" s="15">
        <v>1.1007611297649E-4</v>
      </c>
      <c r="G6" t="s">
        <v>64</v>
      </c>
      <c r="H6">
        <v>4</v>
      </c>
      <c r="I6">
        <v>4</v>
      </c>
      <c r="J6" s="15">
        <v>2.8351039631975002E-4</v>
      </c>
      <c r="K6" t="b">
        <f t="shared" si="0"/>
        <v>1</v>
      </c>
      <c r="L6">
        <f t="shared" si="1"/>
        <v>1.3186913490612141E-2</v>
      </c>
      <c r="M6">
        <f t="shared" si="2"/>
        <v>2.6373826981224282E-2</v>
      </c>
      <c r="N6">
        <f t="shared" si="3"/>
        <v>6.560653477916488E-2</v>
      </c>
      <c r="O6" s="21">
        <f t="shared" si="4"/>
        <v>6.2794826145772101E-2</v>
      </c>
    </row>
    <row r="7" spans="1:15" x14ac:dyDescent="0.35">
      <c r="A7" t="s">
        <v>64</v>
      </c>
      <c r="B7">
        <v>4</v>
      </c>
      <c r="C7" t="s">
        <v>65</v>
      </c>
      <c r="D7">
        <v>5</v>
      </c>
      <c r="E7">
        <v>1.82105555472525E-2</v>
      </c>
      <c r="F7" s="15">
        <v>1.7908357939177999E-4</v>
      </c>
      <c r="G7" t="s">
        <v>64</v>
      </c>
      <c r="H7">
        <v>4</v>
      </c>
      <c r="I7">
        <v>5</v>
      </c>
      <c r="J7" s="15">
        <v>4.3083249737985998E-4</v>
      </c>
      <c r="K7" t="b">
        <f t="shared" si="0"/>
        <v>1</v>
      </c>
      <c r="L7">
        <f t="shared" si="1"/>
        <v>1.882047162402414E-2</v>
      </c>
      <c r="M7">
        <f t="shared" si="2"/>
        <v>3.7640943248048279E-2</v>
      </c>
      <c r="N7">
        <f t="shared" si="3"/>
        <v>9.3634187184199691E-2</v>
      </c>
      <c r="O7" s="21">
        <f t="shared" si="4"/>
        <v>8.9621293447734007E-2</v>
      </c>
    </row>
    <row r="8" spans="1:15" x14ac:dyDescent="0.35">
      <c r="A8" t="s">
        <v>64</v>
      </c>
      <c r="B8">
        <v>4</v>
      </c>
      <c r="C8" t="s">
        <v>65</v>
      </c>
      <c r="D8">
        <v>6</v>
      </c>
      <c r="E8">
        <v>2.4982091254673398E-2</v>
      </c>
      <c r="F8" s="15">
        <v>2.7290896652420001E-4</v>
      </c>
      <c r="G8" t="s">
        <v>64</v>
      </c>
      <c r="H8">
        <v>4</v>
      </c>
      <c r="I8">
        <v>6</v>
      </c>
      <c r="J8" s="15">
        <v>6.1917734758798004E-4</v>
      </c>
      <c r="K8" t="b">
        <f t="shared" si="0"/>
        <v>1</v>
      </c>
      <c r="L8">
        <f t="shared" si="1"/>
        <v>2.5874177568785579E-2</v>
      </c>
      <c r="M8">
        <f t="shared" si="2"/>
        <v>5.1748355137571159E-2</v>
      </c>
      <c r="N8">
        <f t="shared" si="3"/>
        <v>0.1287272515859979</v>
      </c>
      <c r="O8" s="21">
        <f t="shared" si="4"/>
        <v>0.12321036937516942</v>
      </c>
    </row>
    <row r="9" spans="1:15" x14ac:dyDescent="0.35">
      <c r="A9" t="s">
        <v>64</v>
      </c>
      <c r="B9">
        <v>4</v>
      </c>
      <c r="C9" t="s">
        <v>65</v>
      </c>
      <c r="D9">
        <v>7</v>
      </c>
      <c r="E9">
        <v>3.3446510888949302E-2</v>
      </c>
      <c r="F9" s="15">
        <v>3.9752977292961997E-4</v>
      </c>
      <c r="G9" t="s">
        <v>64</v>
      </c>
      <c r="H9">
        <v>4</v>
      </c>
      <c r="I9">
        <v>7</v>
      </c>
      <c r="J9" s="15">
        <v>8.5763414194592997E-4</v>
      </c>
      <c r="K9" t="b">
        <f t="shared" si="0"/>
        <v>1</v>
      </c>
      <c r="L9">
        <f t="shared" si="1"/>
        <v>3.4701674803824849E-2</v>
      </c>
      <c r="M9">
        <f t="shared" si="2"/>
        <v>6.9403349607649698E-2</v>
      </c>
      <c r="N9">
        <f t="shared" si="3"/>
        <v>0.17264514827773556</v>
      </c>
      <c r="O9" s="21">
        <f t="shared" si="4"/>
        <v>0.16524607049440404</v>
      </c>
    </row>
    <row r="10" spans="1:15" x14ac:dyDescent="0.35">
      <c r="A10" t="s">
        <v>64</v>
      </c>
      <c r="B10">
        <v>4</v>
      </c>
      <c r="C10" t="s">
        <v>65</v>
      </c>
      <c r="D10">
        <v>8</v>
      </c>
      <c r="E10">
        <v>4.4027035431794301E-2</v>
      </c>
      <c r="F10" s="15">
        <v>5.6042468125161004E-4</v>
      </c>
      <c r="G10" t="s">
        <v>64</v>
      </c>
      <c r="H10">
        <v>4</v>
      </c>
      <c r="I10">
        <v>8</v>
      </c>
      <c r="J10">
        <v>1.15792644236583E-3</v>
      </c>
      <c r="K10" t="b">
        <f t="shared" si="0"/>
        <v>1</v>
      </c>
      <c r="L10">
        <f t="shared" si="1"/>
        <v>4.5745386555411736E-2</v>
      </c>
      <c r="M10">
        <f t="shared" si="2"/>
        <v>9.1490773110823473E-2</v>
      </c>
      <c r="N10">
        <f t="shared" si="3"/>
        <v>0.22758898783786932</v>
      </c>
      <c r="O10" s="21">
        <f t="shared" si="4"/>
        <v>0.21783517407338923</v>
      </c>
    </row>
    <row r="11" spans="1:15" x14ac:dyDescent="0.35">
      <c r="A11" t="s">
        <v>64</v>
      </c>
      <c r="B11">
        <v>4</v>
      </c>
      <c r="C11" t="s">
        <v>65</v>
      </c>
      <c r="D11">
        <v>9</v>
      </c>
      <c r="E11">
        <v>5.7252691110350501E-2</v>
      </c>
      <c r="F11" s="15">
        <v>7.7094864995984E-4</v>
      </c>
      <c r="G11" t="s">
        <v>64</v>
      </c>
      <c r="H11">
        <v>4</v>
      </c>
      <c r="I11">
        <v>9</v>
      </c>
      <c r="J11">
        <v>1.53494558849959E-3</v>
      </c>
      <c r="K11" t="b">
        <f t="shared" si="0"/>
        <v>1</v>
      </c>
      <c r="L11">
        <f t="shared" si="1"/>
        <v>5.9558585348809936E-2</v>
      </c>
      <c r="M11">
        <f t="shared" si="2"/>
        <v>0.11911717069761987</v>
      </c>
      <c r="N11">
        <f t="shared" si="3"/>
        <v>0.29631136989457679</v>
      </c>
      <c r="O11" s="21">
        <f t="shared" si="4"/>
        <v>0.28361231118480923</v>
      </c>
    </row>
    <row r="12" spans="1:15" x14ac:dyDescent="0.35">
      <c r="A12" t="s">
        <v>64</v>
      </c>
      <c r="B12">
        <v>4</v>
      </c>
      <c r="C12" t="s">
        <v>65</v>
      </c>
      <c r="D12">
        <v>10</v>
      </c>
      <c r="E12">
        <v>7.3784760708545699E-2</v>
      </c>
      <c r="F12">
        <v>1.04080178415171E-3</v>
      </c>
      <c r="G12" t="s">
        <v>64</v>
      </c>
      <c r="H12">
        <v>4</v>
      </c>
      <c r="I12">
        <v>10</v>
      </c>
      <c r="J12">
        <v>2.0074646578512201E-3</v>
      </c>
      <c r="K12" t="b">
        <f t="shared" si="0"/>
        <v>1</v>
      </c>
      <c r="L12">
        <f t="shared" si="1"/>
        <v>7.6833027150548627E-2</v>
      </c>
      <c r="M12">
        <f t="shared" si="2"/>
        <v>0.15366605430109725</v>
      </c>
      <c r="N12">
        <f t="shared" si="3"/>
        <v>0.38225386642063991</v>
      </c>
      <c r="O12" s="21">
        <f t="shared" si="4"/>
        <v>0.36587155785975539</v>
      </c>
    </row>
    <row r="13" spans="1:15" x14ac:dyDescent="0.35">
      <c r="A13" t="s">
        <v>64</v>
      </c>
      <c r="B13">
        <v>4</v>
      </c>
      <c r="C13" t="s">
        <v>65</v>
      </c>
      <c r="D13">
        <v>11</v>
      </c>
      <c r="E13">
        <v>9.4449847706289794E-2</v>
      </c>
      <c r="F13">
        <v>1.38461542999892E-3</v>
      </c>
      <c r="G13" t="s">
        <v>64</v>
      </c>
      <c r="H13">
        <v>4</v>
      </c>
      <c r="I13">
        <v>11</v>
      </c>
      <c r="J13">
        <v>2.59905924201343E-3</v>
      </c>
      <c r="K13" t="b">
        <f t="shared" si="0"/>
        <v>1</v>
      </c>
      <c r="L13">
        <f t="shared" si="1"/>
        <v>9.8433522378302135E-2</v>
      </c>
      <c r="M13">
        <f t="shared" si="2"/>
        <v>0.19686704475660427</v>
      </c>
      <c r="N13">
        <f t="shared" si="3"/>
        <v>0.48971901680747326</v>
      </c>
      <c r="O13" s="21">
        <f t="shared" si="4"/>
        <v>0.4687310589442959</v>
      </c>
    </row>
    <row r="14" spans="1:15" x14ac:dyDescent="0.35">
      <c r="A14" t="s">
        <v>64</v>
      </c>
      <c r="B14">
        <v>4</v>
      </c>
      <c r="C14" t="s">
        <v>65</v>
      </c>
      <c r="D14">
        <v>12</v>
      </c>
      <c r="E14">
        <v>0.12028120645347</v>
      </c>
      <c r="F14">
        <v>1.8206847985720799E-3</v>
      </c>
      <c r="G14" t="s">
        <v>64</v>
      </c>
      <c r="H14">
        <v>4</v>
      </c>
      <c r="I14">
        <v>12</v>
      </c>
      <c r="J14">
        <v>3.3392756886299101E-3</v>
      </c>
      <c r="K14" t="b">
        <f t="shared" si="0"/>
        <v>1</v>
      </c>
      <c r="L14">
        <f t="shared" si="1"/>
        <v>0.12544116694067201</v>
      </c>
      <c r="M14">
        <f t="shared" si="2"/>
        <v>0.25088233388134401</v>
      </c>
      <c r="N14">
        <f t="shared" si="3"/>
        <v>0.62408540766503484</v>
      </c>
      <c r="O14" s="21">
        <f t="shared" si="4"/>
        <v>0.59733889019367625</v>
      </c>
    </row>
    <row r="15" spans="1:15" x14ac:dyDescent="0.35">
      <c r="A15" t="s">
        <v>64</v>
      </c>
      <c r="B15">
        <v>4</v>
      </c>
      <c r="C15" t="s">
        <v>65</v>
      </c>
      <c r="D15">
        <v>13</v>
      </c>
      <c r="E15">
        <v>0.152570404887445</v>
      </c>
      <c r="F15">
        <v>2.3718847512147799E-3</v>
      </c>
      <c r="G15" t="s">
        <v>64</v>
      </c>
      <c r="H15">
        <v>4</v>
      </c>
      <c r="I15">
        <v>13</v>
      </c>
      <c r="J15">
        <v>4.2651021353571801E-3</v>
      </c>
      <c r="K15" t="b">
        <f t="shared" si="0"/>
        <v>1</v>
      </c>
      <c r="L15">
        <f t="shared" si="1"/>
        <v>0.15920739177401697</v>
      </c>
      <c r="M15">
        <f t="shared" si="2"/>
        <v>0.31841478354803393</v>
      </c>
      <c r="N15">
        <f t="shared" si="3"/>
        <v>0.79207657599013415</v>
      </c>
      <c r="O15" s="21">
        <f t="shared" si="4"/>
        <v>0.75813043701912841</v>
      </c>
    </row>
    <row r="16" spans="1:15" x14ac:dyDescent="0.35">
      <c r="A16" t="s">
        <v>64</v>
      </c>
      <c r="B16">
        <v>4</v>
      </c>
      <c r="C16" t="s">
        <v>65</v>
      </c>
      <c r="D16">
        <v>14</v>
      </c>
      <c r="E16">
        <v>0.192931902929914</v>
      </c>
      <c r="F16">
        <v>3.0668145366865899E-3</v>
      </c>
      <c r="G16" t="s">
        <v>64</v>
      </c>
      <c r="H16">
        <v>4</v>
      </c>
      <c r="I16">
        <v>14</v>
      </c>
      <c r="J16">
        <v>5.4228141157258497E-3</v>
      </c>
      <c r="K16" t="b">
        <f t="shared" si="0"/>
        <v>1</v>
      </c>
      <c r="L16">
        <f t="shared" si="1"/>
        <v>0.20142153158232642</v>
      </c>
      <c r="M16">
        <f t="shared" si="2"/>
        <v>0.40284306316465285</v>
      </c>
      <c r="N16">
        <f t="shared" si="3"/>
        <v>1.0020971720513752</v>
      </c>
      <c r="O16" s="21">
        <f t="shared" si="4"/>
        <v>0.95915015039203066</v>
      </c>
    </row>
    <row r="17" spans="1:15" x14ac:dyDescent="0.35">
      <c r="A17" t="s">
        <v>64</v>
      </c>
      <c r="B17">
        <v>4</v>
      </c>
      <c r="C17" t="s">
        <v>65</v>
      </c>
      <c r="D17">
        <v>15</v>
      </c>
      <c r="E17">
        <v>0.243383775482999</v>
      </c>
      <c r="F17">
        <v>3.9412287178547502E-3</v>
      </c>
      <c r="G17" t="s">
        <v>64</v>
      </c>
      <c r="H17">
        <v>4</v>
      </c>
      <c r="I17">
        <v>15</v>
      </c>
      <c r="J17">
        <v>6.8702859960980203E-3</v>
      </c>
      <c r="K17" t="b">
        <f t="shared" si="0"/>
        <v>1</v>
      </c>
      <c r="L17">
        <f t="shared" si="1"/>
        <v>0.25419529019695175</v>
      </c>
      <c r="M17">
        <f t="shared" si="2"/>
        <v>0.5083905803939035</v>
      </c>
      <c r="N17">
        <f t="shared" si="3"/>
        <v>1.2646531850594613</v>
      </c>
      <c r="O17" s="21">
        <f t="shared" si="4"/>
        <v>1.2104537628426275</v>
      </c>
    </row>
    <row r="18" spans="1:15" x14ac:dyDescent="0.35">
      <c r="A18" t="s">
        <v>64</v>
      </c>
      <c r="B18">
        <v>4</v>
      </c>
      <c r="C18" t="s">
        <v>65</v>
      </c>
      <c r="D18">
        <v>16</v>
      </c>
      <c r="E18">
        <v>0.30644861617435798</v>
      </c>
      <c r="F18">
        <v>5.03982583516349E-3</v>
      </c>
      <c r="G18" t="s">
        <v>64</v>
      </c>
      <c r="H18">
        <v>4</v>
      </c>
      <c r="I18">
        <v>16</v>
      </c>
      <c r="J18">
        <v>8.6798832241916993E-3</v>
      </c>
      <c r="K18" t="b">
        <f t="shared" si="0"/>
        <v>1</v>
      </c>
      <c r="L18">
        <f t="shared" si="1"/>
        <v>0.32016832523371319</v>
      </c>
      <c r="M18">
        <f t="shared" si="2"/>
        <v>0.64033665046742638</v>
      </c>
      <c r="N18">
        <f t="shared" si="3"/>
        <v>1.5928772399687223</v>
      </c>
      <c r="O18" s="21">
        <f t="shared" si="4"/>
        <v>1.5246110725414914</v>
      </c>
    </row>
    <row r="19" spans="1:15" x14ac:dyDescent="0.35">
      <c r="A19" t="s">
        <v>64</v>
      </c>
      <c r="B19">
        <v>4</v>
      </c>
      <c r="C19" t="s">
        <v>65</v>
      </c>
      <c r="D19">
        <v>17</v>
      </c>
      <c r="E19">
        <v>0.38527966703855498</v>
      </c>
      <c r="F19">
        <v>6.4184842409224898E-3</v>
      </c>
      <c r="G19" t="s">
        <v>64</v>
      </c>
      <c r="H19">
        <v>4</v>
      </c>
      <c r="I19">
        <v>17</v>
      </c>
      <c r="J19">
        <v>1.09420796568551E-2</v>
      </c>
      <c r="K19" t="b">
        <f t="shared" si="0"/>
        <v>1</v>
      </c>
      <c r="L19">
        <f t="shared" si="1"/>
        <v>0.40264023093633261</v>
      </c>
      <c r="M19">
        <f t="shared" si="2"/>
        <v>0.80528046187266522</v>
      </c>
      <c r="N19">
        <f t="shared" si="3"/>
        <v>2.003185228538968</v>
      </c>
      <c r="O19" s="21">
        <f t="shared" si="4"/>
        <v>1.9173344330301554</v>
      </c>
    </row>
    <row r="20" spans="1:15" x14ac:dyDescent="0.35">
      <c r="A20" t="s">
        <v>64</v>
      </c>
      <c r="B20">
        <v>4</v>
      </c>
      <c r="C20" t="s">
        <v>65</v>
      </c>
      <c r="D20">
        <v>18</v>
      </c>
      <c r="E20">
        <v>0.48381848061880101</v>
      </c>
      <c r="F20">
        <v>8.1470568969706503E-3</v>
      </c>
      <c r="G20" t="s">
        <v>64</v>
      </c>
      <c r="H20">
        <v>4</v>
      </c>
      <c r="I20">
        <v>18</v>
      </c>
      <c r="J20">
        <v>1.3769980630796199E-2</v>
      </c>
      <c r="K20" t="b">
        <f t="shared" si="0"/>
        <v>1</v>
      </c>
      <c r="L20">
        <f t="shared" si="1"/>
        <v>0.50573551814656781</v>
      </c>
      <c r="M20">
        <f t="shared" si="2"/>
        <v>1.0114710362931356</v>
      </c>
      <c r="N20">
        <f t="shared" si="3"/>
        <v>2.5160971052068049</v>
      </c>
      <c r="O20" s="21">
        <f t="shared" si="4"/>
        <v>2.4082643721265136</v>
      </c>
    </row>
    <row r="21" spans="1:15" x14ac:dyDescent="0.35">
      <c r="A21" t="s">
        <v>64</v>
      </c>
      <c r="B21">
        <v>4</v>
      </c>
      <c r="C21" t="s">
        <v>65</v>
      </c>
      <c r="D21">
        <v>19</v>
      </c>
      <c r="E21">
        <v>0.60699199759410905</v>
      </c>
      <c r="F21">
        <v>1.0312864876414699E-2</v>
      </c>
      <c r="G21" t="s">
        <v>64</v>
      </c>
      <c r="H21">
        <v>4</v>
      </c>
      <c r="I21">
        <v>19</v>
      </c>
      <c r="J21">
        <v>1.7304977809337201E-2</v>
      </c>
      <c r="K21" t="b">
        <f t="shared" si="0"/>
        <v>1</v>
      </c>
      <c r="L21">
        <f t="shared" si="1"/>
        <v>0.63460984027986089</v>
      </c>
      <c r="M21">
        <f t="shared" si="2"/>
        <v>1.2692196805597218</v>
      </c>
      <c r="N21">
        <f t="shared" si="3"/>
        <v>3.1572628869644817</v>
      </c>
      <c r="O21" s="21">
        <f t="shared" si="4"/>
        <v>3.0219516203802899</v>
      </c>
    </row>
    <row r="22" spans="1:15" x14ac:dyDescent="0.35">
      <c r="A22" t="s">
        <v>64</v>
      </c>
      <c r="B22">
        <v>4</v>
      </c>
      <c r="C22" t="s">
        <v>65</v>
      </c>
      <c r="D22">
        <v>20</v>
      </c>
      <c r="E22">
        <v>0.760958893813244</v>
      </c>
      <c r="F22">
        <v>1.30250642453223E-2</v>
      </c>
      <c r="G22" t="s">
        <v>64</v>
      </c>
      <c r="H22">
        <v>4</v>
      </c>
      <c r="I22">
        <v>20</v>
      </c>
      <c r="J22">
        <v>2.1723818474946699E-2</v>
      </c>
      <c r="K22" t="b">
        <f t="shared" si="0"/>
        <v>1</v>
      </c>
      <c r="L22">
        <f t="shared" si="1"/>
        <v>0.79570777653351299</v>
      </c>
      <c r="M22">
        <f t="shared" si="2"/>
        <v>1.591415553067026</v>
      </c>
      <c r="N22">
        <f t="shared" si="3"/>
        <v>3.9587451568831491</v>
      </c>
      <c r="O22" s="21">
        <f t="shared" si="4"/>
        <v>3.7890846501595856</v>
      </c>
    </row>
    <row r="23" spans="1:15" x14ac:dyDescent="0.35">
      <c r="A23" t="s">
        <v>64</v>
      </c>
      <c r="B23">
        <v>4</v>
      </c>
      <c r="C23" t="s">
        <v>65</v>
      </c>
      <c r="D23">
        <v>21</v>
      </c>
      <c r="E23">
        <v>0.95341751408716302</v>
      </c>
      <c r="F23">
        <v>1.6420104669220999E-2</v>
      </c>
      <c r="G23" t="s">
        <v>64</v>
      </c>
      <c r="H23">
        <v>4</v>
      </c>
      <c r="I23">
        <v>21</v>
      </c>
      <c r="J23">
        <v>2.7247442687710299E-2</v>
      </c>
      <c r="K23" t="b">
        <f t="shared" si="0"/>
        <v>1</v>
      </c>
      <c r="L23">
        <f t="shared" si="1"/>
        <v>0.99708506144409426</v>
      </c>
      <c r="M23">
        <f t="shared" si="2"/>
        <v>1.9941701228881885</v>
      </c>
      <c r="N23">
        <f t="shared" si="3"/>
        <v>4.9606221962392745</v>
      </c>
      <c r="O23" s="21">
        <f t="shared" si="4"/>
        <v>4.7480241021147345</v>
      </c>
    </row>
    <row r="24" spans="1:15" x14ac:dyDescent="0.35">
      <c r="A24" t="s">
        <v>64</v>
      </c>
      <c r="B24">
        <v>4</v>
      </c>
      <c r="C24" t="s">
        <v>65</v>
      </c>
      <c r="D24">
        <v>22</v>
      </c>
      <c r="E24">
        <v>1.1939907894295601</v>
      </c>
      <c r="F24">
        <v>2.06685526754758E-2</v>
      </c>
      <c r="G24" t="s">
        <v>64</v>
      </c>
      <c r="H24">
        <v>4</v>
      </c>
      <c r="I24">
        <v>22</v>
      </c>
      <c r="J24">
        <v>3.41520301398823E-2</v>
      </c>
      <c r="K24" t="b">
        <f t="shared" si="0"/>
        <v>1</v>
      </c>
      <c r="L24">
        <f t="shared" si="1"/>
        <v>1.2488113722449181</v>
      </c>
      <c r="M24">
        <f t="shared" si="2"/>
        <v>2.4976227444898362</v>
      </c>
      <c r="N24">
        <f t="shared" si="3"/>
        <v>6.21299190171601</v>
      </c>
      <c r="O24" s="21">
        <f t="shared" si="4"/>
        <v>5.9467208202138959</v>
      </c>
    </row>
    <row r="25" spans="1:15" x14ac:dyDescent="0.35">
      <c r="A25" t="s">
        <v>64</v>
      </c>
      <c r="B25">
        <v>4</v>
      </c>
      <c r="C25" t="s">
        <v>65</v>
      </c>
      <c r="D25">
        <v>23</v>
      </c>
      <c r="E25">
        <v>1.4947073836075599</v>
      </c>
      <c r="F25">
        <v>2.59836207353842E-2</v>
      </c>
      <c r="G25" t="s">
        <v>64</v>
      </c>
      <c r="H25">
        <v>4</v>
      </c>
      <c r="I25">
        <v>23</v>
      </c>
      <c r="J25">
        <v>4.2782809031498399E-2</v>
      </c>
      <c r="K25" t="b">
        <f t="shared" si="0"/>
        <v>1</v>
      </c>
      <c r="L25">
        <f t="shared" si="1"/>
        <v>1.5634738133744426</v>
      </c>
      <c r="M25">
        <f t="shared" si="2"/>
        <v>3.1269476267488852</v>
      </c>
      <c r="N25">
        <f t="shared" si="3"/>
        <v>7.7784766834549375</v>
      </c>
      <c r="O25" s="21">
        <f t="shared" si="4"/>
        <v>7.4451133970211556</v>
      </c>
    </row>
    <row r="26" spans="1:15" x14ac:dyDescent="0.35">
      <c r="A26" t="s">
        <v>64</v>
      </c>
      <c r="B26">
        <v>4</v>
      </c>
      <c r="C26" t="s">
        <v>65</v>
      </c>
      <c r="D26">
        <v>24</v>
      </c>
      <c r="E26">
        <v>1.87060312633005</v>
      </c>
      <c r="F26">
        <v>3.2631828620796999E-2</v>
      </c>
      <c r="G26" t="s">
        <v>64</v>
      </c>
      <c r="H26">
        <v>4</v>
      </c>
      <c r="I26">
        <v>24</v>
      </c>
      <c r="J26">
        <v>5.3571317399218998E-2</v>
      </c>
      <c r="K26" t="b">
        <f t="shared" si="0"/>
        <v>1</v>
      </c>
      <c r="L26">
        <f t="shared" si="1"/>
        <v>1.9568062723500659</v>
      </c>
      <c r="M26">
        <f t="shared" si="2"/>
        <v>3.9136125447001318</v>
      </c>
      <c r="N26">
        <f t="shared" si="3"/>
        <v>9.7353545888062971</v>
      </c>
      <c r="O26" s="21">
        <f t="shared" si="4"/>
        <v>9.3181251064288855</v>
      </c>
    </row>
    <row r="27" spans="1:15" x14ac:dyDescent="0.35">
      <c r="A27" t="s">
        <v>64</v>
      </c>
      <c r="B27">
        <v>4</v>
      </c>
      <c r="C27" t="s">
        <v>65</v>
      </c>
      <c r="D27">
        <v>25</v>
      </c>
      <c r="E27">
        <v>2.34047280473317</v>
      </c>
      <c r="F27">
        <v>4.0946330103774402E-2</v>
      </c>
      <c r="G27" t="s">
        <v>64</v>
      </c>
      <c r="H27">
        <v>4</v>
      </c>
      <c r="I27">
        <v>25</v>
      </c>
      <c r="J27">
        <v>6.7056979957051399E-2</v>
      </c>
      <c r="K27" t="b">
        <f t="shared" si="0"/>
        <v>1</v>
      </c>
      <c r="L27">
        <f t="shared" si="1"/>
        <v>2.448476114793996</v>
      </c>
      <c r="M27">
        <f t="shared" si="2"/>
        <v>4.8969522295879919</v>
      </c>
      <c r="N27">
        <f t="shared" si="3"/>
        <v>12.181473207930328</v>
      </c>
      <c r="O27" s="21">
        <f t="shared" si="4"/>
        <v>11.659410070447601</v>
      </c>
    </row>
    <row r="28" spans="1:15" x14ac:dyDescent="0.35">
      <c r="A28" t="s">
        <v>64</v>
      </c>
      <c r="B28">
        <v>4</v>
      </c>
      <c r="C28" t="s">
        <v>65</v>
      </c>
      <c r="D28">
        <v>26</v>
      </c>
      <c r="E28">
        <v>2.9278099027370801</v>
      </c>
      <c r="F28">
        <v>5.1343571334921297E-2</v>
      </c>
      <c r="G28" t="s">
        <v>64</v>
      </c>
      <c r="H28">
        <v>4</v>
      </c>
      <c r="I28">
        <v>26</v>
      </c>
      <c r="J28">
        <v>8.3914079285630799E-2</v>
      </c>
      <c r="K28" t="b">
        <f t="shared" si="0"/>
        <v>1</v>
      </c>
      <c r="L28">
        <f t="shared" si="1"/>
        <v>3.0630675533576324</v>
      </c>
      <c r="M28">
        <f t="shared" si="2"/>
        <v>6.1261351067152647</v>
      </c>
      <c r="N28">
        <f t="shared" si="3"/>
        <v>15.239142056505633</v>
      </c>
      <c r="O28" s="21">
        <f t="shared" si="4"/>
        <v>14.586035968369679</v>
      </c>
    </row>
    <row r="29" spans="1:15" x14ac:dyDescent="0.35">
      <c r="A29" t="s">
        <v>64</v>
      </c>
      <c r="B29">
        <v>4</v>
      </c>
      <c r="C29" t="s">
        <v>65</v>
      </c>
      <c r="D29">
        <v>27</v>
      </c>
      <c r="E29">
        <v>3.6619812752419598</v>
      </c>
      <c r="F29">
        <v>6.4344113819957305E-2</v>
      </c>
      <c r="G29" t="s">
        <v>64</v>
      </c>
      <c r="H29">
        <v>4</v>
      </c>
      <c r="I29">
        <v>27</v>
      </c>
      <c r="J29">
        <v>0.104985469925753</v>
      </c>
      <c r="K29" t="b">
        <f t="shared" si="0"/>
        <v>1</v>
      </c>
      <c r="L29">
        <f t="shared" si="1"/>
        <v>3.8313108589876701</v>
      </c>
      <c r="M29">
        <f t="shared" si="2"/>
        <v>7.6626217179753402</v>
      </c>
      <c r="N29">
        <f t="shared" si="3"/>
        <v>19.061248054665025</v>
      </c>
      <c r="O29" s="21">
        <f t="shared" si="4"/>
        <v>18.24433742375081</v>
      </c>
    </row>
    <row r="30" spans="1:15" x14ac:dyDescent="0.35">
      <c r="A30" t="s">
        <v>64</v>
      </c>
      <c r="B30">
        <v>4</v>
      </c>
      <c r="C30" t="s">
        <v>65</v>
      </c>
      <c r="D30">
        <v>28</v>
      </c>
      <c r="E30">
        <v>4.5796954908730596</v>
      </c>
      <c r="F30">
        <v>8.0598663143971502E-2</v>
      </c>
      <c r="G30" t="s">
        <v>64</v>
      </c>
      <c r="H30">
        <v>4</v>
      </c>
      <c r="I30">
        <v>28</v>
      </c>
      <c r="J30">
        <v>0.13132472107812601</v>
      </c>
      <c r="K30" t="b">
        <f t="shared" si="0"/>
        <v>1</v>
      </c>
      <c r="L30">
        <f t="shared" si="1"/>
        <v>4.7916188750951578</v>
      </c>
      <c r="M30">
        <f t="shared" si="2"/>
        <v>9.5832377501903157</v>
      </c>
      <c r="N30">
        <f t="shared" si="3"/>
        <v>23.838899876095311</v>
      </c>
      <c r="O30" s="21">
        <f t="shared" si="4"/>
        <v>22.81723273854837</v>
      </c>
    </row>
    <row r="31" spans="1:15" x14ac:dyDescent="0.35">
      <c r="A31" t="s">
        <v>64</v>
      </c>
      <c r="B31">
        <v>4</v>
      </c>
      <c r="C31" t="s">
        <v>65</v>
      </c>
      <c r="D31">
        <v>29</v>
      </c>
      <c r="E31">
        <v>5.7268382604119301</v>
      </c>
      <c r="F31">
        <v>0.100920604880177</v>
      </c>
      <c r="G31" t="s">
        <v>64</v>
      </c>
      <c r="H31">
        <v>4</v>
      </c>
      <c r="I31">
        <v>29</v>
      </c>
      <c r="J31">
        <v>0.16424879504235501</v>
      </c>
      <c r="K31" t="b">
        <f t="shared" si="0"/>
        <v>1</v>
      </c>
      <c r="L31">
        <f t="shared" si="1"/>
        <v>5.9920076603344627</v>
      </c>
      <c r="M31">
        <f t="shared" si="2"/>
        <v>11.984015320668925</v>
      </c>
      <c r="N31">
        <f t="shared" si="3"/>
        <v>29.810983384748567</v>
      </c>
      <c r="O31" s="21">
        <f t="shared" si="4"/>
        <v>28.53336981111649</v>
      </c>
    </row>
    <row r="32" spans="1:15" x14ac:dyDescent="0.35">
      <c r="A32" t="s">
        <v>64</v>
      </c>
      <c r="B32">
        <v>4</v>
      </c>
      <c r="C32" t="s">
        <v>65</v>
      </c>
      <c r="D32">
        <v>30</v>
      </c>
      <c r="E32">
        <v>7.1580599999999901</v>
      </c>
      <c r="F32">
        <v>0.12631592673377201</v>
      </c>
      <c r="G32" t="s">
        <v>64</v>
      </c>
      <c r="H32">
        <v>4</v>
      </c>
      <c r="I32">
        <v>30</v>
      </c>
      <c r="J32">
        <v>0.205367309866753</v>
      </c>
      <c r="K32" t="b">
        <f t="shared" si="0"/>
        <v>1</v>
      </c>
      <c r="L32">
        <f t="shared" si="1"/>
        <v>7.4897432366005159</v>
      </c>
      <c r="M32">
        <f t="shared" si="2"/>
        <v>14.979486473201032</v>
      </c>
      <c r="N32">
        <f t="shared" si="3"/>
        <v>37.262404162191622</v>
      </c>
      <c r="O32" s="21">
        <f t="shared" si="4"/>
        <v>35.665443983811983</v>
      </c>
    </row>
    <row r="33" spans="1:15" x14ac:dyDescent="0.35">
      <c r="A33" t="s">
        <v>64</v>
      </c>
      <c r="B33">
        <v>4</v>
      </c>
      <c r="C33" t="s">
        <v>65</v>
      </c>
      <c r="D33">
        <v>31</v>
      </c>
      <c r="E33">
        <v>8.7141599999999997</v>
      </c>
      <c r="F33">
        <v>0.15712828893175801</v>
      </c>
      <c r="G33" t="s">
        <v>64</v>
      </c>
      <c r="H33">
        <v>4</v>
      </c>
      <c r="I33">
        <v>31</v>
      </c>
      <c r="J33">
        <v>0.25359358809517701</v>
      </c>
      <c r="K33" t="b">
        <f t="shared" si="0"/>
        <v>1</v>
      </c>
      <c r="L33">
        <f t="shared" si="1"/>
        <v>9.1248818770269349</v>
      </c>
      <c r="M33">
        <f t="shared" si="2"/>
        <v>18.24976375405387</v>
      </c>
      <c r="N33">
        <f t="shared" si="3"/>
        <v>45.397422273765841</v>
      </c>
      <c r="O33" s="21">
        <f t="shared" si="4"/>
        <v>43.451818462033025</v>
      </c>
    </row>
    <row r="34" spans="1:15" x14ac:dyDescent="0.35">
      <c r="A34" t="s">
        <v>64</v>
      </c>
      <c r="B34">
        <v>4</v>
      </c>
      <c r="C34" t="s">
        <v>65</v>
      </c>
      <c r="D34">
        <v>32</v>
      </c>
      <c r="E34">
        <v>10.27026</v>
      </c>
      <c r="F34">
        <v>0.193195180263806</v>
      </c>
      <c r="G34" t="s">
        <v>64</v>
      </c>
      <c r="H34">
        <v>4</v>
      </c>
      <c r="I34">
        <v>32</v>
      </c>
      <c r="J34">
        <v>0.30657970787544597</v>
      </c>
      <c r="K34" t="b">
        <f t="shared" si="0"/>
        <v>1</v>
      </c>
      <c r="L34">
        <f t="shared" si="1"/>
        <v>10.770034888139254</v>
      </c>
      <c r="M34">
        <f t="shared" si="2"/>
        <v>21.540069776278507</v>
      </c>
      <c r="N34">
        <f t="shared" si="3"/>
        <v>53.582263125070909</v>
      </c>
      <c r="O34" s="21">
        <f t="shared" si="4"/>
        <v>51.285880419710736</v>
      </c>
    </row>
    <row r="35" spans="1:15" x14ac:dyDescent="0.35">
      <c r="A35" t="s">
        <v>64</v>
      </c>
      <c r="B35">
        <v>4</v>
      </c>
      <c r="C35" t="s">
        <v>65</v>
      </c>
      <c r="D35">
        <v>33</v>
      </c>
      <c r="E35">
        <v>11.826359999999999</v>
      </c>
      <c r="F35">
        <v>0.234358964855891</v>
      </c>
      <c r="G35" t="s">
        <v>64</v>
      </c>
      <c r="H35">
        <v>4</v>
      </c>
      <c r="I35">
        <v>33</v>
      </c>
      <c r="J35">
        <v>0.36283289120958401</v>
      </c>
      <c r="K35" t="b">
        <f t="shared" si="0"/>
        <v>1</v>
      </c>
      <c r="L35">
        <f t="shared" si="1"/>
        <v>12.423551856065474</v>
      </c>
      <c r="M35">
        <f t="shared" si="2"/>
        <v>24.847103712130949</v>
      </c>
      <c r="N35">
        <f t="shared" si="3"/>
        <v>61.808715701818279</v>
      </c>
      <c r="O35" s="21">
        <f t="shared" si="4"/>
        <v>59.159770743168927</v>
      </c>
    </row>
    <row r="36" spans="1:15" x14ac:dyDescent="0.35">
      <c r="A36" t="s">
        <v>64</v>
      </c>
      <c r="B36">
        <v>4</v>
      </c>
      <c r="C36" t="s">
        <v>65</v>
      </c>
      <c r="D36">
        <v>34</v>
      </c>
      <c r="E36">
        <v>13.38246</v>
      </c>
      <c r="F36">
        <v>0.28046673591021498</v>
      </c>
      <c r="G36" t="s">
        <v>64</v>
      </c>
      <c r="H36">
        <v>4</v>
      </c>
      <c r="I36">
        <v>34</v>
      </c>
      <c r="J36">
        <v>0.42138117409599202</v>
      </c>
      <c r="K36" t="b">
        <f t="shared" si="0"/>
        <v>1</v>
      </c>
      <c r="L36">
        <f t="shared" si="1"/>
        <v>14.084307910006206</v>
      </c>
      <c r="M36">
        <f t="shared" si="2"/>
        <v>28.168615820012413</v>
      </c>
      <c r="N36">
        <f t="shared" si="3"/>
        <v>70.071183631871662</v>
      </c>
      <c r="O36" s="21">
        <f t="shared" si="4"/>
        <v>67.068132904791455</v>
      </c>
    </row>
    <row r="37" spans="1:15" x14ac:dyDescent="0.35">
      <c r="A37" t="s">
        <v>64</v>
      </c>
      <c r="B37">
        <v>4</v>
      </c>
      <c r="C37" t="s">
        <v>65</v>
      </c>
      <c r="D37">
        <v>35</v>
      </c>
      <c r="E37">
        <v>14.938560000000001</v>
      </c>
      <c r="F37">
        <v>0.33137017383290801</v>
      </c>
      <c r="G37" t="s">
        <v>64</v>
      </c>
      <c r="H37">
        <v>4</v>
      </c>
      <c r="I37">
        <v>35</v>
      </c>
      <c r="J37">
        <v>0.48157575342966502</v>
      </c>
      <c r="K37" t="b">
        <f t="shared" si="0"/>
        <v>1</v>
      </c>
      <c r="L37">
        <f t="shared" si="1"/>
        <v>15.751505927262574</v>
      </c>
      <c r="M37">
        <f t="shared" si="2"/>
        <v>31.503011854525148</v>
      </c>
      <c r="N37">
        <f t="shared" si="3"/>
        <v>78.365701130659573</v>
      </c>
      <c r="O37" s="21">
        <f t="shared" si="4"/>
        <v>75.007171082202731</v>
      </c>
    </row>
    <row r="38" spans="1:15" x14ac:dyDescent="0.35">
      <c r="A38" t="s">
        <v>64</v>
      </c>
      <c r="B38">
        <v>4</v>
      </c>
      <c r="C38" t="s">
        <v>65</v>
      </c>
      <c r="D38">
        <v>36</v>
      </c>
      <c r="E38">
        <v>16.633512</v>
      </c>
      <c r="F38">
        <v>0.38747675661792103</v>
      </c>
      <c r="G38" t="s">
        <v>64</v>
      </c>
      <c r="H38">
        <v>4</v>
      </c>
      <c r="I38">
        <v>36</v>
      </c>
      <c r="J38">
        <v>0.54484948148753398</v>
      </c>
      <c r="K38" t="b">
        <f t="shared" si="0"/>
        <v>1</v>
      </c>
      <c r="L38">
        <f t="shared" si="1"/>
        <v>17.565838238105457</v>
      </c>
      <c r="M38">
        <f t="shared" si="2"/>
        <v>35.131676476210913</v>
      </c>
      <c r="N38">
        <f t="shared" si="3"/>
        <v>87.392230040325643</v>
      </c>
      <c r="O38" s="21">
        <f t="shared" si="4"/>
        <v>83.64684875288313</v>
      </c>
    </row>
    <row r="39" spans="1:15" x14ac:dyDescent="0.35">
      <c r="A39" t="s">
        <v>64</v>
      </c>
      <c r="B39">
        <v>4</v>
      </c>
      <c r="C39" t="s">
        <v>65</v>
      </c>
      <c r="D39">
        <v>37</v>
      </c>
      <c r="E39">
        <v>18.328464</v>
      </c>
      <c r="F39">
        <v>0.44863038991938298</v>
      </c>
      <c r="G39" t="s">
        <v>64</v>
      </c>
      <c r="H39">
        <v>4</v>
      </c>
      <c r="I39">
        <v>37</v>
      </c>
      <c r="J39">
        <v>0.61022052991370701</v>
      </c>
      <c r="K39" t="b">
        <f t="shared" si="0"/>
        <v>1</v>
      </c>
      <c r="L39">
        <f t="shared" si="1"/>
        <v>19.387314919833091</v>
      </c>
      <c r="M39">
        <f t="shared" si="2"/>
        <v>38.774629839666183</v>
      </c>
      <c r="N39">
        <f t="shared" si="3"/>
        <v>96.454303083746723</v>
      </c>
      <c r="O39" s="21">
        <f t="shared" si="4"/>
        <v>92.320547237300445</v>
      </c>
    </row>
    <row r="40" spans="1:15" x14ac:dyDescent="0.35">
      <c r="A40" t="s">
        <v>64</v>
      </c>
      <c r="B40">
        <v>4</v>
      </c>
      <c r="C40" t="s">
        <v>65</v>
      </c>
      <c r="D40">
        <v>38</v>
      </c>
      <c r="E40">
        <v>20.023416000000001</v>
      </c>
      <c r="F40">
        <v>0.51467966222180195</v>
      </c>
      <c r="G40" t="s">
        <v>64</v>
      </c>
      <c r="H40">
        <v>4</v>
      </c>
      <c r="I40">
        <v>38</v>
      </c>
      <c r="J40">
        <v>0.67705451052193599</v>
      </c>
      <c r="K40" t="b">
        <f t="shared" si="0"/>
        <v>1</v>
      </c>
      <c r="L40">
        <f t="shared" si="1"/>
        <v>21.215150172743741</v>
      </c>
      <c r="M40">
        <f t="shared" si="2"/>
        <v>42.430300345487481</v>
      </c>
      <c r="N40">
        <f t="shared" si="3"/>
        <v>105.54801080967034</v>
      </c>
      <c r="O40" s="21">
        <f t="shared" si="4"/>
        <v>101.02452463211306</v>
      </c>
    </row>
    <row r="41" spans="1:15" x14ac:dyDescent="0.35">
      <c r="A41" t="s">
        <v>64</v>
      </c>
      <c r="B41">
        <v>4</v>
      </c>
      <c r="C41" t="s">
        <v>65</v>
      </c>
      <c r="D41">
        <v>39</v>
      </c>
      <c r="E41">
        <v>21.718367999999899</v>
      </c>
      <c r="F41">
        <v>0.58547770435514801</v>
      </c>
      <c r="G41" t="s">
        <v>64</v>
      </c>
      <c r="H41">
        <v>4</v>
      </c>
      <c r="I41">
        <v>39</v>
      </c>
      <c r="J41">
        <v>0.74493128733344405</v>
      </c>
      <c r="K41" t="b">
        <f t="shared" si="0"/>
        <v>1</v>
      </c>
      <c r="L41">
        <f t="shared" si="1"/>
        <v>23.048776991688491</v>
      </c>
      <c r="M41">
        <f t="shared" si="2"/>
        <v>46.097553983376983</v>
      </c>
      <c r="N41">
        <f t="shared" si="3"/>
        <v>114.67053229695766</v>
      </c>
      <c r="O41" s="21">
        <f t="shared" si="4"/>
        <v>109.75608091280235</v>
      </c>
    </row>
    <row r="42" spans="1:15" x14ac:dyDescent="0.35">
      <c r="A42" t="s">
        <v>64</v>
      </c>
      <c r="B42">
        <v>4</v>
      </c>
      <c r="C42" t="s">
        <v>65</v>
      </c>
      <c r="D42">
        <v>40</v>
      </c>
      <c r="E42">
        <v>23.413319999999999</v>
      </c>
      <c r="F42">
        <v>0.660882053224493</v>
      </c>
      <c r="G42" t="s">
        <v>64</v>
      </c>
      <c r="H42">
        <v>4</v>
      </c>
      <c r="I42">
        <v>40</v>
      </c>
      <c r="J42">
        <v>0.81356559347267998</v>
      </c>
      <c r="K42" t="b">
        <f t="shared" si="0"/>
        <v>1</v>
      </c>
      <c r="L42">
        <f t="shared" si="1"/>
        <v>24.887767646697174</v>
      </c>
      <c r="M42">
        <f t="shared" si="2"/>
        <v>49.775535293394348</v>
      </c>
      <c r="N42">
        <f t="shared" si="3"/>
        <v>123.81973953580683</v>
      </c>
      <c r="O42" s="21">
        <f t="shared" si="4"/>
        <v>118.51317926998655</v>
      </c>
    </row>
    <row r="43" spans="1:15" x14ac:dyDescent="0.35">
      <c r="A43" t="s">
        <v>64</v>
      </c>
      <c r="B43">
        <v>4</v>
      </c>
      <c r="C43" t="s">
        <v>65</v>
      </c>
      <c r="D43">
        <v>41</v>
      </c>
      <c r="E43">
        <v>25.445826</v>
      </c>
      <c r="F43">
        <v>0.74209486562775895</v>
      </c>
      <c r="G43" t="s">
        <v>64</v>
      </c>
      <c r="H43">
        <v>4</v>
      </c>
      <c r="I43">
        <v>41</v>
      </c>
      <c r="J43">
        <v>0.88732158912482295</v>
      </c>
      <c r="K43" t="b">
        <f t="shared" si="0"/>
        <v>1</v>
      </c>
      <c r="L43">
        <f t="shared" si="1"/>
        <v>27.075242454752583</v>
      </c>
      <c r="M43">
        <f t="shared" si="2"/>
        <v>54.150484909505167</v>
      </c>
      <c r="N43">
        <f t="shared" si="3"/>
        <v>134.7026987798636</v>
      </c>
      <c r="O43" s="21">
        <f t="shared" si="4"/>
        <v>128.9297259750123</v>
      </c>
    </row>
    <row r="44" spans="1:15" x14ac:dyDescent="0.35">
      <c r="A44" t="s">
        <v>64</v>
      </c>
      <c r="B44">
        <v>4</v>
      </c>
      <c r="C44" t="s">
        <v>65</v>
      </c>
      <c r="D44">
        <v>42</v>
      </c>
      <c r="E44">
        <v>27.478331999999899</v>
      </c>
      <c r="F44">
        <v>0.82894188765892596</v>
      </c>
      <c r="G44" t="s">
        <v>64</v>
      </c>
      <c r="H44">
        <v>4</v>
      </c>
      <c r="I44">
        <v>42</v>
      </c>
      <c r="J44">
        <v>0.96442736244482596</v>
      </c>
      <c r="K44" t="b">
        <f t="shared" si="0"/>
        <v>1</v>
      </c>
      <c r="L44">
        <f t="shared" si="1"/>
        <v>29.27170125010365</v>
      </c>
      <c r="M44">
        <f t="shared" si="2"/>
        <v>58.5434025002073</v>
      </c>
      <c r="N44">
        <f t="shared" si="3"/>
        <v>145.6303544781276</v>
      </c>
      <c r="O44" s="21">
        <f t="shared" si="4"/>
        <v>139.38905357192215</v>
      </c>
    </row>
    <row r="45" spans="1:15" x14ac:dyDescent="0.35">
      <c r="A45" t="s">
        <v>64</v>
      </c>
      <c r="B45">
        <v>4</v>
      </c>
      <c r="C45" t="s">
        <v>65</v>
      </c>
      <c r="D45">
        <v>43</v>
      </c>
      <c r="E45">
        <v>29.510838</v>
      </c>
      <c r="F45">
        <v>0.92125409302915795</v>
      </c>
      <c r="G45" t="s">
        <v>64</v>
      </c>
      <c r="H45">
        <v>4</v>
      </c>
      <c r="I45">
        <v>43</v>
      </c>
      <c r="J45">
        <v>1.04377937518771</v>
      </c>
      <c r="K45" t="b">
        <f t="shared" si="0"/>
        <v>1</v>
      </c>
      <c r="L45">
        <f t="shared" si="1"/>
        <v>31.475871468216869</v>
      </c>
      <c r="M45">
        <f t="shared" si="2"/>
        <v>62.951742936433739</v>
      </c>
      <c r="N45">
        <f t="shared" si="3"/>
        <v>156.5963754637655</v>
      </c>
      <c r="O45" s="21">
        <f t="shared" si="4"/>
        <v>149.88510222960414</v>
      </c>
    </row>
    <row r="46" spans="1:15" x14ac:dyDescent="0.35">
      <c r="A46" t="s">
        <v>64</v>
      </c>
      <c r="B46">
        <v>4</v>
      </c>
      <c r="C46" t="s">
        <v>65</v>
      </c>
      <c r="D46">
        <v>44</v>
      </c>
      <c r="E46">
        <v>31.543344000000001</v>
      </c>
      <c r="F46">
        <v>1.01886752623828</v>
      </c>
      <c r="G46" t="s">
        <v>64</v>
      </c>
      <c r="H46">
        <v>4</v>
      </c>
      <c r="I46">
        <v>44</v>
      </c>
      <c r="J46">
        <v>1.12467514933162</v>
      </c>
      <c r="K46" t="b">
        <f t="shared" si="0"/>
        <v>1</v>
      </c>
      <c r="L46">
        <f t="shared" si="1"/>
        <v>33.686886675569902</v>
      </c>
      <c r="M46">
        <f t="shared" si="2"/>
        <v>67.373773351139803</v>
      </c>
      <c r="N46">
        <f t="shared" si="3"/>
        <v>167.59645112223831</v>
      </c>
      <c r="O46" s="21">
        <f t="shared" si="4"/>
        <v>160.41374607414238</v>
      </c>
    </row>
    <row r="47" spans="1:15" x14ac:dyDescent="0.35">
      <c r="A47" t="s">
        <v>64</v>
      </c>
      <c r="B47">
        <v>4</v>
      </c>
      <c r="C47" t="s">
        <v>65</v>
      </c>
      <c r="D47">
        <v>45</v>
      </c>
      <c r="E47">
        <v>33.575850000000003</v>
      </c>
      <c r="F47">
        <v>1.12162315045113</v>
      </c>
      <c r="G47" t="s">
        <v>64</v>
      </c>
      <c r="H47">
        <v>4</v>
      </c>
      <c r="I47">
        <v>45</v>
      </c>
      <c r="J47">
        <v>1.2066566922881601</v>
      </c>
      <c r="K47" t="b">
        <f t="shared" si="0"/>
        <v>1</v>
      </c>
      <c r="L47">
        <f t="shared" si="1"/>
        <v>35.904129842739295</v>
      </c>
      <c r="M47">
        <f t="shared" si="2"/>
        <v>71.808259685478589</v>
      </c>
      <c r="N47">
        <f t="shared" si="3"/>
        <v>178.62751165541937</v>
      </c>
      <c r="O47" s="21">
        <f t="shared" si="4"/>
        <v>170.97204687018711</v>
      </c>
    </row>
    <row r="48" spans="1:15" x14ac:dyDescent="0.35">
      <c r="A48" t="s">
        <v>64</v>
      </c>
      <c r="B48">
        <v>4</v>
      </c>
      <c r="C48" t="s">
        <v>65</v>
      </c>
      <c r="D48">
        <v>46</v>
      </c>
      <c r="E48">
        <v>35.866907999999903</v>
      </c>
      <c r="F48">
        <v>1.2303933479375999</v>
      </c>
      <c r="G48" t="s">
        <v>64</v>
      </c>
      <c r="H48">
        <v>4</v>
      </c>
      <c r="I48">
        <v>46</v>
      </c>
      <c r="J48">
        <v>1.2929125980684399</v>
      </c>
      <c r="K48" t="b">
        <f t="shared" si="0"/>
        <v>1</v>
      </c>
      <c r="L48">
        <f t="shared" si="1"/>
        <v>38.390213946005943</v>
      </c>
      <c r="M48">
        <f t="shared" si="2"/>
        <v>76.780427892011886</v>
      </c>
      <c r="N48">
        <f t="shared" si="3"/>
        <v>190.99608928361164</v>
      </c>
      <c r="O48" s="21">
        <f t="shared" si="4"/>
        <v>182.8105426000283</v>
      </c>
    </row>
    <row r="49" spans="1:15" x14ac:dyDescent="0.35">
      <c r="A49" t="s">
        <v>64</v>
      </c>
      <c r="B49">
        <v>4</v>
      </c>
      <c r="C49" t="s">
        <v>65</v>
      </c>
      <c r="D49">
        <v>47</v>
      </c>
      <c r="E49">
        <v>38.157966000000002</v>
      </c>
      <c r="F49">
        <v>1.34499768149947</v>
      </c>
      <c r="G49" t="s">
        <v>64</v>
      </c>
      <c r="H49">
        <v>4</v>
      </c>
      <c r="I49">
        <v>47</v>
      </c>
      <c r="J49">
        <v>1.38198395175517</v>
      </c>
      <c r="K49" t="b">
        <f t="shared" si="0"/>
        <v>1</v>
      </c>
      <c r="L49">
        <f t="shared" si="1"/>
        <v>40.88494763325464</v>
      </c>
      <c r="M49">
        <f t="shared" si="2"/>
        <v>81.76989526650928</v>
      </c>
      <c r="N49">
        <f t="shared" si="3"/>
        <v>203.40769966793351</v>
      </c>
      <c r="O49" s="21">
        <f t="shared" si="4"/>
        <v>194.69022682502211</v>
      </c>
    </row>
    <row r="50" spans="1:15" x14ac:dyDescent="0.35">
      <c r="A50" t="s">
        <v>64</v>
      </c>
      <c r="B50">
        <v>4</v>
      </c>
      <c r="C50" t="s">
        <v>65</v>
      </c>
      <c r="D50">
        <v>48</v>
      </c>
      <c r="E50">
        <v>40.449024000000001</v>
      </c>
      <c r="F50">
        <v>1.46526112705449</v>
      </c>
      <c r="G50" t="s">
        <v>64</v>
      </c>
      <c r="H50">
        <v>4</v>
      </c>
      <c r="I50">
        <v>48</v>
      </c>
      <c r="J50">
        <v>1.4729566969143499</v>
      </c>
      <c r="K50" t="b">
        <f t="shared" si="0"/>
        <v>1</v>
      </c>
      <c r="L50">
        <f t="shared" si="1"/>
        <v>43.387241823968843</v>
      </c>
      <c r="M50">
        <f t="shared" si="2"/>
        <v>86.774483647937686</v>
      </c>
      <c r="N50">
        <f t="shared" si="3"/>
        <v>215.85692449735743</v>
      </c>
      <c r="O50" s="21">
        <f t="shared" si="4"/>
        <v>206.6059134474707</v>
      </c>
    </row>
    <row r="51" spans="1:15" x14ac:dyDescent="0.35">
      <c r="A51" t="s">
        <v>64</v>
      </c>
      <c r="B51">
        <v>4</v>
      </c>
      <c r="C51" t="s">
        <v>65</v>
      </c>
      <c r="D51">
        <v>49</v>
      </c>
      <c r="E51">
        <v>42.740082000000001</v>
      </c>
      <c r="F51">
        <v>1.5910139112428501</v>
      </c>
      <c r="G51" t="s">
        <v>64</v>
      </c>
      <c r="H51">
        <v>4</v>
      </c>
      <c r="I51">
        <v>49</v>
      </c>
      <c r="J51">
        <v>1.5652450943459699</v>
      </c>
      <c r="K51" t="b">
        <f t="shared" si="0"/>
        <v>1</v>
      </c>
      <c r="L51">
        <f t="shared" si="1"/>
        <v>45.896341005588816</v>
      </c>
      <c r="M51">
        <f t="shared" si="2"/>
        <v>91.792682011177632</v>
      </c>
      <c r="N51">
        <f t="shared" si="3"/>
        <v>228.34000500292942</v>
      </c>
      <c r="O51" s="21">
        <f t="shared" si="4"/>
        <v>218.55400478851817</v>
      </c>
    </row>
    <row r="52" spans="1:15" x14ac:dyDescent="0.35">
      <c r="A52" t="s">
        <v>64</v>
      </c>
      <c r="B52">
        <v>4</v>
      </c>
      <c r="C52" t="s">
        <v>65</v>
      </c>
      <c r="D52">
        <v>50</v>
      </c>
      <c r="E52">
        <v>45.031140000000001</v>
      </c>
      <c r="F52">
        <v>1.72209135390557</v>
      </c>
      <c r="G52" t="s">
        <v>64</v>
      </c>
      <c r="H52">
        <v>4</v>
      </c>
      <c r="I52">
        <v>50</v>
      </c>
      <c r="J52">
        <v>1.6584645602688799</v>
      </c>
      <c r="K52" t="b">
        <f t="shared" si="0"/>
        <v>1</v>
      </c>
      <c r="L52">
        <f t="shared" si="1"/>
        <v>48.411695914174452</v>
      </c>
      <c r="M52">
        <f t="shared" si="2"/>
        <v>96.823391828348903</v>
      </c>
      <c r="N52">
        <f t="shared" si="3"/>
        <v>240.85420852823108</v>
      </c>
      <c r="O52" s="21">
        <f t="shared" si="4"/>
        <v>230.53188530559262</v>
      </c>
    </row>
    <row r="53" spans="1:15" x14ac:dyDescent="0.35">
      <c r="A53" t="s">
        <v>64</v>
      </c>
      <c r="B53">
        <v>4</v>
      </c>
      <c r="C53" t="s">
        <v>65</v>
      </c>
      <c r="D53">
        <v>51</v>
      </c>
      <c r="E53">
        <v>47.458655999999998</v>
      </c>
      <c r="F53">
        <v>1.8588755572883999</v>
      </c>
      <c r="G53" t="s">
        <v>64</v>
      </c>
      <c r="H53">
        <v>4</v>
      </c>
      <c r="I53">
        <v>51</v>
      </c>
      <c r="J53">
        <v>1.7542006345686101</v>
      </c>
      <c r="K53" t="b">
        <f t="shared" si="0"/>
        <v>1</v>
      </c>
      <c r="L53">
        <f t="shared" si="1"/>
        <v>51.071732191857009</v>
      </c>
      <c r="M53">
        <f t="shared" si="2"/>
        <v>102.14346438371402</v>
      </c>
      <c r="N53">
        <f t="shared" si="3"/>
        <v>254.08821985998512</v>
      </c>
      <c r="O53" s="21">
        <f t="shared" si="4"/>
        <v>243.19872472312863</v>
      </c>
    </row>
    <row r="54" spans="1:15" x14ac:dyDescent="0.35">
      <c r="A54" t="s">
        <v>64</v>
      </c>
      <c r="B54">
        <v>4</v>
      </c>
      <c r="C54" t="s">
        <v>65</v>
      </c>
      <c r="D54">
        <v>52</v>
      </c>
      <c r="E54">
        <v>49.886172000000002</v>
      </c>
      <c r="F54">
        <v>2.0011953185697502</v>
      </c>
      <c r="G54" t="s">
        <v>64</v>
      </c>
      <c r="H54">
        <v>4</v>
      </c>
      <c r="I54">
        <v>52</v>
      </c>
      <c r="J54">
        <v>1.85161543298737</v>
      </c>
      <c r="K54" t="b">
        <f t="shared" si="0"/>
        <v>1</v>
      </c>
      <c r="L54">
        <f t="shared" si="1"/>
        <v>53.738982751557124</v>
      </c>
      <c r="M54">
        <f t="shared" si="2"/>
        <v>107.47796550311425</v>
      </c>
      <c r="N54">
        <f t="shared" si="3"/>
        <v>267.35812314207521</v>
      </c>
      <c r="O54" s="21">
        <f t="shared" si="4"/>
        <v>255.89991786455775</v>
      </c>
    </row>
    <row r="55" spans="1:15" x14ac:dyDescent="0.35">
      <c r="A55" t="s">
        <v>64</v>
      </c>
      <c r="B55">
        <v>4</v>
      </c>
      <c r="C55" t="s">
        <v>65</v>
      </c>
      <c r="D55">
        <v>53</v>
      </c>
      <c r="E55">
        <v>52.2831767502459</v>
      </c>
      <c r="F55">
        <v>2.1762253272177401</v>
      </c>
      <c r="G55" t="s">
        <v>64</v>
      </c>
      <c r="H55">
        <v>4</v>
      </c>
      <c r="I55">
        <v>53</v>
      </c>
      <c r="J55">
        <v>1.94976572261843</v>
      </c>
      <c r="K55" t="b">
        <f t="shared" si="0"/>
        <v>1</v>
      </c>
      <c r="L55">
        <f t="shared" si="1"/>
        <v>56.409167800082074</v>
      </c>
      <c r="M55">
        <f t="shared" si="2"/>
        <v>112.81833560016415</v>
      </c>
      <c r="N55">
        <f t="shared" si="3"/>
        <v>280.64262587105509</v>
      </c>
      <c r="O55" s="21">
        <f t="shared" si="4"/>
        <v>268.61508476229562</v>
      </c>
    </row>
    <row r="56" spans="1:15" x14ac:dyDescent="0.35">
      <c r="A56" t="s">
        <v>64</v>
      </c>
      <c r="B56">
        <v>4</v>
      </c>
      <c r="C56" t="s">
        <v>65</v>
      </c>
      <c r="D56">
        <v>54</v>
      </c>
      <c r="E56">
        <v>54.5271741149311</v>
      </c>
      <c r="F56">
        <v>2.49224685630689</v>
      </c>
      <c r="G56" t="s">
        <v>64</v>
      </c>
      <c r="H56">
        <v>4</v>
      </c>
      <c r="I56">
        <v>54</v>
      </c>
      <c r="J56">
        <v>2.0463864792766802</v>
      </c>
      <c r="K56" t="b">
        <f t="shared" si="0"/>
        <v>1</v>
      </c>
      <c r="L56">
        <f t="shared" si="1"/>
        <v>59.065807450514669</v>
      </c>
      <c r="M56">
        <f t="shared" si="2"/>
        <v>118.13161490102934</v>
      </c>
      <c r="N56">
        <f t="shared" si="3"/>
        <v>293.85973855977443</v>
      </c>
      <c r="O56" s="21">
        <f t="shared" si="4"/>
        <v>281.26574976435558</v>
      </c>
    </row>
    <row r="57" spans="1:15" x14ac:dyDescent="0.35">
      <c r="A57" t="s">
        <v>64</v>
      </c>
      <c r="B57">
        <v>4</v>
      </c>
      <c r="C57" t="s">
        <v>65</v>
      </c>
      <c r="D57">
        <v>55</v>
      </c>
      <c r="E57">
        <v>56.710166935715499</v>
      </c>
      <c r="F57">
        <v>2.8600753009950299</v>
      </c>
      <c r="G57" t="s">
        <v>64</v>
      </c>
      <c r="H57">
        <v>4</v>
      </c>
      <c r="I57">
        <v>55</v>
      </c>
      <c r="J57">
        <v>2.1412539490222602</v>
      </c>
      <c r="K57" t="b">
        <f t="shared" si="0"/>
        <v>1</v>
      </c>
      <c r="L57">
        <f t="shared" si="1"/>
        <v>61.711496185732784</v>
      </c>
      <c r="M57">
        <f t="shared" si="2"/>
        <v>123.42299237146557</v>
      </c>
      <c r="N57">
        <f t="shared" si="3"/>
        <v>307.02236908324767</v>
      </c>
      <c r="O57" s="21">
        <f t="shared" si="4"/>
        <v>293.86426755110853</v>
      </c>
    </row>
    <row r="58" spans="1:15" x14ac:dyDescent="0.35">
      <c r="A58" t="s">
        <v>64</v>
      </c>
      <c r="B58">
        <v>4</v>
      </c>
      <c r="C58" t="s">
        <v>65</v>
      </c>
      <c r="D58">
        <v>56</v>
      </c>
      <c r="E58">
        <v>58.907697094374903</v>
      </c>
      <c r="F58">
        <v>3.2224953842686701</v>
      </c>
      <c r="G58" t="s">
        <v>64</v>
      </c>
      <c r="H58">
        <v>4</v>
      </c>
      <c r="I58">
        <v>56</v>
      </c>
      <c r="J58">
        <v>2.2352138759263198</v>
      </c>
      <c r="K58" t="b">
        <f t="shared" si="0"/>
        <v>1</v>
      </c>
      <c r="L58">
        <f t="shared" si="1"/>
        <v>64.365406354569899</v>
      </c>
      <c r="M58">
        <f t="shared" si="2"/>
        <v>128.7308127091398</v>
      </c>
      <c r="N58">
        <f t="shared" si="3"/>
        <v>320.22590226154176</v>
      </c>
      <c r="O58" s="21">
        <f t="shared" si="4"/>
        <v>306.50193502176143</v>
      </c>
    </row>
    <row r="59" spans="1:15" x14ac:dyDescent="0.35">
      <c r="A59" t="s">
        <v>64</v>
      </c>
      <c r="B59">
        <v>4</v>
      </c>
      <c r="C59" t="s">
        <v>65</v>
      </c>
      <c r="D59">
        <v>57</v>
      </c>
      <c r="E59">
        <v>61.0978443423706</v>
      </c>
      <c r="F59">
        <v>3.5865870087931699</v>
      </c>
      <c r="G59" t="s">
        <v>64</v>
      </c>
      <c r="H59">
        <v>4</v>
      </c>
      <c r="I59">
        <v>57</v>
      </c>
      <c r="J59">
        <v>2.3284888643015602</v>
      </c>
      <c r="K59" t="b">
        <f t="shared" si="0"/>
        <v>1</v>
      </c>
      <c r="L59">
        <f t="shared" si="1"/>
        <v>67.012920215465329</v>
      </c>
      <c r="M59">
        <f t="shared" si="2"/>
        <v>134.02584043093066</v>
      </c>
      <c r="N59">
        <f t="shared" si="3"/>
        <v>333.39761301226531</v>
      </c>
      <c r="O59" s="21">
        <f t="shared" si="4"/>
        <v>319.10914388316826</v>
      </c>
    </row>
    <row r="60" spans="1:15" x14ac:dyDescent="0.35">
      <c r="A60" t="s">
        <v>64</v>
      </c>
      <c r="B60">
        <v>4</v>
      </c>
      <c r="C60" t="s">
        <v>65</v>
      </c>
      <c r="D60">
        <v>58</v>
      </c>
      <c r="E60">
        <v>63.274756364843</v>
      </c>
      <c r="F60">
        <v>3.9575586594958101</v>
      </c>
      <c r="G60" t="s">
        <v>64</v>
      </c>
      <c r="H60">
        <v>4</v>
      </c>
      <c r="I60">
        <v>58</v>
      </c>
      <c r="J60">
        <v>2.4211341646391999</v>
      </c>
      <c r="K60" t="b">
        <f t="shared" si="0"/>
        <v>1</v>
      </c>
      <c r="L60">
        <f t="shared" si="1"/>
        <v>69.653449188978016</v>
      </c>
      <c r="M60">
        <f t="shared" si="2"/>
        <v>139.30689837795603</v>
      </c>
      <c r="N60">
        <f t="shared" si="3"/>
        <v>346.53457307949259</v>
      </c>
      <c r="O60" s="21">
        <f t="shared" si="4"/>
        <v>331.68309137608583</v>
      </c>
    </row>
    <row r="61" spans="1:15" x14ac:dyDescent="0.35">
      <c r="A61" t="s">
        <v>64</v>
      </c>
      <c r="B61">
        <v>4</v>
      </c>
      <c r="C61" t="s">
        <v>65</v>
      </c>
      <c r="D61">
        <v>59</v>
      </c>
      <c r="E61">
        <v>65.429444979602707</v>
      </c>
      <c r="F61">
        <v>4.3431736092201501</v>
      </c>
      <c r="G61" t="s">
        <v>64</v>
      </c>
      <c r="H61">
        <v>4</v>
      </c>
      <c r="I61">
        <v>59</v>
      </c>
      <c r="J61">
        <v>2.5130599369690598</v>
      </c>
      <c r="K61" t="b">
        <f t="shared" si="0"/>
        <v>1</v>
      </c>
      <c r="L61">
        <f t="shared" si="1"/>
        <v>72.285678525791909</v>
      </c>
      <c r="M61">
        <f t="shared" si="2"/>
        <v>144.57135705158382</v>
      </c>
      <c r="N61">
        <f t="shared" si="3"/>
        <v>359.63024142185026</v>
      </c>
      <c r="O61" s="21">
        <f t="shared" si="4"/>
        <v>344.21751678948527</v>
      </c>
    </row>
    <row r="62" spans="1:15" x14ac:dyDescent="0.35">
      <c r="A62" t="s">
        <v>64</v>
      </c>
      <c r="B62">
        <v>4</v>
      </c>
      <c r="C62" t="s">
        <v>65</v>
      </c>
      <c r="D62">
        <v>60</v>
      </c>
      <c r="E62">
        <v>67.563268875422693</v>
      </c>
      <c r="F62">
        <v>4.7415433870488402</v>
      </c>
      <c r="G62" t="s">
        <v>64</v>
      </c>
      <c r="H62">
        <v>4</v>
      </c>
      <c r="I62">
        <v>60</v>
      </c>
      <c r="J62">
        <v>2.6042246648484699</v>
      </c>
      <c r="K62" t="b">
        <f t="shared" si="0"/>
        <v>1</v>
      </c>
      <c r="L62">
        <f t="shared" si="1"/>
        <v>74.909036927320003</v>
      </c>
      <c r="M62">
        <f t="shared" si="2"/>
        <v>149.81807385464001</v>
      </c>
      <c r="N62">
        <f t="shared" si="3"/>
        <v>372.68177575781095</v>
      </c>
      <c r="O62" s="21">
        <f t="shared" si="4"/>
        <v>356.70969965390481</v>
      </c>
    </row>
    <row r="63" spans="1:15" x14ac:dyDescent="0.35">
      <c r="A63" t="s">
        <v>64</v>
      </c>
      <c r="B63">
        <v>4</v>
      </c>
      <c r="C63" t="s">
        <v>65</v>
      </c>
      <c r="D63">
        <v>61</v>
      </c>
      <c r="E63">
        <v>69.641347769769396</v>
      </c>
      <c r="F63">
        <v>5.1186967286109599</v>
      </c>
      <c r="G63" t="s">
        <v>64</v>
      </c>
      <c r="H63">
        <v>4</v>
      </c>
      <c r="I63">
        <v>61</v>
      </c>
      <c r="J63">
        <v>2.6941277740000298</v>
      </c>
      <c r="K63" t="b">
        <f t="shared" si="0"/>
        <v>1</v>
      </c>
      <c r="L63">
        <f t="shared" si="1"/>
        <v>77.454172272380376</v>
      </c>
      <c r="M63">
        <f t="shared" si="2"/>
        <v>154.90834454476075</v>
      </c>
      <c r="N63">
        <f t="shared" si="3"/>
        <v>385.34414065860881</v>
      </c>
      <c r="O63" s="21">
        <f t="shared" si="4"/>
        <v>368.82939177323988</v>
      </c>
    </row>
    <row r="64" spans="1:15" x14ac:dyDescent="0.35">
      <c r="A64" t="s">
        <v>64</v>
      </c>
      <c r="B64">
        <v>4</v>
      </c>
      <c r="C64" t="s">
        <v>65</v>
      </c>
      <c r="D64">
        <v>62</v>
      </c>
      <c r="E64">
        <v>71.717163884794999</v>
      </c>
      <c r="F64">
        <v>5.49211701620401</v>
      </c>
      <c r="G64" t="s">
        <v>64</v>
      </c>
      <c r="H64">
        <v>4</v>
      </c>
      <c r="I64">
        <v>62</v>
      </c>
      <c r="J64">
        <v>2.7831683672925398</v>
      </c>
      <c r="K64" t="b">
        <f t="shared" si="0"/>
        <v>1</v>
      </c>
      <c r="L64">
        <f t="shared" si="1"/>
        <v>79.992449268291551</v>
      </c>
      <c r="M64">
        <f t="shared" si="2"/>
        <v>159.9848985365831</v>
      </c>
      <c r="N64">
        <f t="shared" si="3"/>
        <v>397.97238441936094</v>
      </c>
      <c r="O64" s="21">
        <f t="shared" si="4"/>
        <v>380.91642508710265</v>
      </c>
    </row>
    <row r="65" spans="1:15" x14ac:dyDescent="0.35">
      <c r="A65" t="s">
        <v>64</v>
      </c>
      <c r="B65">
        <v>4</v>
      </c>
      <c r="C65" t="s">
        <v>65</v>
      </c>
      <c r="D65">
        <v>63</v>
      </c>
      <c r="E65">
        <v>73.782757664459595</v>
      </c>
      <c r="F65">
        <v>5.8691428412160098</v>
      </c>
      <c r="G65" t="s">
        <v>64</v>
      </c>
      <c r="H65">
        <v>4</v>
      </c>
      <c r="I65">
        <v>63</v>
      </c>
      <c r="J65">
        <v>2.8714886772278798</v>
      </c>
      <c r="K65" t="b">
        <f t="shared" si="0"/>
        <v>1</v>
      </c>
      <c r="L65">
        <f t="shared" si="1"/>
        <v>82.523389182903472</v>
      </c>
      <c r="M65">
        <f t="shared" si="2"/>
        <v>165.04677836580694</v>
      </c>
      <c r="N65">
        <f t="shared" si="3"/>
        <v>410.56412528807692</v>
      </c>
      <c r="O65" s="21">
        <f t="shared" si="4"/>
        <v>392.96851991858796</v>
      </c>
    </row>
    <row r="66" spans="1:15" x14ac:dyDescent="0.35">
      <c r="A66" t="s">
        <v>64</v>
      </c>
      <c r="B66">
        <v>4</v>
      </c>
      <c r="C66" t="s">
        <v>65</v>
      </c>
      <c r="D66">
        <v>64</v>
      </c>
      <c r="E66">
        <v>75.8346362349712</v>
      </c>
      <c r="F66">
        <v>6.2527533783259601</v>
      </c>
      <c r="G66" t="s">
        <v>64</v>
      </c>
      <c r="H66">
        <v>4</v>
      </c>
      <c r="I66">
        <v>64</v>
      </c>
      <c r="J66">
        <v>2.95913228491264</v>
      </c>
      <c r="K66" t="b">
        <f t="shared" ref="K66:K129" si="5">H66=B66</f>
        <v>1</v>
      </c>
      <c r="L66">
        <f t="shared" ref="L66:L129" si="6">E66+F66+J66</f>
        <v>85.046521898209804</v>
      </c>
      <c r="M66">
        <f t="shared" ref="M66:M129" si="7">L66*2</f>
        <v>170.09304379641961</v>
      </c>
      <c r="N66">
        <f t="shared" ref="N66:N129" si="8">M66/(1-0.598)</f>
        <v>423.11702436920297</v>
      </c>
      <c r="O66" s="21">
        <f t="shared" ref="O66:O129" si="9">M66/0.42</f>
        <v>404.98343761052291</v>
      </c>
    </row>
    <row r="67" spans="1:15" x14ac:dyDescent="0.35">
      <c r="A67" t="s">
        <v>64</v>
      </c>
      <c r="B67">
        <v>4</v>
      </c>
      <c r="C67" t="s">
        <v>65</v>
      </c>
      <c r="D67">
        <v>65</v>
      </c>
      <c r="E67">
        <v>77.871205008140507</v>
      </c>
      <c r="F67">
        <v>6.6440796979702901</v>
      </c>
      <c r="G67" t="s">
        <v>64</v>
      </c>
      <c r="H67">
        <v>4</v>
      </c>
      <c r="I67">
        <v>65</v>
      </c>
      <c r="J67">
        <v>3.0461066702756301</v>
      </c>
      <c r="K67" t="b">
        <f t="shared" si="5"/>
        <v>1</v>
      </c>
      <c r="L67">
        <f t="shared" si="6"/>
        <v>87.561391376386425</v>
      </c>
      <c r="M67">
        <f t="shared" si="7"/>
        <v>175.12278275277285</v>
      </c>
      <c r="N67">
        <f t="shared" si="8"/>
        <v>435.62881281784286</v>
      </c>
      <c r="O67" s="21">
        <f t="shared" si="9"/>
        <v>416.95900655422111</v>
      </c>
    </row>
    <row r="68" spans="1:15" x14ac:dyDescent="0.35">
      <c r="A68" t="s">
        <v>64</v>
      </c>
      <c r="B68">
        <v>4</v>
      </c>
      <c r="C68" t="s">
        <v>65</v>
      </c>
      <c r="D68">
        <v>66</v>
      </c>
      <c r="E68">
        <v>79.784992709489799</v>
      </c>
      <c r="F68">
        <v>7.0097851800623303</v>
      </c>
      <c r="G68" t="s">
        <v>64</v>
      </c>
      <c r="H68">
        <v>4</v>
      </c>
      <c r="I68">
        <v>66</v>
      </c>
      <c r="J68">
        <v>3.13096517470419</v>
      </c>
      <c r="K68" t="b">
        <f t="shared" si="5"/>
        <v>1</v>
      </c>
      <c r="L68">
        <f t="shared" si="6"/>
        <v>89.925743064256324</v>
      </c>
      <c r="M68">
        <f t="shared" si="7"/>
        <v>179.85148612851265</v>
      </c>
      <c r="N68">
        <f t="shared" si="8"/>
        <v>447.39175653858865</v>
      </c>
      <c r="O68" s="21">
        <f t="shared" si="9"/>
        <v>428.21782411550635</v>
      </c>
    </row>
    <row r="69" spans="1:15" x14ac:dyDescent="0.35">
      <c r="A69" t="s">
        <v>64</v>
      </c>
      <c r="B69">
        <v>4</v>
      </c>
      <c r="C69" t="s">
        <v>65</v>
      </c>
      <c r="D69">
        <v>67</v>
      </c>
      <c r="E69">
        <v>81.6996508580891</v>
      </c>
      <c r="F69">
        <v>7.36902682285199</v>
      </c>
      <c r="G69" t="s">
        <v>64</v>
      </c>
      <c r="H69">
        <v>4</v>
      </c>
      <c r="I69">
        <v>67</v>
      </c>
      <c r="J69">
        <v>3.2144504834343799</v>
      </c>
      <c r="K69" t="b">
        <f t="shared" si="5"/>
        <v>1</v>
      </c>
      <c r="L69">
        <f t="shared" si="6"/>
        <v>92.283128164375469</v>
      </c>
      <c r="M69">
        <f t="shared" si="7"/>
        <v>184.56625632875094</v>
      </c>
      <c r="N69">
        <f t="shared" si="8"/>
        <v>459.12004061878338</v>
      </c>
      <c r="O69" s="21">
        <f t="shared" si="9"/>
        <v>439.44346744940702</v>
      </c>
    </row>
    <row r="70" spans="1:15" x14ac:dyDescent="0.35">
      <c r="A70" t="s">
        <v>64</v>
      </c>
      <c r="B70">
        <v>4</v>
      </c>
      <c r="C70" t="s">
        <v>65</v>
      </c>
      <c r="D70">
        <v>68</v>
      </c>
      <c r="E70">
        <v>83.606849714846604</v>
      </c>
      <c r="F70">
        <v>7.7295897539787202</v>
      </c>
      <c r="G70" t="s">
        <v>64</v>
      </c>
      <c r="H70">
        <v>4</v>
      </c>
      <c r="I70">
        <v>68</v>
      </c>
      <c r="J70">
        <v>3.2969130814724501</v>
      </c>
      <c r="K70" t="b">
        <f t="shared" si="5"/>
        <v>1</v>
      </c>
      <c r="L70">
        <f t="shared" si="6"/>
        <v>94.633352550297772</v>
      </c>
      <c r="M70">
        <f t="shared" si="7"/>
        <v>189.26670510059554</v>
      </c>
      <c r="N70">
        <f t="shared" si="8"/>
        <v>470.81269925521275</v>
      </c>
      <c r="O70" s="21">
        <f t="shared" si="9"/>
        <v>450.63501214427509</v>
      </c>
    </row>
    <row r="71" spans="1:15" x14ac:dyDescent="0.35">
      <c r="A71" t="s">
        <v>64</v>
      </c>
      <c r="B71">
        <v>4</v>
      </c>
      <c r="C71" t="s">
        <v>65</v>
      </c>
      <c r="D71">
        <v>69</v>
      </c>
      <c r="E71">
        <v>85.503095657742804</v>
      </c>
      <c r="F71">
        <v>8.0945481275888298</v>
      </c>
      <c r="G71" t="s">
        <v>64</v>
      </c>
      <c r="H71">
        <v>4</v>
      </c>
      <c r="I71">
        <v>69</v>
      </c>
      <c r="J71">
        <v>3.37852856069664</v>
      </c>
      <c r="K71" t="b">
        <f t="shared" si="5"/>
        <v>1</v>
      </c>
      <c r="L71">
        <f t="shared" si="6"/>
        <v>96.976172346028264</v>
      </c>
      <c r="M71">
        <f t="shared" si="7"/>
        <v>193.95234469205653</v>
      </c>
      <c r="N71">
        <f t="shared" si="8"/>
        <v>482.46851913446892</v>
      </c>
      <c r="O71" s="21">
        <f t="shared" si="9"/>
        <v>461.79129688584891</v>
      </c>
    </row>
    <row r="72" spans="1:15" x14ac:dyDescent="0.35">
      <c r="A72" t="s">
        <v>64</v>
      </c>
      <c r="B72">
        <v>4</v>
      </c>
      <c r="C72" t="s">
        <v>65</v>
      </c>
      <c r="D72">
        <v>70</v>
      </c>
      <c r="E72">
        <v>87.386883069548105</v>
      </c>
      <c r="F72">
        <v>8.46504401984234</v>
      </c>
      <c r="G72" t="s">
        <v>64</v>
      </c>
      <c r="H72">
        <v>4</v>
      </c>
      <c r="I72">
        <v>70</v>
      </c>
      <c r="J72">
        <v>3.45939129012157</v>
      </c>
      <c r="K72" t="b">
        <f t="shared" si="5"/>
        <v>1</v>
      </c>
      <c r="L72">
        <f t="shared" si="6"/>
        <v>99.311318379512016</v>
      </c>
      <c r="M72">
        <f t="shared" si="7"/>
        <v>198.62263675902403</v>
      </c>
      <c r="N72">
        <f t="shared" si="8"/>
        <v>494.08616109209953</v>
      </c>
      <c r="O72" s="21">
        <f t="shared" si="9"/>
        <v>472.91103990243818</v>
      </c>
    </row>
    <row r="73" spans="1:15" x14ac:dyDescent="0.35">
      <c r="A73" t="s">
        <v>64</v>
      </c>
      <c r="B73">
        <v>4</v>
      </c>
      <c r="C73" t="s">
        <v>65</v>
      </c>
      <c r="D73">
        <v>71</v>
      </c>
      <c r="E73">
        <v>89.131051247766806</v>
      </c>
      <c r="F73">
        <v>8.8060827978851606</v>
      </c>
      <c r="G73" t="s">
        <v>64</v>
      </c>
      <c r="H73">
        <v>4</v>
      </c>
      <c r="I73">
        <v>71</v>
      </c>
      <c r="J73">
        <v>3.5378462668449102</v>
      </c>
      <c r="K73" t="b">
        <f t="shared" si="5"/>
        <v>1</v>
      </c>
      <c r="L73">
        <f t="shared" si="6"/>
        <v>101.47498031249687</v>
      </c>
      <c r="M73">
        <f t="shared" si="7"/>
        <v>202.94996062499374</v>
      </c>
      <c r="N73">
        <f t="shared" si="8"/>
        <v>504.85064832087988</v>
      </c>
      <c r="O73" s="21">
        <f t="shared" si="9"/>
        <v>483.21419196427081</v>
      </c>
    </row>
    <row r="74" spans="1:15" x14ac:dyDescent="0.35">
      <c r="A74" t="s">
        <v>64</v>
      </c>
      <c r="B74">
        <v>4</v>
      </c>
      <c r="C74" t="s">
        <v>65</v>
      </c>
      <c r="D74">
        <v>72</v>
      </c>
      <c r="E74">
        <v>90.879292986734995</v>
      </c>
      <c r="F74">
        <v>9.1383407667965102</v>
      </c>
      <c r="G74" t="s">
        <v>64</v>
      </c>
      <c r="H74">
        <v>4</v>
      </c>
      <c r="I74">
        <v>72</v>
      </c>
      <c r="J74">
        <v>3.6147754607008702</v>
      </c>
      <c r="K74" t="b">
        <f t="shared" si="5"/>
        <v>1</v>
      </c>
      <c r="L74">
        <f t="shared" si="6"/>
        <v>103.63240921423237</v>
      </c>
      <c r="M74">
        <f t="shared" si="7"/>
        <v>207.26481842846474</v>
      </c>
      <c r="N74">
        <f t="shared" si="8"/>
        <v>515.58412544394207</v>
      </c>
      <c r="O74" s="21">
        <f t="shared" si="9"/>
        <v>493.48766292491604</v>
      </c>
    </row>
    <row r="75" spans="1:15" x14ac:dyDescent="0.35">
      <c r="A75" t="s">
        <v>64</v>
      </c>
      <c r="B75">
        <v>4</v>
      </c>
      <c r="C75" t="s">
        <v>65</v>
      </c>
      <c r="D75">
        <v>73</v>
      </c>
      <c r="E75">
        <v>92.622919003718394</v>
      </c>
      <c r="F75">
        <v>9.4700239009852591</v>
      </c>
      <c r="G75" t="s">
        <v>64</v>
      </c>
      <c r="H75">
        <v>4</v>
      </c>
      <c r="I75">
        <v>73</v>
      </c>
      <c r="J75">
        <v>3.6906134673964299</v>
      </c>
      <c r="K75" t="b">
        <f t="shared" si="5"/>
        <v>1</v>
      </c>
      <c r="L75">
        <f t="shared" si="6"/>
        <v>105.78355637210008</v>
      </c>
      <c r="M75">
        <f t="shared" si="7"/>
        <v>211.56711274420016</v>
      </c>
      <c r="N75">
        <f t="shared" si="8"/>
        <v>526.2863501099506</v>
      </c>
      <c r="O75" s="21">
        <f t="shared" si="9"/>
        <v>503.7312208195242</v>
      </c>
    </row>
    <row r="76" spans="1:15" x14ac:dyDescent="0.35">
      <c r="A76" t="s">
        <v>64</v>
      </c>
      <c r="B76">
        <v>4</v>
      </c>
      <c r="C76" t="s">
        <v>65</v>
      </c>
      <c r="D76">
        <v>74</v>
      </c>
      <c r="E76">
        <v>94.358410746093497</v>
      </c>
      <c r="F76">
        <v>9.8043079904095691</v>
      </c>
      <c r="G76" t="s">
        <v>64</v>
      </c>
      <c r="H76">
        <v>4</v>
      </c>
      <c r="I76">
        <v>74</v>
      </c>
      <c r="J76">
        <v>3.7655906382239102</v>
      </c>
      <c r="K76" t="b">
        <f t="shared" si="5"/>
        <v>1</v>
      </c>
      <c r="L76">
        <f t="shared" si="6"/>
        <v>107.92830937472698</v>
      </c>
      <c r="M76">
        <f t="shared" si="7"/>
        <v>215.85661874945396</v>
      </c>
      <c r="N76">
        <f t="shared" si="8"/>
        <v>536.9567630583432</v>
      </c>
      <c r="O76" s="21">
        <f t="shared" si="9"/>
        <v>513.94433035584279</v>
      </c>
    </row>
    <row r="77" spans="1:15" x14ac:dyDescent="0.35">
      <c r="A77" t="s">
        <v>64</v>
      </c>
      <c r="B77">
        <v>4</v>
      </c>
      <c r="C77" t="s">
        <v>65</v>
      </c>
      <c r="D77">
        <v>75</v>
      </c>
      <c r="E77">
        <v>96.084322887766405</v>
      </c>
      <c r="F77">
        <v>10.1423563833659</v>
      </c>
      <c r="G77" t="s">
        <v>64</v>
      </c>
      <c r="H77">
        <v>4</v>
      </c>
      <c r="I77">
        <v>75</v>
      </c>
      <c r="J77">
        <v>3.8398389437231502</v>
      </c>
      <c r="K77" t="b">
        <f t="shared" si="5"/>
        <v>1</v>
      </c>
      <c r="L77">
        <f t="shared" si="6"/>
        <v>110.06651821485545</v>
      </c>
      <c r="M77">
        <f t="shared" si="7"/>
        <v>220.1330364297109</v>
      </c>
      <c r="N77">
        <f t="shared" si="8"/>
        <v>547.59461798435541</v>
      </c>
      <c r="O77" s="21">
        <f t="shared" si="9"/>
        <v>524.1262772135974</v>
      </c>
    </row>
    <row r="78" spans="1:15" x14ac:dyDescent="0.35">
      <c r="A78" t="s">
        <v>64</v>
      </c>
      <c r="B78">
        <v>4</v>
      </c>
      <c r="C78" t="s">
        <v>65</v>
      </c>
      <c r="D78">
        <v>76</v>
      </c>
      <c r="E78">
        <v>97.667429322140606</v>
      </c>
      <c r="F78">
        <v>10.461148963805201</v>
      </c>
      <c r="G78" t="s">
        <v>64</v>
      </c>
      <c r="H78">
        <v>4</v>
      </c>
      <c r="I78">
        <v>76</v>
      </c>
      <c r="J78">
        <v>3.9116472478789399</v>
      </c>
      <c r="K78" t="b">
        <f t="shared" si="5"/>
        <v>1</v>
      </c>
      <c r="L78">
        <f t="shared" si="6"/>
        <v>112.04022553382475</v>
      </c>
      <c r="M78">
        <f t="shared" si="7"/>
        <v>224.08045106764951</v>
      </c>
      <c r="N78">
        <f t="shared" si="8"/>
        <v>557.41405738221272</v>
      </c>
      <c r="O78" s="21">
        <f t="shared" si="9"/>
        <v>533.52488349440364</v>
      </c>
    </row>
    <row r="79" spans="1:15" x14ac:dyDescent="0.35">
      <c r="A79" t="s">
        <v>64</v>
      </c>
      <c r="B79">
        <v>4</v>
      </c>
      <c r="C79" t="s">
        <v>65</v>
      </c>
      <c r="D79">
        <v>77</v>
      </c>
      <c r="E79">
        <v>99.251080452251401</v>
      </c>
      <c r="F79">
        <v>10.774729434634001</v>
      </c>
      <c r="G79" t="s">
        <v>64</v>
      </c>
      <c r="H79">
        <v>4</v>
      </c>
      <c r="I79">
        <v>77</v>
      </c>
      <c r="J79">
        <v>3.9818584000719301</v>
      </c>
      <c r="K79" t="b">
        <f t="shared" si="5"/>
        <v>1</v>
      </c>
      <c r="L79">
        <f t="shared" si="6"/>
        <v>114.00766828695733</v>
      </c>
      <c r="M79">
        <f t="shared" si="7"/>
        <v>228.01533657391465</v>
      </c>
      <c r="N79">
        <f t="shared" si="8"/>
        <v>567.20232978585727</v>
      </c>
      <c r="O79" s="21">
        <f t="shared" si="9"/>
        <v>542.89365850932063</v>
      </c>
    </row>
    <row r="80" spans="1:15" x14ac:dyDescent="0.35">
      <c r="A80" t="s">
        <v>64</v>
      </c>
      <c r="B80">
        <v>4</v>
      </c>
      <c r="C80" t="s">
        <v>65</v>
      </c>
      <c r="D80">
        <v>78</v>
      </c>
      <c r="E80">
        <v>100.82946834233501</v>
      </c>
      <c r="F80">
        <v>11.0885378833887</v>
      </c>
      <c r="G80" t="s">
        <v>64</v>
      </c>
      <c r="H80">
        <v>4</v>
      </c>
      <c r="I80">
        <v>78</v>
      </c>
      <c r="J80">
        <v>4.0509213435033598</v>
      </c>
      <c r="K80" t="b">
        <f t="shared" si="5"/>
        <v>1</v>
      </c>
      <c r="L80">
        <f t="shared" si="6"/>
        <v>115.96892756922706</v>
      </c>
      <c r="M80">
        <f t="shared" si="7"/>
        <v>231.93785513845413</v>
      </c>
      <c r="N80">
        <f t="shared" si="8"/>
        <v>576.95983865287087</v>
      </c>
      <c r="O80" s="21">
        <f t="shared" si="9"/>
        <v>552.23298842489078</v>
      </c>
    </row>
    <row r="81" spans="1:15" x14ac:dyDescent="0.35">
      <c r="A81" t="s">
        <v>64</v>
      </c>
      <c r="B81">
        <v>4</v>
      </c>
      <c r="C81" t="s">
        <v>65</v>
      </c>
      <c r="D81">
        <v>79</v>
      </c>
      <c r="E81">
        <v>102.40027986974999</v>
      </c>
      <c r="F81">
        <v>11.4046196956259</v>
      </c>
      <c r="G81" t="s">
        <v>64</v>
      </c>
      <c r="H81">
        <v>4</v>
      </c>
      <c r="I81">
        <v>79</v>
      </c>
      <c r="J81">
        <v>4.1190919222271303</v>
      </c>
      <c r="K81" t="b">
        <f t="shared" si="5"/>
        <v>1</v>
      </c>
      <c r="L81">
        <f t="shared" si="6"/>
        <v>117.92399148760302</v>
      </c>
      <c r="M81">
        <f t="shared" si="7"/>
        <v>235.84798297520604</v>
      </c>
      <c r="N81">
        <f t="shared" si="8"/>
        <v>586.68652481394531</v>
      </c>
      <c r="O81" s="21">
        <f t="shared" si="9"/>
        <v>561.54281660763343</v>
      </c>
    </row>
    <row r="82" spans="1:15" x14ac:dyDescent="0.35">
      <c r="A82" t="s">
        <v>64</v>
      </c>
      <c r="B82">
        <v>4</v>
      </c>
      <c r="C82" t="s">
        <v>65</v>
      </c>
      <c r="D82">
        <v>80</v>
      </c>
      <c r="E82">
        <v>103.96257692408599</v>
      </c>
      <c r="F82">
        <v>11.723688483630101</v>
      </c>
      <c r="G82" t="s">
        <v>64</v>
      </c>
      <c r="H82">
        <v>4</v>
      </c>
      <c r="I82">
        <v>80</v>
      </c>
      <c r="J82">
        <v>4.1865254758571302</v>
      </c>
      <c r="K82" t="b">
        <f t="shared" si="5"/>
        <v>1</v>
      </c>
      <c r="L82">
        <f t="shared" si="6"/>
        <v>119.87279088357322</v>
      </c>
      <c r="M82">
        <f t="shared" si="7"/>
        <v>239.74558176714643</v>
      </c>
      <c r="N82">
        <f t="shared" si="8"/>
        <v>596.38204419688168</v>
      </c>
      <c r="O82" s="21">
        <f t="shared" si="9"/>
        <v>570.82281373130104</v>
      </c>
    </row>
    <row r="83" spans="1:15" x14ac:dyDescent="0.35">
      <c r="A83" t="s">
        <v>64</v>
      </c>
      <c r="B83">
        <v>4</v>
      </c>
      <c r="C83" t="s">
        <v>65</v>
      </c>
      <c r="D83">
        <v>81</v>
      </c>
      <c r="E83">
        <v>105.41627357988</v>
      </c>
      <c r="F83">
        <v>12.0189115164225</v>
      </c>
      <c r="G83" t="s">
        <v>64</v>
      </c>
      <c r="H83">
        <v>4</v>
      </c>
      <c r="I83">
        <v>81</v>
      </c>
      <c r="J83">
        <v>4.2519741781193998</v>
      </c>
      <c r="K83" t="b">
        <f t="shared" si="5"/>
        <v>1</v>
      </c>
      <c r="L83">
        <f t="shared" si="6"/>
        <v>121.6871592744219</v>
      </c>
      <c r="M83">
        <f t="shared" si="7"/>
        <v>243.3743185488438</v>
      </c>
      <c r="N83">
        <f t="shared" si="8"/>
        <v>605.40875260906409</v>
      </c>
      <c r="O83" s="21">
        <f t="shared" si="9"/>
        <v>579.46266321153291</v>
      </c>
    </row>
    <row r="84" spans="1:15" x14ac:dyDescent="0.35">
      <c r="A84" t="s">
        <v>64</v>
      </c>
      <c r="B84">
        <v>4</v>
      </c>
      <c r="C84" t="s">
        <v>65</v>
      </c>
      <c r="D84">
        <v>82</v>
      </c>
      <c r="E84">
        <v>106.873437415411</v>
      </c>
      <c r="F84">
        <v>12.3068362503752</v>
      </c>
      <c r="G84" t="s">
        <v>64</v>
      </c>
      <c r="H84">
        <v>4</v>
      </c>
      <c r="I84">
        <v>82</v>
      </c>
      <c r="J84">
        <v>4.3161562336614798</v>
      </c>
      <c r="K84" t="b">
        <f t="shared" si="5"/>
        <v>1</v>
      </c>
      <c r="L84">
        <f t="shared" si="6"/>
        <v>123.49642989944768</v>
      </c>
      <c r="M84">
        <f t="shared" si="7"/>
        <v>246.99285979889535</v>
      </c>
      <c r="N84">
        <f t="shared" si="8"/>
        <v>614.41009900222718</v>
      </c>
      <c r="O84" s="21">
        <f t="shared" si="9"/>
        <v>588.07823761641748</v>
      </c>
    </row>
    <row r="85" spans="1:15" x14ac:dyDescent="0.35">
      <c r="A85" t="s">
        <v>64</v>
      </c>
      <c r="B85">
        <v>4</v>
      </c>
      <c r="C85" t="s">
        <v>65</v>
      </c>
      <c r="D85">
        <v>83</v>
      </c>
      <c r="E85">
        <v>108.327372332775</v>
      </c>
      <c r="F85">
        <v>12.593792996247</v>
      </c>
      <c r="G85" t="s">
        <v>64</v>
      </c>
      <c r="H85">
        <v>4</v>
      </c>
      <c r="I85">
        <v>83</v>
      </c>
      <c r="J85">
        <v>4.3794335677630896</v>
      </c>
      <c r="K85" t="b">
        <f t="shared" si="5"/>
        <v>1</v>
      </c>
      <c r="L85">
        <f t="shared" si="6"/>
        <v>125.30059889678509</v>
      </c>
      <c r="M85">
        <f t="shared" si="7"/>
        <v>250.60119779357018</v>
      </c>
      <c r="N85">
        <f t="shared" si="8"/>
        <v>623.38606416310984</v>
      </c>
      <c r="O85" s="21">
        <f t="shared" si="9"/>
        <v>596.66951855611944</v>
      </c>
    </row>
    <row r="86" spans="1:15" x14ac:dyDescent="0.35">
      <c r="A86" t="s">
        <v>64</v>
      </c>
      <c r="B86">
        <v>4</v>
      </c>
      <c r="C86" t="s">
        <v>65</v>
      </c>
      <c r="D86">
        <v>84</v>
      </c>
      <c r="E86">
        <v>109.775470124832</v>
      </c>
      <c r="F86">
        <v>12.882143533815601</v>
      </c>
      <c r="G86" t="s">
        <v>64</v>
      </c>
      <c r="H86">
        <v>4</v>
      </c>
      <c r="I86">
        <v>84</v>
      </c>
      <c r="J86">
        <v>4.4420044322707399</v>
      </c>
      <c r="K86" t="b">
        <f t="shared" si="5"/>
        <v>1</v>
      </c>
      <c r="L86">
        <f t="shared" si="6"/>
        <v>127.09961809091833</v>
      </c>
      <c r="M86">
        <f t="shared" si="7"/>
        <v>254.19923618183665</v>
      </c>
      <c r="N86">
        <f t="shared" si="8"/>
        <v>632.33640841252895</v>
      </c>
      <c r="O86" s="21">
        <f t="shared" si="9"/>
        <v>605.23627662342062</v>
      </c>
    </row>
    <row r="87" spans="1:15" x14ac:dyDescent="0.35">
      <c r="A87" t="s">
        <v>64</v>
      </c>
      <c r="B87">
        <v>4</v>
      </c>
      <c r="C87" t="s">
        <v>65</v>
      </c>
      <c r="D87">
        <v>85</v>
      </c>
      <c r="E87">
        <v>111.216705772955</v>
      </c>
      <c r="F87">
        <v>13.172716564506599</v>
      </c>
      <c r="G87" t="s">
        <v>64</v>
      </c>
      <c r="H87">
        <v>4</v>
      </c>
      <c r="I87">
        <v>85</v>
      </c>
      <c r="J87">
        <v>4.5039867271729603</v>
      </c>
      <c r="K87" t="b">
        <f t="shared" si="5"/>
        <v>1</v>
      </c>
      <c r="L87">
        <f t="shared" si="6"/>
        <v>128.89340906463457</v>
      </c>
      <c r="M87">
        <f t="shared" si="7"/>
        <v>257.78681812926914</v>
      </c>
      <c r="N87">
        <f t="shared" si="8"/>
        <v>641.26074161509734</v>
      </c>
      <c r="O87" s="21">
        <f t="shared" si="9"/>
        <v>613.77813840302179</v>
      </c>
    </row>
    <row r="88" spans="1:15" x14ac:dyDescent="0.35">
      <c r="A88" t="s">
        <v>64</v>
      </c>
      <c r="B88">
        <v>4</v>
      </c>
      <c r="C88" t="s">
        <v>65</v>
      </c>
      <c r="D88">
        <v>86</v>
      </c>
      <c r="E88">
        <v>112.56211081795399</v>
      </c>
      <c r="F88">
        <v>13.441677705973101</v>
      </c>
      <c r="G88" t="s">
        <v>64</v>
      </c>
      <c r="H88">
        <v>4</v>
      </c>
      <c r="I88">
        <v>86</v>
      </c>
      <c r="J88">
        <v>4.5642587732799296</v>
      </c>
      <c r="K88" t="b">
        <f t="shared" si="5"/>
        <v>1</v>
      </c>
      <c r="L88">
        <f t="shared" si="6"/>
        <v>130.56804729720702</v>
      </c>
      <c r="M88">
        <f t="shared" si="7"/>
        <v>261.13609459441403</v>
      </c>
      <c r="N88">
        <f t="shared" si="8"/>
        <v>649.59227511048266</v>
      </c>
      <c r="O88" s="21">
        <f t="shared" si="9"/>
        <v>621.75260617717629</v>
      </c>
    </row>
    <row r="89" spans="1:15" x14ac:dyDescent="0.35">
      <c r="A89" t="s">
        <v>64</v>
      </c>
      <c r="B89">
        <v>4</v>
      </c>
      <c r="C89" t="s">
        <v>65</v>
      </c>
      <c r="D89">
        <v>87</v>
      </c>
      <c r="E89">
        <v>113.910952003383</v>
      </c>
      <c r="F89">
        <v>13.7040620365183</v>
      </c>
      <c r="G89" t="s">
        <v>64</v>
      </c>
      <c r="H89">
        <v>4</v>
      </c>
      <c r="I89">
        <v>87</v>
      </c>
      <c r="J89">
        <v>4.6234463802717203</v>
      </c>
      <c r="K89" t="b">
        <f t="shared" si="5"/>
        <v>1</v>
      </c>
      <c r="L89">
        <f t="shared" si="6"/>
        <v>132.23846042017303</v>
      </c>
      <c r="M89">
        <f t="shared" si="7"/>
        <v>264.47692084034605</v>
      </c>
      <c r="N89">
        <f t="shared" si="8"/>
        <v>657.9027881600648</v>
      </c>
      <c r="O89" s="21">
        <f t="shared" si="9"/>
        <v>629.70695438177631</v>
      </c>
    </row>
    <row r="90" spans="1:15" x14ac:dyDescent="0.35">
      <c r="A90" t="s">
        <v>64</v>
      </c>
      <c r="B90">
        <v>4</v>
      </c>
      <c r="C90" t="s">
        <v>65</v>
      </c>
      <c r="D90">
        <v>88</v>
      </c>
      <c r="E90">
        <v>115.257228732432</v>
      </c>
      <c r="F90">
        <v>13.965538094288499</v>
      </c>
      <c r="G90" t="s">
        <v>64</v>
      </c>
      <c r="H90">
        <v>4</v>
      </c>
      <c r="I90">
        <v>88</v>
      </c>
      <c r="J90">
        <v>4.6818624917039697</v>
      </c>
      <c r="K90" t="b">
        <f t="shared" si="5"/>
        <v>1</v>
      </c>
      <c r="L90">
        <f t="shared" si="6"/>
        <v>133.90462931842447</v>
      </c>
      <c r="M90">
        <f t="shared" si="7"/>
        <v>267.80925863684894</v>
      </c>
      <c r="N90">
        <f t="shared" si="8"/>
        <v>666.19218566380334</v>
      </c>
      <c r="O90" s="21">
        <f t="shared" si="9"/>
        <v>637.64109199249754</v>
      </c>
    </row>
    <row r="91" spans="1:15" x14ac:dyDescent="0.35">
      <c r="A91" t="s">
        <v>64</v>
      </c>
      <c r="B91">
        <v>4</v>
      </c>
      <c r="C91" t="s">
        <v>65</v>
      </c>
      <c r="D91">
        <v>89</v>
      </c>
      <c r="E91">
        <v>116.59863835840299</v>
      </c>
      <c r="F91">
        <v>14.228187487329601</v>
      </c>
      <c r="G91" t="s">
        <v>64</v>
      </c>
      <c r="H91">
        <v>4</v>
      </c>
      <c r="I91">
        <v>89</v>
      </c>
      <c r="J91">
        <v>4.73967776824224</v>
      </c>
      <c r="K91" t="b">
        <f t="shared" si="5"/>
        <v>1</v>
      </c>
      <c r="L91">
        <f t="shared" si="6"/>
        <v>135.56650361397485</v>
      </c>
      <c r="M91">
        <f t="shared" si="7"/>
        <v>271.13300722794969</v>
      </c>
      <c r="N91">
        <f t="shared" si="8"/>
        <v>674.4602169849494</v>
      </c>
      <c r="O91" s="21">
        <f t="shared" si="9"/>
        <v>645.55477911416597</v>
      </c>
    </row>
    <row r="92" spans="1:15" x14ac:dyDescent="0.35">
      <c r="A92" t="s">
        <v>64</v>
      </c>
      <c r="B92">
        <v>4</v>
      </c>
      <c r="C92" t="s">
        <v>65</v>
      </c>
      <c r="D92">
        <v>90</v>
      </c>
      <c r="E92">
        <v>117.934291389271</v>
      </c>
      <c r="F92">
        <v>14.4927249247626</v>
      </c>
      <c r="G92" t="s">
        <v>64</v>
      </c>
      <c r="H92">
        <v>4</v>
      </c>
      <c r="I92">
        <v>90</v>
      </c>
      <c r="J92">
        <v>4.7969935375837904</v>
      </c>
      <c r="K92" t="b">
        <f t="shared" si="5"/>
        <v>1</v>
      </c>
      <c r="L92">
        <f t="shared" si="6"/>
        <v>137.22400985161741</v>
      </c>
      <c r="M92">
        <f t="shared" si="7"/>
        <v>274.44801970323482</v>
      </c>
      <c r="N92">
        <f t="shared" si="8"/>
        <v>682.7065166747135</v>
      </c>
      <c r="O92" s="21">
        <f t="shared" si="9"/>
        <v>653.44766596008287</v>
      </c>
    </row>
    <row r="93" spans="1:15" x14ac:dyDescent="0.35">
      <c r="A93" t="s">
        <v>64</v>
      </c>
      <c r="B93">
        <v>4</v>
      </c>
      <c r="C93" t="s">
        <v>65</v>
      </c>
      <c r="D93">
        <v>91</v>
      </c>
      <c r="E93">
        <v>119.094059777946</v>
      </c>
      <c r="F93">
        <v>14.7240205367728</v>
      </c>
      <c r="G93" t="s">
        <v>64</v>
      </c>
      <c r="H93">
        <v>4</v>
      </c>
      <c r="I93">
        <v>91</v>
      </c>
      <c r="J93">
        <v>4.8515797188680603</v>
      </c>
      <c r="K93" t="b">
        <f t="shared" si="5"/>
        <v>1</v>
      </c>
      <c r="L93">
        <f t="shared" si="6"/>
        <v>138.66966003358687</v>
      </c>
      <c r="M93">
        <f t="shared" si="7"/>
        <v>277.33932006717373</v>
      </c>
      <c r="N93">
        <f t="shared" si="8"/>
        <v>689.89880613724802</v>
      </c>
      <c r="O93" s="21">
        <f t="shared" si="9"/>
        <v>660.33171444565176</v>
      </c>
    </row>
    <row r="94" spans="1:15" x14ac:dyDescent="0.35">
      <c r="A94" t="s">
        <v>64</v>
      </c>
      <c r="B94">
        <v>4</v>
      </c>
      <c r="C94" t="s">
        <v>65</v>
      </c>
      <c r="D94">
        <v>92</v>
      </c>
      <c r="E94">
        <v>120.26323922888101</v>
      </c>
      <c r="F94">
        <v>14.944238130928801</v>
      </c>
      <c r="G94" t="s">
        <v>64</v>
      </c>
      <c r="H94">
        <v>4</v>
      </c>
      <c r="I94">
        <v>92</v>
      </c>
      <c r="J94">
        <v>4.9045120214071298</v>
      </c>
      <c r="K94" t="b">
        <f t="shared" si="5"/>
        <v>1</v>
      </c>
      <c r="L94">
        <f t="shared" si="6"/>
        <v>140.11198938121694</v>
      </c>
      <c r="M94">
        <f t="shared" si="7"/>
        <v>280.22397876243389</v>
      </c>
      <c r="N94">
        <f t="shared" si="8"/>
        <v>697.07457403590513</v>
      </c>
      <c r="O94" s="21">
        <f t="shared" si="9"/>
        <v>667.19994943436643</v>
      </c>
    </row>
    <row r="95" spans="1:15" x14ac:dyDescent="0.35">
      <c r="A95" t="s">
        <v>64</v>
      </c>
      <c r="B95">
        <v>4</v>
      </c>
      <c r="C95" t="s">
        <v>65</v>
      </c>
      <c r="D95">
        <v>93</v>
      </c>
      <c r="E95">
        <v>121.433134296989</v>
      </c>
      <c r="F95">
        <v>15.1616724986654</v>
      </c>
      <c r="G95" t="s">
        <v>64</v>
      </c>
      <c r="H95">
        <v>4</v>
      </c>
      <c r="I95">
        <v>93</v>
      </c>
      <c r="J95">
        <v>4.9563442281971497</v>
      </c>
      <c r="K95" t="b">
        <f t="shared" si="5"/>
        <v>1</v>
      </c>
      <c r="L95">
        <f t="shared" si="6"/>
        <v>141.55115102385153</v>
      </c>
      <c r="M95">
        <f t="shared" si="7"/>
        <v>283.10230204770306</v>
      </c>
      <c r="N95">
        <f t="shared" si="8"/>
        <v>704.23458220821658</v>
      </c>
      <c r="O95" s="21">
        <f t="shared" si="9"/>
        <v>674.05310011357869</v>
      </c>
    </row>
    <row r="96" spans="1:15" x14ac:dyDescent="0.35">
      <c r="A96" t="s">
        <v>64</v>
      </c>
      <c r="B96">
        <v>4</v>
      </c>
      <c r="C96" t="s">
        <v>65</v>
      </c>
      <c r="D96">
        <v>94</v>
      </c>
      <c r="E96">
        <v>122.600460754652</v>
      </c>
      <c r="F96">
        <v>15.3793703301336</v>
      </c>
      <c r="G96" t="s">
        <v>64</v>
      </c>
      <c r="H96">
        <v>4</v>
      </c>
      <c r="I96">
        <v>94</v>
      </c>
      <c r="J96">
        <v>5.0073847393905302</v>
      </c>
      <c r="K96" t="b">
        <f t="shared" si="5"/>
        <v>1</v>
      </c>
      <c r="L96">
        <f t="shared" si="6"/>
        <v>142.98721582417613</v>
      </c>
      <c r="M96">
        <f t="shared" si="7"/>
        <v>285.97443164835227</v>
      </c>
      <c r="N96">
        <f t="shared" si="8"/>
        <v>711.3791832048563</v>
      </c>
      <c r="O96" s="21">
        <f t="shared" si="9"/>
        <v>680.8915039246483</v>
      </c>
    </row>
    <row r="97" spans="1:15" x14ac:dyDescent="0.35">
      <c r="A97" t="s">
        <v>64</v>
      </c>
      <c r="B97">
        <v>4</v>
      </c>
      <c r="C97" t="s">
        <v>65</v>
      </c>
      <c r="D97">
        <v>95</v>
      </c>
      <c r="E97">
        <v>123.76397638470399</v>
      </c>
      <c r="F97">
        <v>15.5984019287813</v>
      </c>
      <c r="G97" t="s">
        <v>64</v>
      </c>
      <c r="H97">
        <v>4</v>
      </c>
      <c r="I97">
        <v>95</v>
      </c>
      <c r="J97">
        <v>5.0578184375121698</v>
      </c>
      <c r="K97" t="b">
        <f t="shared" si="5"/>
        <v>1</v>
      </c>
      <c r="L97">
        <f t="shared" si="6"/>
        <v>144.42019675099746</v>
      </c>
      <c r="M97">
        <f t="shared" si="7"/>
        <v>288.84039350199492</v>
      </c>
      <c r="N97">
        <f t="shared" si="8"/>
        <v>718.50844154725098</v>
      </c>
      <c r="O97" s="21">
        <f t="shared" si="9"/>
        <v>687.71522262379744</v>
      </c>
    </row>
    <row r="98" spans="1:15" x14ac:dyDescent="0.35">
      <c r="A98" t="s">
        <v>64</v>
      </c>
      <c r="B98">
        <v>4</v>
      </c>
      <c r="C98" t="s">
        <v>65</v>
      </c>
      <c r="D98">
        <v>96</v>
      </c>
      <c r="E98">
        <v>124.729261138282</v>
      </c>
      <c r="F98">
        <v>15.7860354011003</v>
      </c>
      <c r="G98" t="s">
        <v>64</v>
      </c>
      <c r="H98">
        <v>4</v>
      </c>
      <c r="I98">
        <v>96</v>
      </c>
      <c r="J98">
        <v>5.1051418652625697</v>
      </c>
      <c r="K98" t="b">
        <f t="shared" si="5"/>
        <v>1</v>
      </c>
      <c r="L98">
        <f t="shared" si="6"/>
        <v>145.62043840464486</v>
      </c>
      <c r="M98">
        <f t="shared" si="7"/>
        <v>291.24087680928972</v>
      </c>
      <c r="N98">
        <f t="shared" si="8"/>
        <v>724.47979305793456</v>
      </c>
      <c r="O98" s="21">
        <f t="shared" si="9"/>
        <v>693.43065906973743</v>
      </c>
    </row>
    <row r="99" spans="1:15" x14ac:dyDescent="0.35">
      <c r="A99" t="s">
        <v>64</v>
      </c>
      <c r="B99">
        <v>4</v>
      </c>
      <c r="C99" t="s">
        <v>65</v>
      </c>
      <c r="D99">
        <v>97</v>
      </c>
      <c r="E99">
        <v>125.70438736137901</v>
      </c>
      <c r="F99">
        <v>15.9632373776295</v>
      </c>
      <c r="G99" t="s">
        <v>64</v>
      </c>
      <c r="H99">
        <v>4</v>
      </c>
      <c r="I99">
        <v>97</v>
      </c>
      <c r="J99">
        <v>5.1505646893392401</v>
      </c>
      <c r="K99" t="b">
        <f t="shared" si="5"/>
        <v>1</v>
      </c>
      <c r="L99">
        <f t="shared" si="6"/>
        <v>146.81818942834775</v>
      </c>
      <c r="M99">
        <f t="shared" si="7"/>
        <v>293.6363788566955</v>
      </c>
      <c r="N99">
        <f t="shared" si="8"/>
        <v>730.4387533748644</v>
      </c>
      <c r="O99" s="21">
        <f t="shared" si="9"/>
        <v>699.13423537308461</v>
      </c>
    </row>
    <row r="100" spans="1:15" x14ac:dyDescent="0.35">
      <c r="A100" t="s">
        <v>64</v>
      </c>
      <c r="B100">
        <v>4</v>
      </c>
      <c r="C100" t="s">
        <v>65</v>
      </c>
      <c r="D100">
        <v>98</v>
      </c>
      <c r="E100">
        <v>126.681219637499</v>
      </c>
      <c r="F100">
        <v>16.137764431024902</v>
      </c>
      <c r="G100" t="s">
        <v>64</v>
      </c>
      <c r="H100">
        <v>4</v>
      </c>
      <c r="I100">
        <v>98</v>
      </c>
      <c r="J100">
        <v>5.1947327833386003</v>
      </c>
      <c r="K100" t="b">
        <f t="shared" si="5"/>
        <v>1</v>
      </c>
      <c r="L100">
        <f t="shared" si="6"/>
        <v>148.01371685186248</v>
      </c>
      <c r="M100">
        <f t="shared" si="7"/>
        <v>296.02743370372497</v>
      </c>
      <c r="N100">
        <f t="shared" si="8"/>
        <v>736.38665100429091</v>
      </c>
      <c r="O100" s="21">
        <f t="shared" si="9"/>
        <v>704.82722310410713</v>
      </c>
    </row>
    <row r="101" spans="1:15" x14ac:dyDescent="0.35">
      <c r="A101" t="s">
        <v>64</v>
      </c>
      <c r="B101">
        <v>4</v>
      </c>
      <c r="C101" t="s">
        <v>65</v>
      </c>
      <c r="D101">
        <v>99</v>
      </c>
      <c r="E101">
        <v>127.656720717076</v>
      </c>
      <c r="F101">
        <v>16.312431879982999</v>
      </c>
      <c r="G101" t="s">
        <v>64</v>
      </c>
      <c r="H101">
        <v>4</v>
      </c>
      <c r="I101">
        <v>99</v>
      </c>
      <c r="J101">
        <v>5.2380173308069198</v>
      </c>
      <c r="K101" t="b">
        <f t="shared" si="5"/>
        <v>1</v>
      </c>
      <c r="L101">
        <f t="shared" si="6"/>
        <v>149.20716992786592</v>
      </c>
      <c r="M101">
        <f t="shared" si="7"/>
        <v>298.41433985573184</v>
      </c>
      <c r="N101">
        <f t="shared" si="8"/>
        <v>742.32422849684531</v>
      </c>
      <c r="O101" s="21">
        <f t="shared" si="9"/>
        <v>710.51033298983771</v>
      </c>
    </row>
    <row r="102" spans="1:15" x14ac:dyDescent="0.35">
      <c r="A102" t="s">
        <v>64</v>
      </c>
      <c r="B102">
        <v>4</v>
      </c>
      <c r="C102" t="s">
        <v>65</v>
      </c>
      <c r="D102">
        <v>100</v>
      </c>
      <c r="E102">
        <v>128.62975640932001</v>
      </c>
      <c r="F102">
        <v>16.4882147233224</v>
      </c>
      <c r="G102" t="s">
        <v>64</v>
      </c>
      <c r="H102">
        <v>4</v>
      </c>
      <c r="I102">
        <v>100</v>
      </c>
      <c r="J102">
        <v>5.2806461487924903</v>
      </c>
      <c r="K102" t="b">
        <f t="shared" si="5"/>
        <v>1</v>
      </c>
      <c r="L102">
        <f t="shared" si="6"/>
        <v>150.39861728143492</v>
      </c>
      <c r="M102">
        <f t="shared" si="7"/>
        <v>300.79723456286985</v>
      </c>
      <c r="N102">
        <f t="shared" si="8"/>
        <v>748.25182727082051</v>
      </c>
      <c r="O102" s="21">
        <f t="shared" si="9"/>
        <v>716.18389181635678</v>
      </c>
    </row>
    <row r="103" spans="1:15" x14ac:dyDescent="0.35">
      <c r="A103" t="s">
        <v>64</v>
      </c>
      <c r="B103">
        <v>6</v>
      </c>
      <c r="C103" t="s">
        <v>65</v>
      </c>
      <c r="D103">
        <v>0</v>
      </c>
      <c r="E103">
        <v>0</v>
      </c>
      <c r="F103">
        <v>0</v>
      </c>
      <c r="G103" t="s">
        <v>64</v>
      </c>
      <c r="H103">
        <v>6</v>
      </c>
      <c r="I103">
        <v>0</v>
      </c>
      <c r="J103">
        <v>0</v>
      </c>
      <c r="K103" t="b">
        <f t="shared" si="5"/>
        <v>1</v>
      </c>
      <c r="L103">
        <f t="shared" si="6"/>
        <v>0</v>
      </c>
      <c r="M103">
        <f t="shared" si="7"/>
        <v>0</v>
      </c>
      <c r="N103">
        <f t="shared" si="8"/>
        <v>0</v>
      </c>
      <c r="O103" s="21">
        <f t="shared" si="9"/>
        <v>0</v>
      </c>
    </row>
    <row r="104" spans="1:15" x14ac:dyDescent="0.35">
      <c r="A104" t="s">
        <v>64</v>
      </c>
      <c r="B104">
        <v>6</v>
      </c>
      <c r="C104" t="s">
        <v>65</v>
      </c>
      <c r="D104">
        <v>1</v>
      </c>
      <c r="E104">
        <v>1.8303030609830101E-2</v>
      </c>
      <c r="F104" s="15">
        <v>7.2676946105700206E-5</v>
      </c>
      <c r="G104" t="s">
        <v>64</v>
      </c>
      <c r="H104">
        <v>6</v>
      </c>
      <c r="I104">
        <v>1</v>
      </c>
      <c r="J104" s="15">
        <v>2.4739315951711999E-4</v>
      </c>
      <c r="K104" t="b">
        <f t="shared" si="5"/>
        <v>1</v>
      </c>
      <c r="L104">
        <f t="shared" si="6"/>
        <v>1.8623100715452923E-2</v>
      </c>
      <c r="M104">
        <f t="shared" si="7"/>
        <v>3.7246201430905845E-2</v>
      </c>
      <c r="N104">
        <f t="shared" si="8"/>
        <v>9.2652242365437426E-2</v>
      </c>
      <c r="O104" s="21">
        <f t="shared" si="9"/>
        <v>8.8681431978347255E-2</v>
      </c>
    </row>
    <row r="105" spans="1:15" x14ac:dyDescent="0.35">
      <c r="A105" t="s">
        <v>64</v>
      </c>
      <c r="B105">
        <v>6</v>
      </c>
      <c r="C105" t="s">
        <v>65</v>
      </c>
      <c r="D105">
        <v>2</v>
      </c>
      <c r="E105">
        <v>4.1181818872117998E-2</v>
      </c>
      <c r="F105" s="15">
        <v>2.3401976646034999E-4</v>
      </c>
      <c r="G105" t="s">
        <v>64</v>
      </c>
      <c r="H105">
        <v>6</v>
      </c>
      <c r="I105">
        <v>2</v>
      </c>
      <c r="J105" s="15">
        <v>7.1559797277383002E-4</v>
      </c>
      <c r="K105" t="b">
        <f t="shared" si="5"/>
        <v>1</v>
      </c>
      <c r="L105">
        <f t="shared" si="6"/>
        <v>4.2131436611352178E-2</v>
      </c>
      <c r="M105">
        <f t="shared" si="7"/>
        <v>8.4262873222704357E-2</v>
      </c>
      <c r="N105">
        <f t="shared" si="8"/>
        <v>0.20960913736991132</v>
      </c>
      <c r="O105" s="21">
        <f t="shared" si="9"/>
        <v>0.20062588862548658</v>
      </c>
    </row>
    <row r="106" spans="1:15" x14ac:dyDescent="0.35">
      <c r="A106" t="s">
        <v>64</v>
      </c>
      <c r="B106">
        <v>6</v>
      </c>
      <c r="C106" t="s">
        <v>65</v>
      </c>
      <c r="D106">
        <v>3</v>
      </c>
      <c r="E106">
        <v>6.9780304199977702E-2</v>
      </c>
      <c r="F106" s="15">
        <v>5.0408003049451995E-4</v>
      </c>
      <c r="G106" t="s">
        <v>64</v>
      </c>
      <c r="H106">
        <v>6</v>
      </c>
      <c r="I106">
        <v>3</v>
      </c>
      <c r="J106">
        <v>1.4055237614571099E-3</v>
      </c>
      <c r="K106" t="b">
        <f t="shared" si="5"/>
        <v>1</v>
      </c>
      <c r="L106">
        <f t="shared" si="6"/>
        <v>7.1689907991929328E-2</v>
      </c>
      <c r="M106">
        <f t="shared" si="7"/>
        <v>0.14337981598385866</v>
      </c>
      <c r="N106">
        <f t="shared" si="8"/>
        <v>0.35666620891507128</v>
      </c>
      <c r="O106" s="21">
        <f t="shared" si="9"/>
        <v>0.34138051424728255</v>
      </c>
    </row>
    <row r="107" spans="1:15" x14ac:dyDescent="0.35">
      <c r="A107" t="s">
        <v>64</v>
      </c>
      <c r="B107">
        <v>6</v>
      </c>
      <c r="C107" t="s">
        <v>65</v>
      </c>
      <c r="D107">
        <v>4</v>
      </c>
      <c r="E107">
        <v>0.105528410859802</v>
      </c>
      <c r="F107" s="15">
        <v>9.0798564697036003E-4</v>
      </c>
      <c r="G107" t="s">
        <v>64</v>
      </c>
      <c r="H107">
        <v>6</v>
      </c>
      <c r="I107">
        <v>4</v>
      </c>
      <c r="J107">
        <v>2.3385943022914001E-3</v>
      </c>
      <c r="K107" t="b">
        <f t="shared" si="5"/>
        <v>1</v>
      </c>
      <c r="L107">
        <f t="shared" si="6"/>
        <v>0.10877499080906376</v>
      </c>
      <c r="M107">
        <f t="shared" si="7"/>
        <v>0.21754998161812752</v>
      </c>
      <c r="N107">
        <f t="shared" si="8"/>
        <v>0.54116910850280475</v>
      </c>
      <c r="O107" s="21">
        <f t="shared" si="9"/>
        <v>0.5179761467098275</v>
      </c>
    </row>
    <row r="108" spans="1:15" x14ac:dyDescent="0.35">
      <c r="A108" t="s">
        <v>64</v>
      </c>
      <c r="B108">
        <v>6</v>
      </c>
      <c r="C108" t="s">
        <v>65</v>
      </c>
      <c r="D108">
        <v>5</v>
      </c>
      <c r="E108">
        <v>0.15021354418458299</v>
      </c>
      <c r="F108">
        <v>1.4772080454053E-3</v>
      </c>
      <c r="G108" t="s">
        <v>64</v>
      </c>
      <c r="H108">
        <v>6</v>
      </c>
      <c r="I108">
        <v>5</v>
      </c>
      <c r="J108">
        <v>3.5538112065498402E-3</v>
      </c>
      <c r="K108" t="b">
        <f t="shared" si="5"/>
        <v>1</v>
      </c>
      <c r="L108">
        <f t="shared" si="6"/>
        <v>0.15524456343653814</v>
      </c>
      <c r="M108">
        <f t="shared" si="7"/>
        <v>0.31048912687307628</v>
      </c>
      <c r="N108">
        <f t="shared" si="8"/>
        <v>0.7723610121220803</v>
      </c>
      <c r="O108" s="21">
        <f t="shared" si="9"/>
        <v>0.73925982588827688</v>
      </c>
    </row>
    <row r="109" spans="1:15" x14ac:dyDescent="0.35">
      <c r="A109" t="s">
        <v>64</v>
      </c>
      <c r="B109">
        <v>6</v>
      </c>
      <c r="C109" t="s">
        <v>65</v>
      </c>
      <c r="D109">
        <v>6</v>
      </c>
      <c r="E109">
        <v>0.20606996084055901</v>
      </c>
      <c r="F109">
        <v>2.2511462099539001E-3</v>
      </c>
      <c r="G109" t="s">
        <v>64</v>
      </c>
      <c r="H109">
        <v>6</v>
      </c>
      <c r="I109">
        <v>6</v>
      </c>
      <c r="J109">
        <v>5.10741276501212E-3</v>
      </c>
      <c r="K109" t="b">
        <f t="shared" si="5"/>
        <v>1</v>
      </c>
      <c r="L109">
        <f t="shared" si="6"/>
        <v>0.21342851981552502</v>
      </c>
      <c r="M109">
        <f t="shared" si="7"/>
        <v>0.42685703963105004</v>
      </c>
      <c r="N109">
        <f t="shared" si="8"/>
        <v>1.0618334319180349</v>
      </c>
      <c r="O109" s="21">
        <f t="shared" si="9"/>
        <v>1.0163262848358334</v>
      </c>
    </row>
    <row r="110" spans="1:15" x14ac:dyDescent="0.35">
      <c r="A110" t="s">
        <v>64</v>
      </c>
      <c r="B110">
        <v>6</v>
      </c>
      <c r="C110" t="s">
        <v>65</v>
      </c>
      <c r="D110">
        <v>7</v>
      </c>
      <c r="E110">
        <v>0.27589048166052899</v>
      </c>
      <c r="F110">
        <v>3.2791067771494398E-3</v>
      </c>
      <c r="G110" t="s">
        <v>64</v>
      </c>
      <c r="H110">
        <v>6</v>
      </c>
      <c r="I110">
        <v>7</v>
      </c>
      <c r="J110">
        <v>7.0743730876919198E-3</v>
      </c>
      <c r="K110" t="b">
        <f t="shared" si="5"/>
        <v>1</v>
      </c>
      <c r="L110">
        <f t="shared" si="6"/>
        <v>0.28624396152537035</v>
      </c>
      <c r="M110">
        <f t="shared" si="7"/>
        <v>0.5724879230507407</v>
      </c>
      <c r="N110">
        <f t="shared" si="8"/>
        <v>1.4240993110714941</v>
      </c>
      <c r="O110" s="21">
        <f t="shared" si="9"/>
        <v>1.3630664834541446</v>
      </c>
    </row>
    <row r="111" spans="1:15" x14ac:dyDescent="0.35">
      <c r="A111" t="s">
        <v>64</v>
      </c>
      <c r="B111">
        <v>6</v>
      </c>
      <c r="C111" t="s">
        <v>65</v>
      </c>
      <c r="D111">
        <v>8</v>
      </c>
      <c r="E111">
        <v>0.36316613268549203</v>
      </c>
      <c r="F111">
        <v>4.6227792118083396E-3</v>
      </c>
      <c r="G111" t="s">
        <v>64</v>
      </c>
      <c r="H111">
        <v>6</v>
      </c>
      <c r="I111">
        <v>8</v>
      </c>
      <c r="J111">
        <v>9.5513964064132002E-3</v>
      </c>
      <c r="K111" t="b">
        <f t="shared" si="5"/>
        <v>1</v>
      </c>
      <c r="L111">
        <f t="shared" si="6"/>
        <v>0.37734030830371357</v>
      </c>
      <c r="M111">
        <f t="shared" si="7"/>
        <v>0.75468061660742713</v>
      </c>
      <c r="N111">
        <f t="shared" si="8"/>
        <v>1.8773149666851421</v>
      </c>
      <c r="O111" s="21">
        <f t="shared" si="9"/>
        <v>1.7968586109700646</v>
      </c>
    </row>
    <row r="112" spans="1:15" x14ac:dyDescent="0.35">
      <c r="A112" t="s">
        <v>64</v>
      </c>
      <c r="B112">
        <v>6</v>
      </c>
      <c r="C112" t="s">
        <v>65</v>
      </c>
      <c r="D112">
        <v>9</v>
      </c>
      <c r="E112">
        <v>0.472260696466694</v>
      </c>
      <c r="F112">
        <v>6.3593298290265197E-3</v>
      </c>
      <c r="G112" t="s">
        <v>64</v>
      </c>
      <c r="H112">
        <v>6</v>
      </c>
      <c r="I112">
        <v>9</v>
      </c>
      <c r="J112">
        <v>1.2661317024663801E-2</v>
      </c>
      <c r="K112" t="b">
        <f t="shared" si="5"/>
        <v>1</v>
      </c>
      <c r="L112">
        <f t="shared" si="6"/>
        <v>0.49128134332038431</v>
      </c>
      <c r="M112">
        <f t="shared" si="7"/>
        <v>0.98256268664076862</v>
      </c>
      <c r="N112">
        <f t="shared" si="8"/>
        <v>2.4441857876636033</v>
      </c>
      <c r="O112" s="21">
        <f t="shared" si="9"/>
        <v>2.3394349681923061</v>
      </c>
    </row>
    <row r="113" spans="1:15" x14ac:dyDescent="0.35">
      <c r="A113" t="s">
        <v>64</v>
      </c>
      <c r="B113">
        <v>6</v>
      </c>
      <c r="C113" t="s">
        <v>65</v>
      </c>
      <c r="D113">
        <v>10</v>
      </c>
      <c r="E113">
        <v>0.60862890119319901</v>
      </c>
      <c r="F113">
        <v>8.5852693722269693E-3</v>
      </c>
      <c r="G113" t="s">
        <v>64</v>
      </c>
      <c r="H113">
        <v>6</v>
      </c>
      <c r="I113">
        <v>10</v>
      </c>
      <c r="J113">
        <v>1.65589885656518E-2</v>
      </c>
      <c r="K113" t="b">
        <f t="shared" si="5"/>
        <v>1</v>
      </c>
      <c r="L113">
        <f t="shared" si="6"/>
        <v>0.63377315913107779</v>
      </c>
      <c r="M113">
        <f t="shared" si="7"/>
        <v>1.2675463182621556</v>
      </c>
      <c r="N113">
        <f t="shared" si="8"/>
        <v>3.1531002941844664</v>
      </c>
      <c r="O113" s="21">
        <f t="shared" si="9"/>
        <v>3.0179674244337038</v>
      </c>
    </row>
    <row r="114" spans="1:15" x14ac:dyDescent="0.35">
      <c r="A114" t="s">
        <v>64</v>
      </c>
      <c r="B114">
        <v>6</v>
      </c>
      <c r="C114" t="s">
        <v>65</v>
      </c>
      <c r="D114">
        <v>11</v>
      </c>
      <c r="E114">
        <v>0.77908915710132898</v>
      </c>
      <c r="F114">
        <v>1.1421287534754901E-2</v>
      </c>
      <c r="G114" t="s">
        <v>64</v>
      </c>
      <c r="H114">
        <v>6</v>
      </c>
      <c r="I114">
        <v>11</v>
      </c>
      <c r="J114">
        <v>2.14388791860574E-2</v>
      </c>
      <c r="K114" t="b">
        <f t="shared" si="5"/>
        <v>1</v>
      </c>
      <c r="L114">
        <f t="shared" si="6"/>
        <v>0.81194932382214124</v>
      </c>
      <c r="M114">
        <f t="shared" si="7"/>
        <v>1.6238986476442825</v>
      </c>
      <c r="N114">
        <f t="shared" si="8"/>
        <v>4.0395488747370205</v>
      </c>
      <c r="O114" s="21">
        <f t="shared" si="9"/>
        <v>3.8664253515340059</v>
      </c>
    </row>
    <row r="115" spans="1:15" x14ac:dyDescent="0.35">
      <c r="A115" t="s">
        <v>64</v>
      </c>
      <c r="B115">
        <v>6</v>
      </c>
      <c r="C115" t="s">
        <v>65</v>
      </c>
      <c r="D115">
        <v>12</v>
      </c>
      <c r="E115">
        <v>0.99216447698649202</v>
      </c>
      <c r="F115">
        <v>1.50182961594364E-2</v>
      </c>
      <c r="G115" t="s">
        <v>64</v>
      </c>
      <c r="H115">
        <v>6</v>
      </c>
      <c r="I115">
        <v>12</v>
      </c>
      <c r="J115">
        <v>2.7544708062143101E-2</v>
      </c>
      <c r="K115" t="b">
        <f t="shared" si="5"/>
        <v>1</v>
      </c>
      <c r="L115">
        <f t="shared" si="6"/>
        <v>1.0347274812080716</v>
      </c>
      <c r="M115">
        <f t="shared" si="7"/>
        <v>2.0694549624161431</v>
      </c>
      <c r="N115">
        <f t="shared" si="8"/>
        <v>5.1478979164580672</v>
      </c>
      <c r="O115" s="21">
        <f t="shared" si="9"/>
        <v>4.9272737200384364</v>
      </c>
    </row>
    <row r="116" spans="1:15" x14ac:dyDescent="0.35">
      <c r="A116" t="s">
        <v>64</v>
      </c>
      <c r="B116">
        <v>6</v>
      </c>
      <c r="C116" t="s">
        <v>65</v>
      </c>
      <c r="D116">
        <v>13</v>
      </c>
      <c r="E116">
        <v>1.25850862684294</v>
      </c>
      <c r="F116">
        <v>1.95649832841642E-2</v>
      </c>
      <c r="G116" t="s">
        <v>64</v>
      </c>
      <c r="H116">
        <v>6</v>
      </c>
      <c r="I116">
        <v>13</v>
      </c>
      <c r="J116">
        <v>3.5181579518472998E-2</v>
      </c>
      <c r="K116" t="b">
        <f t="shared" si="5"/>
        <v>1</v>
      </c>
      <c r="L116">
        <f t="shared" si="6"/>
        <v>1.3132551896455771</v>
      </c>
      <c r="M116">
        <f t="shared" si="7"/>
        <v>2.6265103792911542</v>
      </c>
      <c r="N116">
        <f t="shared" si="8"/>
        <v>6.5336079086844627</v>
      </c>
      <c r="O116" s="21">
        <f t="shared" si="9"/>
        <v>6.2535961411694148</v>
      </c>
    </row>
    <row r="117" spans="1:15" x14ac:dyDescent="0.35">
      <c r="A117" t="s">
        <v>64</v>
      </c>
      <c r="B117">
        <v>6</v>
      </c>
      <c r="C117" t="s">
        <v>65</v>
      </c>
      <c r="D117">
        <v>14</v>
      </c>
      <c r="E117">
        <v>1.5914388141635101</v>
      </c>
      <c r="F117">
        <v>2.52972557436336E-2</v>
      </c>
      <c r="G117" t="s">
        <v>64</v>
      </c>
      <c r="H117">
        <v>6</v>
      </c>
      <c r="I117">
        <v>14</v>
      </c>
      <c r="J117">
        <v>4.4731206890624597E-2</v>
      </c>
      <c r="K117" t="b">
        <f t="shared" si="5"/>
        <v>1</v>
      </c>
      <c r="L117">
        <f t="shared" si="6"/>
        <v>1.6614672767977683</v>
      </c>
      <c r="M117">
        <f t="shared" si="7"/>
        <v>3.3229345535955366</v>
      </c>
      <c r="N117">
        <f t="shared" si="8"/>
        <v>8.2660063522277021</v>
      </c>
      <c r="O117" s="21">
        <f t="shared" si="9"/>
        <v>7.9117489371322298</v>
      </c>
    </row>
    <row r="118" spans="1:15" x14ac:dyDescent="0.35">
      <c r="A118" t="s">
        <v>64</v>
      </c>
      <c r="B118">
        <v>6</v>
      </c>
      <c r="C118" t="s">
        <v>65</v>
      </c>
      <c r="D118">
        <v>15</v>
      </c>
      <c r="E118">
        <v>2.00760154831422</v>
      </c>
      <c r="F118">
        <v>3.2510042464923103E-2</v>
      </c>
      <c r="G118" t="s">
        <v>64</v>
      </c>
      <c r="H118">
        <v>6</v>
      </c>
      <c r="I118">
        <v>15</v>
      </c>
      <c r="J118">
        <v>5.6670978892310202E-2</v>
      </c>
      <c r="K118" t="b">
        <f t="shared" si="5"/>
        <v>1</v>
      </c>
      <c r="L118">
        <f t="shared" si="6"/>
        <v>2.0967825696714533</v>
      </c>
      <c r="M118">
        <f t="shared" si="7"/>
        <v>4.1935651393429065</v>
      </c>
      <c r="N118">
        <f t="shared" si="8"/>
        <v>10.431754077967428</v>
      </c>
      <c r="O118" s="21">
        <f t="shared" si="9"/>
        <v>9.9846789031973966</v>
      </c>
    </row>
    <row r="119" spans="1:15" x14ac:dyDescent="0.35">
      <c r="A119" t="s">
        <v>64</v>
      </c>
      <c r="B119">
        <v>6</v>
      </c>
      <c r="C119" t="s">
        <v>65</v>
      </c>
      <c r="D119">
        <v>16</v>
      </c>
      <c r="E119">
        <v>2.5278049660025999</v>
      </c>
      <c r="F119">
        <v>4.1572048629079303E-2</v>
      </c>
      <c r="G119" t="s">
        <v>64</v>
      </c>
      <c r="H119">
        <v>6</v>
      </c>
      <c r="I119">
        <v>16</v>
      </c>
      <c r="J119">
        <v>7.1597816927164104E-2</v>
      </c>
      <c r="K119" t="b">
        <f t="shared" si="5"/>
        <v>1</v>
      </c>
      <c r="L119">
        <f t="shared" si="6"/>
        <v>2.6409748315588435</v>
      </c>
      <c r="M119">
        <f t="shared" si="7"/>
        <v>5.281949663117687</v>
      </c>
      <c r="N119">
        <f t="shared" si="8"/>
        <v>13.139178266461908</v>
      </c>
      <c r="O119" s="21">
        <f t="shared" si="9"/>
        <v>12.576070626470683</v>
      </c>
    </row>
    <row r="120" spans="1:15" x14ac:dyDescent="0.35">
      <c r="A120" t="s">
        <v>64</v>
      </c>
      <c r="B120">
        <v>6</v>
      </c>
      <c r="C120" t="s">
        <v>65</v>
      </c>
      <c r="D120">
        <v>17</v>
      </c>
      <c r="E120">
        <v>3.1780592381130801</v>
      </c>
      <c r="F120">
        <v>5.2944198413942503E-2</v>
      </c>
      <c r="G120" t="s">
        <v>64</v>
      </c>
      <c r="H120">
        <v>6</v>
      </c>
      <c r="I120">
        <v>17</v>
      </c>
      <c r="J120">
        <v>9.0258013367099696E-2</v>
      </c>
      <c r="K120" t="b">
        <f t="shared" si="5"/>
        <v>1</v>
      </c>
      <c r="L120">
        <f t="shared" si="6"/>
        <v>3.3212614498941226</v>
      </c>
      <c r="M120">
        <f t="shared" si="7"/>
        <v>6.6425228997882453</v>
      </c>
      <c r="N120">
        <f t="shared" si="8"/>
        <v>16.523688805443395</v>
      </c>
      <c r="O120" s="21">
        <f t="shared" si="9"/>
        <v>15.815530713781538</v>
      </c>
    </row>
    <row r="121" spans="1:15" x14ac:dyDescent="0.35">
      <c r="A121" t="s">
        <v>64</v>
      </c>
      <c r="B121">
        <v>6</v>
      </c>
      <c r="C121" t="s">
        <v>65</v>
      </c>
      <c r="D121">
        <v>18</v>
      </c>
      <c r="E121">
        <v>3.99087707825118</v>
      </c>
      <c r="F121">
        <v>6.7202688462299404E-2</v>
      </c>
      <c r="G121" t="s">
        <v>64</v>
      </c>
      <c r="H121">
        <v>6</v>
      </c>
      <c r="I121">
        <v>18</v>
      </c>
      <c r="J121">
        <v>0.11358454103927799</v>
      </c>
      <c r="K121" t="b">
        <f t="shared" si="5"/>
        <v>1</v>
      </c>
      <c r="L121">
        <f t="shared" si="6"/>
        <v>4.1716643077527573</v>
      </c>
      <c r="M121">
        <f t="shared" si="7"/>
        <v>8.3433286155055146</v>
      </c>
      <c r="N121">
        <f t="shared" si="8"/>
        <v>20.754548794789837</v>
      </c>
      <c r="O121" s="21">
        <f t="shared" si="9"/>
        <v>19.865068132155987</v>
      </c>
    </row>
    <row r="122" spans="1:15" x14ac:dyDescent="0.35">
      <c r="A122" t="s">
        <v>64</v>
      </c>
      <c r="B122">
        <v>6</v>
      </c>
      <c r="C122" t="s">
        <v>65</v>
      </c>
      <c r="D122">
        <v>19</v>
      </c>
      <c r="E122">
        <v>5.00689937842382</v>
      </c>
      <c r="F122">
        <v>8.5067804755505197E-2</v>
      </c>
      <c r="G122" t="s">
        <v>64</v>
      </c>
      <c r="H122">
        <v>6</v>
      </c>
      <c r="I122">
        <v>19</v>
      </c>
      <c r="J122">
        <v>0.142743698402342</v>
      </c>
      <c r="K122" t="b">
        <f t="shared" si="5"/>
        <v>1</v>
      </c>
      <c r="L122">
        <f t="shared" si="6"/>
        <v>5.234710881581667</v>
      </c>
      <c r="M122">
        <f t="shared" si="7"/>
        <v>10.469421763163334</v>
      </c>
      <c r="N122">
        <f t="shared" si="8"/>
        <v>26.043337719311776</v>
      </c>
      <c r="O122" s="21">
        <f t="shared" si="9"/>
        <v>24.927194674198415</v>
      </c>
    </row>
    <row r="123" spans="1:15" x14ac:dyDescent="0.35">
      <c r="A123" t="s">
        <v>64</v>
      </c>
      <c r="B123">
        <v>6</v>
      </c>
      <c r="C123" t="s">
        <v>65</v>
      </c>
      <c r="D123">
        <v>20</v>
      </c>
      <c r="E123">
        <v>6.2769272536395899</v>
      </c>
      <c r="F123">
        <v>0.10743994374278799</v>
      </c>
      <c r="G123" t="s">
        <v>64</v>
      </c>
      <c r="H123">
        <v>6</v>
      </c>
      <c r="I123">
        <v>20</v>
      </c>
      <c r="J123">
        <v>0.17919342207199099</v>
      </c>
      <c r="K123" t="b">
        <f t="shared" si="5"/>
        <v>1</v>
      </c>
      <c r="L123">
        <f t="shared" si="6"/>
        <v>6.5635606194543694</v>
      </c>
      <c r="M123">
        <f t="shared" si="7"/>
        <v>13.127121238908739</v>
      </c>
      <c r="N123">
        <f t="shared" si="8"/>
        <v>32.654530445046611</v>
      </c>
      <c r="O123" s="21">
        <f t="shared" si="9"/>
        <v>31.255050568830331</v>
      </c>
    </row>
    <row r="124" spans="1:15" x14ac:dyDescent="0.35">
      <c r="A124" t="s">
        <v>64</v>
      </c>
      <c r="B124">
        <v>6</v>
      </c>
      <c r="C124" t="s">
        <v>65</v>
      </c>
      <c r="D124">
        <v>21</v>
      </c>
      <c r="E124">
        <v>7.8642899999999898</v>
      </c>
      <c r="F124">
        <v>0.135443955430505</v>
      </c>
      <c r="G124" t="s">
        <v>64</v>
      </c>
      <c r="H124">
        <v>6</v>
      </c>
      <c r="I124">
        <v>21</v>
      </c>
      <c r="J124">
        <v>0.22475385579507501</v>
      </c>
      <c r="K124" t="b">
        <f t="shared" si="5"/>
        <v>1</v>
      </c>
      <c r="L124">
        <f t="shared" si="6"/>
        <v>8.2244878112255702</v>
      </c>
      <c r="M124">
        <f t="shared" si="7"/>
        <v>16.44897562245114</v>
      </c>
      <c r="N124">
        <f t="shared" si="8"/>
        <v>40.917849807092388</v>
      </c>
      <c r="O124" s="21">
        <f t="shared" si="9"/>
        <v>39.164227672502719</v>
      </c>
    </row>
    <row r="125" spans="1:15" x14ac:dyDescent="0.35">
      <c r="A125" t="s">
        <v>64</v>
      </c>
      <c r="B125">
        <v>6</v>
      </c>
      <c r="C125" t="s">
        <v>65</v>
      </c>
      <c r="D125">
        <v>22</v>
      </c>
      <c r="E125">
        <v>9.6238799999999998</v>
      </c>
      <c r="F125">
        <v>0.16959475676759</v>
      </c>
      <c r="G125" t="s">
        <v>64</v>
      </c>
      <c r="H125">
        <v>6</v>
      </c>
      <c r="I125">
        <v>22</v>
      </c>
      <c r="J125">
        <v>0.27866738448982697</v>
      </c>
      <c r="K125" t="b">
        <f t="shared" si="5"/>
        <v>1</v>
      </c>
      <c r="L125">
        <f t="shared" si="6"/>
        <v>10.072142141257418</v>
      </c>
      <c r="M125">
        <f t="shared" si="7"/>
        <v>20.144284282514835</v>
      </c>
      <c r="N125">
        <f t="shared" si="8"/>
        <v>50.110159906753317</v>
      </c>
      <c r="O125" s="21">
        <f t="shared" si="9"/>
        <v>47.962581625035327</v>
      </c>
    </row>
    <row r="126" spans="1:15" x14ac:dyDescent="0.35">
      <c r="A126" t="s">
        <v>64</v>
      </c>
      <c r="B126">
        <v>6</v>
      </c>
      <c r="C126" t="s">
        <v>65</v>
      </c>
      <c r="D126">
        <v>23</v>
      </c>
      <c r="E126">
        <v>11.383470000000001</v>
      </c>
      <c r="F126">
        <v>0.209707944064562</v>
      </c>
      <c r="G126" t="s">
        <v>64</v>
      </c>
      <c r="H126">
        <v>6</v>
      </c>
      <c r="I126">
        <v>23</v>
      </c>
      <c r="J126">
        <v>0.33816201180011302</v>
      </c>
      <c r="K126" t="b">
        <f t="shared" si="5"/>
        <v>1</v>
      </c>
      <c r="L126">
        <f t="shared" si="6"/>
        <v>11.931339955864676</v>
      </c>
      <c r="M126">
        <f t="shared" si="7"/>
        <v>23.862679911729352</v>
      </c>
      <c r="N126">
        <f t="shared" si="8"/>
        <v>59.359900277933704</v>
      </c>
      <c r="O126" s="21">
        <f t="shared" si="9"/>
        <v>56.815904551736551</v>
      </c>
    </row>
    <row r="127" spans="1:15" x14ac:dyDescent="0.35">
      <c r="A127" t="s">
        <v>64</v>
      </c>
      <c r="B127">
        <v>6</v>
      </c>
      <c r="C127" t="s">
        <v>65</v>
      </c>
      <c r="D127">
        <v>24</v>
      </c>
      <c r="E127">
        <v>13.14306</v>
      </c>
      <c r="F127">
        <v>0.25560464574262498</v>
      </c>
      <c r="G127" t="s">
        <v>64</v>
      </c>
      <c r="H127">
        <v>6</v>
      </c>
      <c r="I127">
        <v>24</v>
      </c>
      <c r="J127">
        <v>0.401478991158293</v>
      </c>
      <c r="K127" t="b">
        <f t="shared" si="5"/>
        <v>1</v>
      </c>
      <c r="L127">
        <f t="shared" si="6"/>
        <v>13.800143636900918</v>
      </c>
      <c r="M127">
        <f t="shared" si="7"/>
        <v>27.600287273801836</v>
      </c>
      <c r="N127">
        <f t="shared" si="8"/>
        <v>68.657431029357795</v>
      </c>
      <c r="O127" s="21">
        <f t="shared" si="9"/>
        <v>65.714969699528183</v>
      </c>
    </row>
    <row r="128" spans="1:15" x14ac:dyDescent="0.35">
      <c r="A128" t="s">
        <v>64</v>
      </c>
      <c r="B128">
        <v>6</v>
      </c>
      <c r="C128" t="s">
        <v>65</v>
      </c>
      <c r="D128">
        <v>25</v>
      </c>
      <c r="E128">
        <v>14.90265</v>
      </c>
      <c r="F128">
        <v>0.30711135637034698</v>
      </c>
      <c r="G128" t="s">
        <v>64</v>
      </c>
      <c r="H128">
        <v>6</v>
      </c>
      <c r="I128">
        <v>25</v>
      </c>
      <c r="J128">
        <v>0.46747572972184598</v>
      </c>
      <c r="K128" t="b">
        <f t="shared" si="5"/>
        <v>1</v>
      </c>
      <c r="L128">
        <f t="shared" si="6"/>
        <v>15.677237086092193</v>
      </c>
      <c r="M128">
        <f t="shared" si="7"/>
        <v>31.354474172184386</v>
      </c>
      <c r="N128">
        <f t="shared" si="8"/>
        <v>77.996204408418862</v>
      </c>
      <c r="O128" s="21">
        <f t="shared" si="9"/>
        <v>74.653509933772355</v>
      </c>
    </row>
    <row r="129" spans="1:15" x14ac:dyDescent="0.35">
      <c r="A129" t="s">
        <v>64</v>
      </c>
      <c r="B129">
        <v>6</v>
      </c>
      <c r="C129" t="s">
        <v>65</v>
      </c>
      <c r="D129">
        <v>26</v>
      </c>
      <c r="E129">
        <v>16.662240000000001</v>
      </c>
      <c r="F129">
        <v>0.36405977567923598</v>
      </c>
      <c r="G129" t="s">
        <v>64</v>
      </c>
      <c r="H129">
        <v>6</v>
      </c>
      <c r="I129">
        <v>26</v>
      </c>
      <c r="J129">
        <v>0.53539125984601899</v>
      </c>
      <c r="K129" t="b">
        <f t="shared" si="5"/>
        <v>1</v>
      </c>
      <c r="L129">
        <f t="shared" si="6"/>
        <v>17.561691035525257</v>
      </c>
      <c r="M129">
        <f t="shared" si="7"/>
        <v>35.123382071050514</v>
      </c>
      <c r="N129">
        <f t="shared" si="8"/>
        <v>87.371597191667945</v>
      </c>
      <c r="O129" s="21">
        <f t="shared" si="9"/>
        <v>83.627100169167889</v>
      </c>
    </row>
    <row r="130" spans="1:15" x14ac:dyDescent="0.35">
      <c r="A130" t="s">
        <v>64</v>
      </c>
      <c r="B130">
        <v>6</v>
      </c>
      <c r="C130" t="s">
        <v>65</v>
      </c>
      <c r="D130">
        <v>27</v>
      </c>
      <c r="E130">
        <v>18.42183</v>
      </c>
      <c r="F130">
        <v>0.42628665240885899</v>
      </c>
      <c r="G130" t="s">
        <v>64</v>
      </c>
      <c r="H130">
        <v>6</v>
      </c>
      <c r="I130">
        <v>27</v>
      </c>
      <c r="J130">
        <v>0.60470604126952399</v>
      </c>
      <c r="K130" t="b">
        <f t="shared" ref="K130:K193" si="10">H130=B130</f>
        <v>1</v>
      </c>
      <c r="L130">
        <f t="shared" ref="L130:L193" si="11">E130+F130+J130</f>
        <v>19.452822693678382</v>
      </c>
      <c r="M130">
        <f t="shared" ref="M130:M193" si="12">L130*2</f>
        <v>38.905645387356763</v>
      </c>
      <c r="N130">
        <f t="shared" ref="N130:N193" si="13">M130/(1-0.598)</f>
        <v>96.780212406360107</v>
      </c>
      <c r="O130" s="21">
        <f t="shared" ref="O130:O193" si="14">M130/0.42</f>
        <v>92.632489017516107</v>
      </c>
    </row>
    <row r="131" spans="1:15" x14ac:dyDescent="0.35">
      <c r="A131" t="s">
        <v>64</v>
      </c>
      <c r="B131">
        <v>6</v>
      </c>
      <c r="C131" t="s">
        <v>65</v>
      </c>
      <c r="D131">
        <v>28</v>
      </c>
      <c r="E131">
        <v>20.181419999999999</v>
      </c>
      <c r="F131">
        <v>0.49363363283659401</v>
      </c>
      <c r="G131" t="s">
        <v>64</v>
      </c>
      <c r="H131">
        <v>6</v>
      </c>
      <c r="I131">
        <v>28</v>
      </c>
      <c r="J131">
        <v>0.67505688975351896</v>
      </c>
      <c r="K131" t="b">
        <f t="shared" si="10"/>
        <v>1</v>
      </c>
      <c r="L131">
        <f t="shared" si="11"/>
        <v>21.350110522590114</v>
      </c>
      <c r="M131">
        <f t="shared" si="12"/>
        <v>42.700221045180228</v>
      </c>
      <c r="N131">
        <f t="shared" si="13"/>
        <v>106.21945533626922</v>
      </c>
      <c r="O131" s="21">
        <f t="shared" si="14"/>
        <v>101.66719296471483</v>
      </c>
    </row>
    <row r="132" spans="1:15" x14ac:dyDescent="0.35">
      <c r="A132" t="s">
        <v>64</v>
      </c>
      <c r="B132">
        <v>6</v>
      </c>
      <c r="C132" t="s">
        <v>65</v>
      </c>
      <c r="D132">
        <v>29</v>
      </c>
      <c r="E132">
        <v>22.465295999999999</v>
      </c>
      <c r="F132">
        <v>0.56802892785149595</v>
      </c>
      <c r="G132" t="s">
        <v>64</v>
      </c>
      <c r="H132">
        <v>6</v>
      </c>
      <c r="I132">
        <v>29</v>
      </c>
      <c r="J132">
        <v>0.75327093845401805</v>
      </c>
      <c r="K132" t="b">
        <f t="shared" si="10"/>
        <v>1</v>
      </c>
      <c r="L132">
        <f t="shared" si="11"/>
        <v>23.786595866305515</v>
      </c>
      <c r="M132">
        <f t="shared" si="12"/>
        <v>47.573191732611029</v>
      </c>
      <c r="N132">
        <f t="shared" si="13"/>
        <v>118.34127296669409</v>
      </c>
      <c r="O132" s="21">
        <f t="shared" si="14"/>
        <v>113.26950412526436</v>
      </c>
    </row>
    <row r="133" spans="1:15" x14ac:dyDescent="0.35">
      <c r="A133" t="s">
        <v>64</v>
      </c>
      <c r="B133">
        <v>6</v>
      </c>
      <c r="C133" t="s">
        <v>65</v>
      </c>
      <c r="D133">
        <v>30</v>
      </c>
      <c r="E133">
        <v>24.749172000000002</v>
      </c>
      <c r="F133">
        <v>0.64926108801595095</v>
      </c>
      <c r="G133" t="s">
        <v>64</v>
      </c>
      <c r="H133">
        <v>6</v>
      </c>
      <c r="I133">
        <v>30</v>
      </c>
      <c r="J133">
        <v>0.83662639550511797</v>
      </c>
      <c r="K133" t="b">
        <f t="shared" si="10"/>
        <v>1</v>
      </c>
      <c r="L133">
        <f t="shared" si="11"/>
        <v>26.23505948352107</v>
      </c>
      <c r="M133">
        <f t="shared" si="12"/>
        <v>52.47011896704214</v>
      </c>
      <c r="N133">
        <f t="shared" si="13"/>
        <v>130.52268399761726</v>
      </c>
      <c r="O133" s="21">
        <f t="shared" si="14"/>
        <v>124.92885468343367</v>
      </c>
    </row>
    <row r="134" spans="1:15" x14ac:dyDescent="0.35">
      <c r="A134" t="s">
        <v>64</v>
      </c>
      <c r="B134">
        <v>6</v>
      </c>
      <c r="C134" t="s">
        <v>65</v>
      </c>
      <c r="D134">
        <v>31</v>
      </c>
      <c r="E134">
        <v>27.033048000000001</v>
      </c>
      <c r="F134">
        <v>0.73712500737547204</v>
      </c>
      <c r="G134" t="s">
        <v>64</v>
      </c>
      <c r="H134">
        <v>6</v>
      </c>
      <c r="I134">
        <v>31</v>
      </c>
      <c r="J134">
        <v>0.92342853193179497</v>
      </c>
      <c r="K134" t="b">
        <f t="shared" si="10"/>
        <v>1</v>
      </c>
      <c r="L134">
        <f t="shared" si="11"/>
        <v>28.693601539307267</v>
      </c>
      <c r="M134">
        <f t="shared" si="12"/>
        <v>57.387203078614533</v>
      </c>
      <c r="N134">
        <f t="shared" si="13"/>
        <v>142.7542365139665</v>
      </c>
      <c r="O134" s="21">
        <f t="shared" si="14"/>
        <v>136.63619780622508</v>
      </c>
    </row>
    <row r="135" spans="1:15" x14ac:dyDescent="0.35">
      <c r="A135" t="s">
        <v>64</v>
      </c>
      <c r="B135">
        <v>6</v>
      </c>
      <c r="C135" t="s">
        <v>65</v>
      </c>
      <c r="D135">
        <v>32</v>
      </c>
      <c r="E135">
        <v>29.316924</v>
      </c>
      <c r="F135">
        <v>0.83142173315420798</v>
      </c>
      <c r="G135" t="s">
        <v>64</v>
      </c>
      <c r="H135">
        <v>6</v>
      </c>
      <c r="I135">
        <v>32</v>
      </c>
      <c r="J135">
        <v>1.01259881369438</v>
      </c>
      <c r="K135" t="b">
        <f t="shared" si="10"/>
        <v>1</v>
      </c>
      <c r="L135">
        <f t="shared" si="11"/>
        <v>31.16094454684859</v>
      </c>
      <c r="M135">
        <f t="shared" si="12"/>
        <v>62.32188909369718</v>
      </c>
      <c r="N135">
        <f t="shared" si="13"/>
        <v>155.02957485994324</v>
      </c>
      <c r="O135" s="21">
        <f t="shared" si="14"/>
        <v>148.38545022308853</v>
      </c>
    </row>
    <row r="136" spans="1:15" x14ac:dyDescent="0.35">
      <c r="A136" t="s">
        <v>64</v>
      </c>
      <c r="B136">
        <v>6</v>
      </c>
      <c r="C136" t="s">
        <v>65</v>
      </c>
      <c r="D136">
        <v>33</v>
      </c>
      <c r="E136">
        <v>31.6008</v>
      </c>
      <c r="F136">
        <v>0.93195828115958201</v>
      </c>
      <c r="G136" t="s">
        <v>64</v>
      </c>
      <c r="H136">
        <v>6</v>
      </c>
      <c r="I136">
        <v>33</v>
      </c>
      <c r="J136">
        <v>1.1034342652907001</v>
      </c>
      <c r="K136" t="b">
        <f t="shared" si="10"/>
        <v>1</v>
      </c>
      <c r="L136">
        <f t="shared" si="11"/>
        <v>33.636192546450282</v>
      </c>
      <c r="M136">
        <f t="shared" si="12"/>
        <v>67.272385092900564</v>
      </c>
      <c r="N136">
        <f t="shared" si="13"/>
        <v>167.34424152462825</v>
      </c>
      <c r="O136" s="21">
        <f t="shared" si="14"/>
        <v>160.17234545928707</v>
      </c>
    </row>
    <row r="137" spans="1:15" x14ac:dyDescent="0.35">
      <c r="A137" t="s">
        <v>64</v>
      </c>
      <c r="B137">
        <v>6</v>
      </c>
      <c r="C137" t="s">
        <v>65</v>
      </c>
      <c r="D137">
        <v>34</v>
      </c>
      <c r="E137">
        <v>34.344324</v>
      </c>
      <c r="F137">
        <v>1.04037260872479</v>
      </c>
      <c r="G137" t="s">
        <v>64</v>
      </c>
      <c r="H137">
        <v>6</v>
      </c>
      <c r="I137">
        <v>34</v>
      </c>
      <c r="J137">
        <v>1.2016779794682499</v>
      </c>
      <c r="K137" t="b">
        <f t="shared" si="10"/>
        <v>1</v>
      </c>
      <c r="L137">
        <f t="shared" si="11"/>
        <v>36.586374588193038</v>
      </c>
      <c r="M137">
        <f t="shared" si="12"/>
        <v>73.172749176386077</v>
      </c>
      <c r="N137">
        <f t="shared" si="13"/>
        <v>182.02176412036337</v>
      </c>
      <c r="O137" s="21">
        <f t="shared" si="14"/>
        <v>174.22083137234782</v>
      </c>
    </row>
    <row r="138" spans="1:15" x14ac:dyDescent="0.35">
      <c r="A138" t="s">
        <v>64</v>
      </c>
      <c r="B138">
        <v>6</v>
      </c>
      <c r="C138" t="s">
        <v>65</v>
      </c>
      <c r="D138">
        <v>35</v>
      </c>
      <c r="E138">
        <v>37.087848000000001</v>
      </c>
      <c r="F138">
        <v>1.1564283824630499</v>
      </c>
      <c r="G138" t="s">
        <v>64</v>
      </c>
      <c r="H138">
        <v>6</v>
      </c>
      <c r="I138">
        <v>35</v>
      </c>
      <c r="J138">
        <v>1.30478744660943</v>
      </c>
      <c r="K138" t="b">
        <f t="shared" si="10"/>
        <v>1</v>
      </c>
      <c r="L138">
        <f t="shared" si="11"/>
        <v>39.54906382907248</v>
      </c>
      <c r="M138">
        <f t="shared" si="12"/>
        <v>79.098127658144961</v>
      </c>
      <c r="N138">
        <f t="shared" si="13"/>
        <v>196.76151158742528</v>
      </c>
      <c r="O138" s="21">
        <f t="shared" si="14"/>
        <v>188.32887537653562</v>
      </c>
    </row>
    <row r="139" spans="1:15" x14ac:dyDescent="0.35">
      <c r="A139" t="s">
        <v>64</v>
      </c>
      <c r="B139">
        <v>6</v>
      </c>
      <c r="C139" t="s">
        <v>65</v>
      </c>
      <c r="D139">
        <v>36</v>
      </c>
      <c r="E139">
        <v>39.831372000000002</v>
      </c>
      <c r="F139">
        <v>1.2798963589891601</v>
      </c>
      <c r="G139" t="s">
        <v>64</v>
      </c>
      <c r="H139">
        <v>6</v>
      </c>
      <c r="I139">
        <v>36</v>
      </c>
      <c r="J139">
        <v>1.41117358334758</v>
      </c>
      <c r="K139" t="b">
        <f t="shared" si="10"/>
        <v>1</v>
      </c>
      <c r="L139">
        <f t="shared" si="11"/>
        <v>42.522441942336748</v>
      </c>
      <c r="M139">
        <f t="shared" si="12"/>
        <v>85.044883884673496</v>
      </c>
      <c r="N139">
        <f t="shared" si="13"/>
        <v>211.55443752406342</v>
      </c>
      <c r="O139" s="21">
        <f t="shared" si="14"/>
        <v>202.48781877303213</v>
      </c>
    </row>
    <row r="140" spans="1:15" x14ac:dyDescent="0.35">
      <c r="A140" t="s">
        <v>64</v>
      </c>
      <c r="B140">
        <v>6</v>
      </c>
      <c r="C140" t="s">
        <v>65</v>
      </c>
      <c r="D140">
        <v>37</v>
      </c>
      <c r="E140">
        <v>42.574896000000003</v>
      </c>
      <c r="F140">
        <v>1.4105541722194801</v>
      </c>
      <c r="G140" t="s">
        <v>64</v>
      </c>
      <c r="H140">
        <v>6</v>
      </c>
      <c r="I140">
        <v>37</v>
      </c>
      <c r="J140">
        <v>1.5198208288951001</v>
      </c>
      <c r="K140" t="b">
        <f t="shared" si="10"/>
        <v>1</v>
      </c>
      <c r="L140">
        <f t="shared" si="11"/>
        <v>45.505271001114579</v>
      </c>
      <c r="M140">
        <f t="shared" si="12"/>
        <v>91.010542002229158</v>
      </c>
      <c r="N140">
        <f t="shared" si="13"/>
        <v>226.39438309012226</v>
      </c>
      <c r="O140" s="21">
        <f t="shared" si="14"/>
        <v>216.69176667197419</v>
      </c>
    </row>
    <row r="141" spans="1:15" x14ac:dyDescent="0.35">
      <c r="A141" t="s">
        <v>64</v>
      </c>
      <c r="B141">
        <v>6</v>
      </c>
      <c r="C141" t="s">
        <v>65</v>
      </c>
      <c r="D141">
        <v>38</v>
      </c>
      <c r="E141">
        <v>45.279929467906001</v>
      </c>
      <c r="F141">
        <v>1.5826770201715401</v>
      </c>
      <c r="G141" t="s">
        <v>64</v>
      </c>
      <c r="H141">
        <v>6</v>
      </c>
      <c r="I141">
        <v>38</v>
      </c>
      <c r="J141">
        <v>1.62954402822439</v>
      </c>
      <c r="K141" t="b">
        <f t="shared" si="10"/>
        <v>1</v>
      </c>
      <c r="L141">
        <f t="shared" si="11"/>
        <v>48.492150516301926</v>
      </c>
      <c r="M141">
        <f t="shared" si="12"/>
        <v>96.984301032603852</v>
      </c>
      <c r="N141">
        <f t="shared" si="13"/>
        <v>241.25448018060658</v>
      </c>
      <c r="O141" s="21">
        <f t="shared" si="14"/>
        <v>230.9150024585806</v>
      </c>
    </row>
    <row r="142" spans="1:15" x14ac:dyDescent="0.35">
      <c r="A142" t="s">
        <v>64</v>
      </c>
      <c r="B142">
        <v>6</v>
      </c>
      <c r="C142" t="s">
        <v>65</v>
      </c>
      <c r="D142">
        <v>39</v>
      </c>
      <c r="E142">
        <v>48.151793415782301</v>
      </c>
      <c r="F142">
        <v>1.9012885224545799</v>
      </c>
      <c r="G142" t="s">
        <v>64</v>
      </c>
      <c r="H142">
        <v>6</v>
      </c>
      <c r="I142">
        <v>39</v>
      </c>
      <c r="J142">
        <v>1.74233779372473</v>
      </c>
      <c r="K142" t="b">
        <f t="shared" si="10"/>
        <v>1</v>
      </c>
      <c r="L142">
        <f t="shared" si="11"/>
        <v>51.795419731961609</v>
      </c>
      <c r="M142">
        <f t="shared" si="12"/>
        <v>103.59083946392322</v>
      </c>
      <c r="N142">
        <f t="shared" si="13"/>
        <v>257.68865538289356</v>
      </c>
      <c r="O142" s="21">
        <f t="shared" si="14"/>
        <v>246.64485586648385</v>
      </c>
    </row>
    <row r="143" spans="1:15" x14ac:dyDescent="0.35">
      <c r="A143" t="s">
        <v>64</v>
      </c>
      <c r="B143">
        <v>6</v>
      </c>
      <c r="C143" t="s">
        <v>65</v>
      </c>
      <c r="D143">
        <v>40</v>
      </c>
      <c r="E143">
        <v>50.967231887365102</v>
      </c>
      <c r="F143">
        <v>2.2698815568417499</v>
      </c>
      <c r="G143" t="s">
        <v>64</v>
      </c>
      <c r="H143">
        <v>6</v>
      </c>
      <c r="I143">
        <v>40</v>
      </c>
      <c r="J143">
        <v>1.8564405527818499</v>
      </c>
      <c r="K143" t="b">
        <f t="shared" si="10"/>
        <v>1</v>
      </c>
      <c r="L143">
        <f t="shared" si="11"/>
        <v>55.093553996988703</v>
      </c>
      <c r="M143">
        <f t="shared" si="12"/>
        <v>110.18710799397741</v>
      </c>
      <c r="N143">
        <f t="shared" si="13"/>
        <v>274.09728356710798</v>
      </c>
      <c r="O143" s="21">
        <f t="shared" si="14"/>
        <v>262.35025712851763</v>
      </c>
    </row>
    <row r="144" spans="1:15" x14ac:dyDescent="0.35">
      <c r="A144" t="s">
        <v>64</v>
      </c>
      <c r="B144">
        <v>6</v>
      </c>
      <c r="C144" t="s">
        <v>65</v>
      </c>
      <c r="D144">
        <v>41</v>
      </c>
      <c r="E144">
        <v>53.747832479539497</v>
      </c>
      <c r="F144">
        <v>2.6667974012045899</v>
      </c>
      <c r="G144" t="s">
        <v>64</v>
      </c>
      <c r="H144">
        <v>6</v>
      </c>
      <c r="I144">
        <v>41</v>
      </c>
      <c r="J144">
        <v>1.9710145177299701</v>
      </c>
      <c r="K144" t="b">
        <f t="shared" si="10"/>
        <v>1</v>
      </c>
      <c r="L144">
        <f t="shared" si="11"/>
        <v>58.385644398474057</v>
      </c>
      <c r="M144">
        <f t="shared" si="12"/>
        <v>116.77128879694811</v>
      </c>
      <c r="N144">
        <f t="shared" si="13"/>
        <v>290.4758427784779</v>
      </c>
      <c r="O144" s="21">
        <f t="shared" si="14"/>
        <v>278.02687808797168</v>
      </c>
    </row>
    <row r="145" spans="1:15" x14ac:dyDescent="0.35">
      <c r="A145" t="s">
        <v>64</v>
      </c>
      <c r="B145">
        <v>6</v>
      </c>
      <c r="C145" t="s">
        <v>65</v>
      </c>
      <c r="D145">
        <v>42</v>
      </c>
      <c r="E145">
        <v>56.502691112269297</v>
      </c>
      <c r="F145">
        <v>3.0826066564724299</v>
      </c>
      <c r="G145" t="s">
        <v>64</v>
      </c>
      <c r="H145">
        <v>6</v>
      </c>
      <c r="I145">
        <v>42</v>
      </c>
      <c r="J145">
        <v>2.08562795742791</v>
      </c>
      <c r="K145" t="b">
        <f t="shared" si="10"/>
        <v>1</v>
      </c>
      <c r="L145">
        <f t="shared" si="11"/>
        <v>61.670925726169635</v>
      </c>
      <c r="M145">
        <f t="shared" si="12"/>
        <v>123.34185145233927</v>
      </c>
      <c r="N145">
        <f t="shared" si="13"/>
        <v>306.82052600084393</v>
      </c>
      <c r="O145" s="21">
        <f t="shared" si="14"/>
        <v>293.67107488652209</v>
      </c>
    </row>
    <row r="146" spans="1:15" x14ac:dyDescent="0.35">
      <c r="A146" t="s">
        <v>64</v>
      </c>
      <c r="B146">
        <v>6</v>
      </c>
      <c r="C146" t="s">
        <v>65</v>
      </c>
      <c r="D146">
        <v>43</v>
      </c>
      <c r="E146">
        <v>59.235440669108002</v>
      </c>
      <c r="F146">
        <v>3.5132227905019802</v>
      </c>
      <c r="G146" t="s">
        <v>64</v>
      </c>
      <c r="H146">
        <v>6</v>
      </c>
      <c r="I146">
        <v>43</v>
      </c>
      <c r="J146">
        <v>2.2000324670643101</v>
      </c>
      <c r="K146" t="b">
        <f t="shared" si="10"/>
        <v>1</v>
      </c>
      <c r="L146">
        <f t="shared" si="11"/>
        <v>64.94869592667429</v>
      </c>
      <c r="M146">
        <f t="shared" si="12"/>
        <v>129.89739185334858</v>
      </c>
      <c r="N146">
        <f t="shared" si="13"/>
        <v>323.12784043121536</v>
      </c>
      <c r="O146" s="21">
        <f t="shared" si="14"/>
        <v>309.27950441273475</v>
      </c>
    </row>
    <row r="147" spans="1:15" x14ac:dyDescent="0.35">
      <c r="A147" t="s">
        <v>64</v>
      </c>
      <c r="B147">
        <v>6</v>
      </c>
      <c r="C147" t="s">
        <v>65</v>
      </c>
      <c r="D147">
        <v>44</v>
      </c>
      <c r="E147">
        <v>62.160182237166097</v>
      </c>
      <c r="F147">
        <v>3.9342215948810302</v>
      </c>
      <c r="G147" t="s">
        <v>64</v>
      </c>
      <c r="H147">
        <v>6</v>
      </c>
      <c r="I147">
        <v>44</v>
      </c>
      <c r="J147">
        <v>2.31694374013464</v>
      </c>
      <c r="K147" t="b">
        <f t="shared" si="10"/>
        <v>1</v>
      </c>
      <c r="L147">
        <f t="shared" si="11"/>
        <v>68.411347572181768</v>
      </c>
      <c r="M147">
        <f t="shared" si="12"/>
        <v>136.82269514436354</v>
      </c>
      <c r="N147">
        <f t="shared" si="13"/>
        <v>340.35496304568039</v>
      </c>
      <c r="O147" s="21">
        <f t="shared" si="14"/>
        <v>325.76832177229414</v>
      </c>
    </row>
    <row r="148" spans="1:15" x14ac:dyDescent="0.35">
      <c r="A148" t="s">
        <v>64</v>
      </c>
      <c r="B148">
        <v>6</v>
      </c>
      <c r="C148" t="s">
        <v>65</v>
      </c>
      <c r="D148">
        <v>45</v>
      </c>
      <c r="E148">
        <v>65.060045540489497</v>
      </c>
      <c r="F148">
        <v>4.3731597585035598</v>
      </c>
      <c r="G148" t="s">
        <v>64</v>
      </c>
      <c r="H148">
        <v>6</v>
      </c>
      <c r="I148">
        <v>45</v>
      </c>
      <c r="J148">
        <v>2.4351597667796501</v>
      </c>
      <c r="K148" t="b">
        <f t="shared" si="10"/>
        <v>1</v>
      </c>
      <c r="L148">
        <f t="shared" si="11"/>
        <v>71.868365065772707</v>
      </c>
      <c r="M148">
        <f t="shared" si="12"/>
        <v>143.73673013154541</v>
      </c>
      <c r="N148">
        <f t="shared" si="13"/>
        <v>357.55405505359556</v>
      </c>
      <c r="O148" s="21">
        <f t="shared" si="14"/>
        <v>342.2303098370129</v>
      </c>
    </row>
    <row r="149" spans="1:15" x14ac:dyDescent="0.35">
      <c r="A149" t="s">
        <v>64</v>
      </c>
      <c r="B149">
        <v>6</v>
      </c>
      <c r="C149" t="s">
        <v>65</v>
      </c>
      <c r="D149">
        <v>46</v>
      </c>
      <c r="E149">
        <v>67.931146276295095</v>
      </c>
      <c r="F149">
        <v>4.8327310844270697</v>
      </c>
      <c r="G149" t="s">
        <v>64</v>
      </c>
      <c r="H149">
        <v>6</v>
      </c>
      <c r="I149">
        <v>46</v>
      </c>
      <c r="J149">
        <v>2.5538723818954598</v>
      </c>
      <c r="K149" t="b">
        <f t="shared" si="10"/>
        <v>1</v>
      </c>
      <c r="L149">
        <f t="shared" si="11"/>
        <v>75.317749742617622</v>
      </c>
      <c r="M149">
        <f t="shared" si="12"/>
        <v>150.63549948523524</v>
      </c>
      <c r="N149">
        <f t="shared" si="13"/>
        <v>374.71517284884385</v>
      </c>
      <c r="O149" s="21">
        <f t="shared" si="14"/>
        <v>358.65595115532204</v>
      </c>
    </row>
    <row r="150" spans="1:15" x14ac:dyDescent="0.35">
      <c r="A150" t="s">
        <v>64</v>
      </c>
      <c r="B150">
        <v>6</v>
      </c>
      <c r="C150" t="s">
        <v>65</v>
      </c>
      <c r="D150">
        <v>47</v>
      </c>
      <c r="E150">
        <v>70.771300728284999</v>
      </c>
      <c r="F150">
        <v>5.3139677280492199</v>
      </c>
      <c r="G150" t="s">
        <v>64</v>
      </c>
      <c r="H150">
        <v>6</v>
      </c>
      <c r="I150">
        <v>47</v>
      </c>
      <c r="J150">
        <v>2.6725322802533</v>
      </c>
      <c r="K150" t="b">
        <f t="shared" si="10"/>
        <v>1</v>
      </c>
      <c r="L150">
        <f t="shared" si="11"/>
        <v>78.757800736587512</v>
      </c>
      <c r="M150">
        <f t="shared" si="12"/>
        <v>157.51560147317502</v>
      </c>
      <c r="N150">
        <f t="shared" si="13"/>
        <v>391.82985441088312</v>
      </c>
      <c r="O150" s="21">
        <f t="shared" si="14"/>
        <v>375.03714636470244</v>
      </c>
    </row>
    <row r="151" spans="1:15" x14ac:dyDescent="0.35">
      <c r="A151" t="s">
        <v>64</v>
      </c>
      <c r="B151">
        <v>6</v>
      </c>
      <c r="C151" t="s">
        <v>65</v>
      </c>
      <c r="D151">
        <v>48</v>
      </c>
      <c r="E151">
        <v>73.579123975548598</v>
      </c>
      <c r="F151">
        <v>5.8171282888960203</v>
      </c>
      <c r="G151" t="s">
        <v>64</v>
      </c>
      <c r="H151">
        <v>6</v>
      </c>
      <c r="I151">
        <v>48</v>
      </c>
      <c r="J151">
        <v>2.79075917598013</v>
      </c>
      <c r="K151" t="b">
        <f t="shared" si="10"/>
        <v>1</v>
      </c>
      <c r="L151">
        <f t="shared" si="11"/>
        <v>82.18701144042474</v>
      </c>
      <c r="M151">
        <f t="shared" si="12"/>
        <v>164.37402288084948</v>
      </c>
      <c r="N151">
        <f t="shared" si="13"/>
        <v>408.89060418121761</v>
      </c>
      <c r="O151" s="21">
        <f t="shared" si="14"/>
        <v>391.3667211448797</v>
      </c>
    </row>
    <row r="152" spans="1:15" x14ac:dyDescent="0.35">
      <c r="A152" t="s">
        <v>64</v>
      </c>
      <c r="B152">
        <v>6</v>
      </c>
      <c r="C152" t="s">
        <v>65</v>
      </c>
      <c r="D152">
        <v>49</v>
      </c>
      <c r="E152">
        <v>76.459560790502096</v>
      </c>
      <c r="F152">
        <v>6.2988839335595301</v>
      </c>
      <c r="G152" t="s">
        <v>64</v>
      </c>
      <c r="H152">
        <v>6</v>
      </c>
      <c r="I152">
        <v>49</v>
      </c>
      <c r="J152">
        <v>2.9097155160994301</v>
      </c>
      <c r="K152" t="b">
        <f t="shared" si="10"/>
        <v>1</v>
      </c>
      <c r="L152">
        <f t="shared" si="11"/>
        <v>85.668160240161058</v>
      </c>
      <c r="M152">
        <f t="shared" si="12"/>
        <v>171.33632048032212</v>
      </c>
      <c r="N152">
        <f t="shared" si="13"/>
        <v>426.20975243861221</v>
      </c>
      <c r="O152" s="21">
        <f t="shared" si="14"/>
        <v>407.94362019124316</v>
      </c>
    </row>
    <row r="153" spans="1:15" x14ac:dyDescent="0.35">
      <c r="A153" t="s">
        <v>64</v>
      </c>
      <c r="B153">
        <v>6</v>
      </c>
      <c r="C153" t="s">
        <v>65</v>
      </c>
      <c r="D153">
        <v>50</v>
      </c>
      <c r="E153">
        <v>79.329964385351403</v>
      </c>
      <c r="F153">
        <v>6.7829009044710196</v>
      </c>
      <c r="G153" t="s">
        <v>64</v>
      </c>
      <c r="H153">
        <v>6</v>
      </c>
      <c r="I153">
        <v>50</v>
      </c>
      <c r="J153">
        <v>3.0290190070566001</v>
      </c>
      <c r="K153" t="b">
        <f t="shared" si="10"/>
        <v>1</v>
      </c>
      <c r="L153">
        <f t="shared" si="11"/>
        <v>89.141884296879027</v>
      </c>
      <c r="M153">
        <f t="shared" si="12"/>
        <v>178.28376859375805</v>
      </c>
      <c r="N153">
        <f t="shared" si="13"/>
        <v>443.49196167601502</v>
      </c>
      <c r="O153" s="21">
        <f t="shared" si="14"/>
        <v>424.48516331847156</v>
      </c>
    </row>
    <row r="154" spans="1:15" x14ac:dyDescent="0.35">
      <c r="A154" t="s">
        <v>64</v>
      </c>
      <c r="B154">
        <v>6</v>
      </c>
      <c r="C154" t="s">
        <v>65</v>
      </c>
      <c r="D154">
        <v>51</v>
      </c>
      <c r="E154">
        <v>82.179241464680999</v>
      </c>
      <c r="F154">
        <v>7.2790670581416999</v>
      </c>
      <c r="G154" t="s">
        <v>64</v>
      </c>
      <c r="H154">
        <v>6</v>
      </c>
      <c r="I154">
        <v>51</v>
      </c>
      <c r="J154">
        <v>3.1482773762707899</v>
      </c>
      <c r="K154" t="b">
        <f t="shared" si="10"/>
        <v>1</v>
      </c>
      <c r="L154">
        <f t="shared" si="11"/>
        <v>92.606585899093488</v>
      </c>
      <c r="M154">
        <f t="shared" si="12"/>
        <v>185.21317179818698</v>
      </c>
      <c r="N154">
        <f t="shared" si="13"/>
        <v>460.72928308006709</v>
      </c>
      <c r="O154" s="21">
        <f t="shared" si="14"/>
        <v>440.98374237663569</v>
      </c>
    </row>
    <row r="155" spans="1:15" x14ac:dyDescent="0.35">
      <c r="A155" t="s">
        <v>64</v>
      </c>
      <c r="B155">
        <v>6</v>
      </c>
      <c r="C155" t="s">
        <v>65</v>
      </c>
      <c r="D155">
        <v>52</v>
      </c>
      <c r="E155">
        <v>85.0024177628746</v>
      </c>
      <c r="F155">
        <v>7.7913042175449103</v>
      </c>
      <c r="G155" t="s">
        <v>64</v>
      </c>
      <c r="H155">
        <v>6</v>
      </c>
      <c r="I155">
        <v>52</v>
      </c>
      <c r="J155">
        <v>3.2671697662093102</v>
      </c>
      <c r="K155" t="b">
        <f t="shared" si="10"/>
        <v>1</v>
      </c>
      <c r="L155">
        <f t="shared" si="11"/>
        <v>96.060891746628812</v>
      </c>
      <c r="M155">
        <f t="shared" si="12"/>
        <v>192.12178349325762</v>
      </c>
      <c r="N155">
        <f t="shared" si="13"/>
        <v>477.91488431158609</v>
      </c>
      <c r="O155" s="21">
        <f t="shared" si="14"/>
        <v>457.43281784108962</v>
      </c>
    </row>
    <row r="156" spans="1:15" x14ac:dyDescent="0.35">
      <c r="A156" t="s">
        <v>64</v>
      </c>
      <c r="B156">
        <v>6</v>
      </c>
      <c r="C156" t="s">
        <v>65</v>
      </c>
      <c r="D156">
        <v>53</v>
      </c>
      <c r="E156">
        <v>87.797142598432004</v>
      </c>
      <c r="F156">
        <v>8.3209875417601697</v>
      </c>
      <c r="G156" t="s">
        <v>64</v>
      </c>
      <c r="H156">
        <v>6</v>
      </c>
      <c r="I156">
        <v>53</v>
      </c>
      <c r="J156">
        <v>3.3854531228145901</v>
      </c>
      <c r="K156" t="b">
        <f t="shared" si="10"/>
        <v>1</v>
      </c>
      <c r="L156">
        <f t="shared" si="11"/>
        <v>99.503583263006774</v>
      </c>
      <c r="M156">
        <f t="shared" si="12"/>
        <v>199.00716652601355</v>
      </c>
      <c r="N156">
        <f t="shared" si="13"/>
        <v>495.04270280102872</v>
      </c>
      <c r="O156" s="21">
        <f t="shared" si="14"/>
        <v>473.82658696669893</v>
      </c>
    </row>
    <row r="157" spans="1:15" x14ac:dyDescent="0.35">
      <c r="A157" t="s">
        <v>64</v>
      </c>
      <c r="B157">
        <v>6</v>
      </c>
      <c r="C157" t="s">
        <v>65</v>
      </c>
      <c r="D157">
        <v>54</v>
      </c>
      <c r="E157">
        <v>90.589872670152104</v>
      </c>
      <c r="F157">
        <v>8.8177483129682699</v>
      </c>
      <c r="G157" t="s">
        <v>64</v>
      </c>
      <c r="H157">
        <v>6</v>
      </c>
      <c r="I157">
        <v>54</v>
      </c>
      <c r="J157">
        <v>3.5033219873419998</v>
      </c>
      <c r="K157" t="b">
        <f t="shared" si="10"/>
        <v>1</v>
      </c>
      <c r="L157">
        <f t="shared" si="11"/>
        <v>102.91094297046239</v>
      </c>
      <c r="M157">
        <f t="shared" si="12"/>
        <v>205.82188594092477</v>
      </c>
      <c r="N157">
        <f t="shared" si="13"/>
        <v>511.99474114657903</v>
      </c>
      <c r="O157" s="21">
        <f t="shared" si="14"/>
        <v>490.05210938315423</v>
      </c>
    </row>
    <row r="158" spans="1:15" x14ac:dyDescent="0.35">
      <c r="A158" t="s">
        <v>64</v>
      </c>
      <c r="B158">
        <v>6</v>
      </c>
      <c r="C158" t="s">
        <v>65</v>
      </c>
      <c r="D158">
        <v>55</v>
      </c>
      <c r="E158">
        <v>93.378632895771702</v>
      </c>
      <c r="F158">
        <v>9.3107269498151908</v>
      </c>
      <c r="G158" t="s">
        <v>64</v>
      </c>
      <c r="H158">
        <v>6</v>
      </c>
      <c r="I158">
        <v>55</v>
      </c>
      <c r="J158">
        <v>3.6208673246381502</v>
      </c>
      <c r="K158" t="b">
        <f t="shared" si="10"/>
        <v>1</v>
      </c>
      <c r="L158">
        <f t="shared" si="11"/>
        <v>106.31022717022505</v>
      </c>
      <c r="M158">
        <f t="shared" si="12"/>
        <v>212.6204543404501</v>
      </c>
      <c r="N158">
        <f t="shared" si="13"/>
        <v>528.90660283694046</v>
      </c>
      <c r="O158" s="21">
        <f t="shared" si="14"/>
        <v>506.23917700107165</v>
      </c>
    </row>
    <row r="159" spans="1:15" x14ac:dyDescent="0.35">
      <c r="A159" t="s">
        <v>64</v>
      </c>
      <c r="B159">
        <v>6</v>
      </c>
      <c r="C159" t="s">
        <v>65</v>
      </c>
      <c r="D159">
        <v>56</v>
      </c>
      <c r="E159">
        <v>96.150611447183095</v>
      </c>
      <c r="F159">
        <v>9.8116235475407994</v>
      </c>
      <c r="G159" t="s">
        <v>64</v>
      </c>
      <c r="H159">
        <v>6</v>
      </c>
      <c r="I159">
        <v>56</v>
      </c>
      <c r="J159">
        <v>3.7379712194733901</v>
      </c>
      <c r="K159" t="b">
        <f t="shared" si="10"/>
        <v>1</v>
      </c>
      <c r="L159">
        <f t="shared" si="11"/>
        <v>109.70020621419729</v>
      </c>
      <c r="M159">
        <f t="shared" si="12"/>
        <v>219.40041242839459</v>
      </c>
      <c r="N159">
        <f t="shared" si="13"/>
        <v>545.77217021988702</v>
      </c>
      <c r="O159" s="21">
        <f t="shared" si="14"/>
        <v>522.3819343533205</v>
      </c>
    </row>
    <row r="160" spans="1:15" x14ac:dyDescent="0.35">
      <c r="A160" t="s">
        <v>64</v>
      </c>
      <c r="B160">
        <v>6</v>
      </c>
      <c r="C160" t="s">
        <v>65</v>
      </c>
      <c r="D160">
        <v>57</v>
      </c>
      <c r="E160">
        <v>98.900414773747599</v>
      </c>
      <c r="F160">
        <v>10.3249218732324</v>
      </c>
      <c r="G160" t="s">
        <v>64</v>
      </c>
      <c r="H160">
        <v>6</v>
      </c>
      <c r="I160">
        <v>57</v>
      </c>
      <c r="J160">
        <v>3.85448367849644</v>
      </c>
      <c r="K160" t="b">
        <f t="shared" si="10"/>
        <v>1</v>
      </c>
      <c r="L160">
        <f t="shared" si="11"/>
        <v>113.07982032547643</v>
      </c>
      <c r="M160">
        <f t="shared" si="12"/>
        <v>226.15964065095287</v>
      </c>
      <c r="N160">
        <f t="shared" si="13"/>
        <v>562.5861707735146</v>
      </c>
      <c r="O160" s="21">
        <f t="shared" si="14"/>
        <v>538.47533488322108</v>
      </c>
    </row>
    <row r="161" spans="1:15" x14ac:dyDescent="0.35">
      <c r="A161" t="s">
        <v>64</v>
      </c>
      <c r="B161">
        <v>6</v>
      </c>
      <c r="C161" t="s">
        <v>65</v>
      </c>
      <c r="D161">
        <v>58</v>
      </c>
      <c r="E161">
        <v>101.62569571085299</v>
      </c>
      <c r="F161">
        <v>10.8521543228317</v>
      </c>
      <c r="G161" t="s">
        <v>64</v>
      </c>
      <c r="H161">
        <v>6</v>
      </c>
      <c r="I161">
        <v>58</v>
      </c>
      <c r="J161">
        <v>3.9702744582086602</v>
      </c>
      <c r="K161" t="b">
        <f t="shared" si="10"/>
        <v>1</v>
      </c>
      <c r="L161">
        <f t="shared" si="11"/>
        <v>116.44812449189335</v>
      </c>
      <c r="M161">
        <f t="shared" si="12"/>
        <v>232.89624898378671</v>
      </c>
      <c r="N161">
        <f t="shared" si="13"/>
        <v>579.34390294474304</v>
      </c>
      <c r="O161" s="21">
        <f t="shared" si="14"/>
        <v>554.51487853282549</v>
      </c>
    </row>
    <row r="162" spans="1:15" x14ac:dyDescent="0.35">
      <c r="A162" t="s">
        <v>64</v>
      </c>
      <c r="B162">
        <v>6</v>
      </c>
      <c r="C162" t="s">
        <v>65</v>
      </c>
      <c r="D162">
        <v>59</v>
      </c>
      <c r="E162">
        <v>104.276518025336</v>
      </c>
      <c r="F162">
        <v>11.340454567800901</v>
      </c>
      <c r="G162" t="s">
        <v>64</v>
      </c>
      <c r="H162">
        <v>6</v>
      </c>
      <c r="I162">
        <v>59</v>
      </c>
      <c r="J162">
        <v>4.0845818645138401</v>
      </c>
      <c r="K162" t="b">
        <f t="shared" si="10"/>
        <v>1</v>
      </c>
      <c r="L162">
        <f t="shared" si="11"/>
        <v>119.70155445765074</v>
      </c>
      <c r="M162">
        <f t="shared" si="12"/>
        <v>239.40310891530149</v>
      </c>
      <c r="N162">
        <f t="shared" si="13"/>
        <v>595.53012167985446</v>
      </c>
      <c r="O162" s="21">
        <f t="shared" si="14"/>
        <v>570.00740217928933</v>
      </c>
    </row>
    <row r="163" spans="1:15" x14ac:dyDescent="0.35">
      <c r="A163" t="s">
        <v>64</v>
      </c>
      <c r="B163">
        <v>6</v>
      </c>
      <c r="C163" t="s">
        <v>65</v>
      </c>
      <c r="D163">
        <v>60</v>
      </c>
      <c r="E163">
        <v>106.927529952199</v>
      </c>
      <c r="F163">
        <v>11.821365054629201</v>
      </c>
      <c r="G163" t="s">
        <v>64</v>
      </c>
      <c r="H163">
        <v>6</v>
      </c>
      <c r="I163">
        <v>60</v>
      </c>
      <c r="J163">
        <v>4.1979219748851504</v>
      </c>
      <c r="K163" t="b">
        <f t="shared" si="10"/>
        <v>1</v>
      </c>
      <c r="L163">
        <f t="shared" si="11"/>
        <v>122.94681698171334</v>
      </c>
      <c r="M163">
        <f t="shared" si="12"/>
        <v>245.89363396342668</v>
      </c>
      <c r="N163">
        <f t="shared" si="13"/>
        <v>611.67570637668325</v>
      </c>
      <c r="O163" s="21">
        <f t="shared" si="14"/>
        <v>585.46103324625403</v>
      </c>
    </row>
    <row r="164" spans="1:15" x14ac:dyDescent="0.35">
      <c r="A164" t="s">
        <v>64</v>
      </c>
      <c r="B164">
        <v>6</v>
      </c>
      <c r="C164" t="s">
        <v>65</v>
      </c>
      <c r="D164">
        <v>61</v>
      </c>
      <c r="E164">
        <v>109.565443047909</v>
      </c>
      <c r="F164">
        <v>12.3071689481971</v>
      </c>
      <c r="G164" t="s">
        <v>64</v>
      </c>
      <c r="H164">
        <v>6</v>
      </c>
      <c r="I164">
        <v>61</v>
      </c>
      <c r="J164">
        <v>4.3104365483856002</v>
      </c>
      <c r="K164" t="b">
        <f t="shared" si="10"/>
        <v>1</v>
      </c>
      <c r="L164">
        <f t="shared" si="11"/>
        <v>126.1830485444917</v>
      </c>
      <c r="M164">
        <f t="shared" si="12"/>
        <v>252.36609708898339</v>
      </c>
      <c r="N164">
        <f t="shared" si="13"/>
        <v>627.77636091786906</v>
      </c>
      <c r="O164" s="21">
        <f t="shared" si="14"/>
        <v>600.87165973567483</v>
      </c>
    </row>
    <row r="165" spans="1:15" x14ac:dyDescent="0.35">
      <c r="A165" t="s">
        <v>64</v>
      </c>
      <c r="B165">
        <v>6</v>
      </c>
      <c r="C165" t="s">
        <v>65</v>
      </c>
      <c r="D165">
        <v>62</v>
      </c>
      <c r="E165">
        <v>112.18489644057701</v>
      </c>
      <c r="F165">
        <v>12.802449819400801</v>
      </c>
      <c r="G165" t="s">
        <v>64</v>
      </c>
      <c r="H165">
        <v>6</v>
      </c>
      <c r="I165">
        <v>62</v>
      </c>
      <c r="J165">
        <v>4.4221422620529296</v>
      </c>
      <c r="K165" t="b">
        <f t="shared" si="10"/>
        <v>1</v>
      </c>
      <c r="L165">
        <f t="shared" si="11"/>
        <v>129.40948852203076</v>
      </c>
      <c r="M165">
        <f t="shared" si="12"/>
        <v>258.81897704406151</v>
      </c>
      <c r="N165">
        <f t="shared" si="13"/>
        <v>643.82830110463055</v>
      </c>
      <c r="O165" s="21">
        <f t="shared" si="14"/>
        <v>616.23565962871794</v>
      </c>
    </row>
    <row r="166" spans="1:15" x14ac:dyDescent="0.35">
      <c r="A166" t="s">
        <v>64</v>
      </c>
      <c r="B166">
        <v>6</v>
      </c>
      <c r="C166" t="s">
        <v>65</v>
      </c>
      <c r="D166">
        <v>63</v>
      </c>
      <c r="E166">
        <v>114.78368067632999</v>
      </c>
      <c r="F166">
        <v>13.308742145738901</v>
      </c>
      <c r="G166" t="s">
        <v>64</v>
      </c>
      <c r="H166">
        <v>6</v>
      </c>
      <c r="I166">
        <v>63</v>
      </c>
      <c r="J166">
        <v>4.5330200394394504</v>
      </c>
      <c r="K166" t="b">
        <f t="shared" si="10"/>
        <v>1</v>
      </c>
      <c r="L166">
        <f t="shared" si="11"/>
        <v>132.62544286150836</v>
      </c>
      <c r="M166">
        <f t="shared" si="12"/>
        <v>265.25088572301672</v>
      </c>
      <c r="N166">
        <f t="shared" si="13"/>
        <v>659.82807393785254</v>
      </c>
      <c r="O166" s="21">
        <f t="shared" si="14"/>
        <v>631.54972791194461</v>
      </c>
    </row>
    <row r="167" spans="1:15" x14ac:dyDescent="0.35">
      <c r="A167" t="s">
        <v>64</v>
      </c>
      <c r="B167">
        <v>6</v>
      </c>
      <c r="C167" t="s">
        <v>65</v>
      </c>
      <c r="D167">
        <v>64</v>
      </c>
      <c r="E167">
        <v>117.269741304874</v>
      </c>
      <c r="F167">
        <v>13.772262478996399</v>
      </c>
      <c r="G167" t="s">
        <v>64</v>
      </c>
      <c r="H167">
        <v>6</v>
      </c>
      <c r="I167">
        <v>64</v>
      </c>
      <c r="J167">
        <v>4.64181358870613</v>
      </c>
      <c r="K167" t="b">
        <f t="shared" si="10"/>
        <v>1</v>
      </c>
      <c r="L167">
        <f t="shared" si="11"/>
        <v>135.68381737257653</v>
      </c>
      <c r="M167">
        <f t="shared" si="12"/>
        <v>271.36763474515305</v>
      </c>
      <c r="N167">
        <f t="shared" si="13"/>
        <v>675.04386752525636</v>
      </c>
      <c r="O167" s="21">
        <f t="shared" si="14"/>
        <v>646.11341605988821</v>
      </c>
    </row>
    <row r="168" spans="1:15" x14ac:dyDescent="0.35">
      <c r="A168" t="s">
        <v>64</v>
      </c>
      <c r="B168">
        <v>6</v>
      </c>
      <c r="C168" t="s">
        <v>65</v>
      </c>
      <c r="D168">
        <v>65</v>
      </c>
      <c r="E168">
        <v>119.759468936397</v>
      </c>
      <c r="F168">
        <v>14.225931707567099</v>
      </c>
      <c r="G168" t="s">
        <v>64</v>
      </c>
      <c r="H168">
        <v>6</v>
      </c>
      <c r="I168">
        <v>65</v>
      </c>
      <c r="J168">
        <v>4.7492888313522101</v>
      </c>
      <c r="K168" t="b">
        <f t="shared" si="10"/>
        <v>1</v>
      </c>
      <c r="L168">
        <f t="shared" si="11"/>
        <v>138.73468947531632</v>
      </c>
      <c r="M168">
        <f t="shared" si="12"/>
        <v>277.46937895063263</v>
      </c>
      <c r="N168">
        <f t="shared" si="13"/>
        <v>690.22233569809111</v>
      </c>
      <c r="O168" s="21">
        <f t="shared" si="14"/>
        <v>660.64137845388723</v>
      </c>
    </row>
    <row r="169" spans="1:15" x14ac:dyDescent="0.35">
      <c r="A169" t="s">
        <v>64</v>
      </c>
      <c r="B169">
        <v>6</v>
      </c>
      <c r="C169" t="s">
        <v>65</v>
      </c>
      <c r="D169">
        <v>66</v>
      </c>
      <c r="E169">
        <v>122.239430755098</v>
      </c>
      <c r="F169">
        <v>14.682266061166199</v>
      </c>
      <c r="G169" t="s">
        <v>64</v>
      </c>
      <c r="H169">
        <v>6</v>
      </c>
      <c r="I169">
        <v>66</v>
      </c>
      <c r="J169">
        <v>4.8557434868094296</v>
      </c>
      <c r="K169" t="b">
        <f t="shared" si="10"/>
        <v>1</v>
      </c>
      <c r="L169">
        <f t="shared" si="11"/>
        <v>141.7774403030736</v>
      </c>
      <c r="M169">
        <f t="shared" si="12"/>
        <v>283.55488060614721</v>
      </c>
      <c r="N169">
        <f t="shared" si="13"/>
        <v>705.36039951777911</v>
      </c>
      <c r="O169" s="21">
        <f t="shared" si="14"/>
        <v>675.13066810987436</v>
      </c>
    </row>
    <row r="170" spans="1:15" x14ac:dyDescent="0.35">
      <c r="A170" t="s">
        <v>64</v>
      </c>
      <c r="B170">
        <v>6</v>
      </c>
      <c r="C170" t="s">
        <v>65</v>
      </c>
      <c r="D170">
        <v>67</v>
      </c>
      <c r="E170">
        <v>124.70437782137</v>
      </c>
      <c r="F170">
        <v>15.1458423481462</v>
      </c>
      <c r="G170" t="s">
        <v>64</v>
      </c>
      <c r="H170">
        <v>6</v>
      </c>
      <c r="I170">
        <v>67</v>
      </c>
      <c r="J170">
        <v>4.9612966568896297</v>
      </c>
      <c r="K170" t="b">
        <f t="shared" si="10"/>
        <v>1</v>
      </c>
      <c r="L170">
        <f t="shared" si="11"/>
        <v>144.81151682640584</v>
      </c>
      <c r="M170">
        <f t="shared" si="12"/>
        <v>289.62303365281167</v>
      </c>
      <c r="N170">
        <f t="shared" si="13"/>
        <v>720.45530759405881</v>
      </c>
      <c r="O170" s="21">
        <f t="shared" si="14"/>
        <v>689.57865155431352</v>
      </c>
    </row>
    <row r="171" spans="1:15" x14ac:dyDescent="0.35">
      <c r="A171" t="s">
        <v>64</v>
      </c>
      <c r="B171">
        <v>6</v>
      </c>
      <c r="C171" t="s">
        <v>65</v>
      </c>
      <c r="D171">
        <v>68</v>
      </c>
      <c r="E171">
        <v>127.152231244136</v>
      </c>
      <c r="F171">
        <v>15.6181729937301</v>
      </c>
      <c r="G171" t="s">
        <v>64</v>
      </c>
      <c r="H171">
        <v>6</v>
      </c>
      <c r="I171">
        <v>68</v>
      </c>
      <c r="J171">
        <v>5.0659989297758496</v>
      </c>
      <c r="K171" t="b">
        <f t="shared" si="10"/>
        <v>1</v>
      </c>
      <c r="L171">
        <f t="shared" si="11"/>
        <v>147.83640316764195</v>
      </c>
      <c r="M171">
        <f t="shared" si="12"/>
        <v>295.67280633528389</v>
      </c>
      <c r="N171">
        <f t="shared" si="13"/>
        <v>735.50449337135296</v>
      </c>
      <c r="O171" s="21">
        <f t="shared" si="14"/>
        <v>703.98287222686645</v>
      </c>
    </row>
    <row r="172" spans="1:15" x14ac:dyDescent="0.35">
      <c r="A172" t="s">
        <v>64</v>
      </c>
      <c r="B172">
        <v>6</v>
      </c>
      <c r="C172" t="s">
        <v>65</v>
      </c>
      <c r="D172">
        <v>69</v>
      </c>
      <c r="E172">
        <v>129.42575563421599</v>
      </c>
      <c r="F172">
        <v>16.045801486557099</v>
      </c>
      <c r="G172" t="s">
        <v>64</v>
      </c>
      <c r="H172">
        <v>6</v>
      </c>
      <c r="I172">
        <v>69</v>
      </c>
      <c r="J172">
        <v>5.1677602765600001</v>
      </c>
      <c r="K172" t="b">
        <f t="shared" si="10"/>
        <v>1</v>
      </c>
      <c r="L172">
        <f t="shared" si="11"/>
        <v>150.63931739733309</v>
      </c>
      <c r="M172">
        <f t="shared" si="12"/>
        <v>301.27863479466617</v>
      </c>
      <c r="N172">
        <f t="shared" si="13"/>
        <v>749.44934028523915</v>
      </c>
      <c r="O172" s="21">
        <f t="shared" si="14"/>
        <v>717.33008284444327</v>
      </c>
    </row>
    <row r="173" spans="1:15" x14ac:dyDescent="0.35">
      <c r="A173" t="s">
        <v>64</v>
      </c>
      <c r="B173">
        <v>6</v>
      </c>
      <c r="C173" t="s">
        <v>65</v>
      </c>
      <c r="D173">
        <v>70</v>
      </c>
      <c r="E173">
        <v>131.70570009342501</v>
      </c>
      <c r="F173">
        <v>16.461976734378599</v>
      </c>
      <c r="G173" t="s">
        <v>64</v>
      </c>
      <c r="H173">
        <v>6</v>
      </c>
      <c r="I173">
        <v>70</v>
      </c>
      <c r="J173">
        <v>5.26768328947177</v>
      </c>
      <c r="K173" t="b">
        <f t="shared" si="10"/>
        <v>1</v>
      </c>
      <c r="L173">
        <f t="shared" si="11"/>
        <v>153.43536011727537</v>
      </c>
      <c r="M173">
        <f t="shared" si="12"/>
        <v>306.87072023455073</v>
      </c>
      <c r="N173">
        <f t="shared" si="13"/>
        <v>763.36000058345951</v>
      </c>
      <c r="O173" s="21">
        <f t="shared" si="14"/>
        <v>730.64457198702553</v>
      </c>
    </row>
    <row r="174" spans="1:15" x14ac:dyDescent="0.35">
      <c r="A174" t="s">
        <v>64</v>
      </c>
      <c r="B174">
        <v>6</v>
      </c>
      <c r="C174" t="s">
        <v>65</v>
      </c>
      <c r="D174">
        <v>71</v>
      </c>
      <c r="E174">
        <v>133.978839987502</v>
      </c>
      <c r="F174">
        <v>16.879091144752699</v>
      </c>
      <c r="G174" t="s">
        <v>64</v>
      </c>
      <c r="H174">
        <v>6</v>
      </c>
      <c r="I174">
        <v>71</v>
      </c>
      <c r="J174">
        <v>5.3662780700914503</v>
      </c>
      <c r="K174" t="b">
        <f t="shared" si="10"/>
        <v>1</v>
      </c>
      <c r="L174">
        <f t="shared" si="11"/>
        <v>156.22420920234615</v>
      </c>
      <c r="M174">
        <f t="shared" si="12"/>
        <v>312.44841840469229</v>
      </c>
      <c r="N174">
        <f t="shared" si="13"/>
        <v>777.23487165346341</v>
      </c>
      <c r="O174" s="21">
        <f t="shared" si="14"/>
        <v>743.92480572545787</v>
      </c>
    </row>
    <row r="175" spans="1:15" x14ac:dyDescent="0.35">
      <c r="A175" t="s">
        <v>64</v>
      </c>
      <c r="B175">
        <v>6</v>
      </c>
      <c r="C175" t="s">
        <v>65</v>
      </c>
      <c r="D175">
        <v>72</v>
      </c>
      <c r="E175">
        <v>136.24013716125199</v>
      </c>
      <c r="F175">
        <v>17.301602354470699</v>
      </c>
      <c r="G175" t="s">
        <v>64</v>
      </c>
      <c r="H175">
        <v>6</v>
      </c>
      <c r="I175">
        <v>72</v>
      </c>
      <c r="J175">
        <v>5.4638017046597804</v>
      </c>
      <c r="K175" t="b">
        <f t="shared" si="10"/>
        <v>1</v>
      </c>
      <c r="L175">
        <f t="shared" si="11"/>
        <v>159.00554122038247</v>
      </c>
      <c r="M175">
        <f t="shared" si="12"/>
        <v>318.01108244076494</v>
      </c>
      <c r="N175">
        <f t="shared" si="13"/>
        <v>791.07234438001228</v>
      </c>
      <c r="O175" s="21">
        <f t="shared" si="14"/>
        <v>757.16924390658323</v>
      </c>
    </row>
    <row r="176" spans="1:15" x14ac:dyDescent="0.35">
      <c r="A176" t="s">
        <v>64</v>
      </c>
      <c r="B176">
        <v>6</v>
      </c>
      <c r="C176" t="s">
        <v>65</v>
      </c>
      <c r="D176">
        <v>73</v>
      </c>
      <c r="E176">
        <v>138.487656719048</v>
      </c>
      <c r="F176">
        <v>17.730970232999098</v>
      </c>
      <c r="G176" t="s">
        <v>64</v>
      </c>
      <c r="H176">
        <v>6</v>
      </c>
      <c r="I176">
        <v>73</v>
      </c>
      <c r="J176">
        <v>5.5603966200518604</v>
      </c>
      <c r="K176" t="b">
        <f t="shared" si="10"/>
        <v>1</v>
      </c>
      <c r="L176">
        <f t="shared" si="11"/>
        <v>161.77902357209894</v>
      </c>
      <c r="M176">
        <f t="shared" si="12"/>
        <v>323.55804714419787</v>
      </c>
      <c r="N176">
        <f t="shared" si="13"/>
        <v>804.87076404029312</v>
      </c>
      <c r="O176" s="21">
        <f t="shared" si="14"/>
        <v>770.37630272428066</v>
      </c>
    </row>
    <row r="177" spans="1:15" x14ac:dyDescent="0.35">
      <c r="A177" t="s">
        <v>64</v>
      </c>
      <c r="B177">
        <v>6</v>
      </c>
      <c r="C177" t="s">
        <v>65</v>
      </c>
      <c r="D177">
        <v>74</v>
      </c>
      <c r="E177">
        <v>140.505996597131</v>
      </c>
      <c r="F177">
        <v>18.1142269770931</v>
      </c>
      <c r="G177" t="s">
        <v>64</v>
      </c>
      <c r="H177">
        <v>6</v>
      </c>
      <c r="I177">
        <v>74</v>
      </c>
      <c r="J177">
        <v>5.6532478655773302</v>
      </c>
      <c r="K177" t="b">
        <f t="shared" si="10"/>
        <v>1</v>
      </c>
      <c r="L177">
        <f t="shared" si="11"/>
        <v>164.27347143980143</v>
      </c>
      <c r="M177">
        <f t="shared" si="12"/>
        <v>328.54694287960285</v>
      </c>
      <c r="N177">
        <f t="shared" si="13"/>
        <v>817.28095243682299</v>
      </c>
      <c r="O177" s="21">
        <f t="shared" si="14"/>
        <v>782.2546259038163</v>
      </c>
    </row>
    <row r="178" spans="1:15" x14ac:dyDescent="0.35">
      <c r="A178" t="s">
        <v>64</v>
      </c>
      <c r="B178">
        <v>6</v>
      </c>
      <c r="C178" t="s">
        <v>65</v>
      </c>
      <c r="D178">
        <v>75</v>
      </c>
      <c r="E178">
        <v>142.53328294296799</v>
      </c>
      <c r="F178">
        <v>18.484745374410799</v>
      </c>
      <c r="G178" t="s">
        <v>64</v>
      </c>
      <c r="H178">
        <v>6</v>
      </c>
      <c r="I178">
        <v>75</v>
      </c>
      <c r="J178">
        <v>5.74377031540247</v>
      </c>
      <c r="K178" t="b">
        <f t="shared" si="10"/>
        <v>1</v>
      </c>
      <c r="L178">
        <f t="shared" si="11"/>
        <v>166.76179863278125</v>
      </c>
      <c r="M178">
        <f t="shared" si="12"/>
        <v>333.5235972655625</v>
      </c>
      <c r="N178">
        <f t="shared" si="13"/>
        <v>829.66068971532957</v>
      </c>
      <c r="O178" s="21">
        <f t="shared" si="14"/>
        <v>794.10380301324403</v>
      </c>
    </row>
    <row r="179" spans="1:15" x14ac:dyDescent="0.35">
      <c r="A179" t="s">
        <v>64</v>
      </c>
      <c r="B179">
        <v>6</v>
      </c>
      <c r="C179" t="s">
        <v>65</v>
      </c>
      <c r="D179">
        <v>76</v>
      </c>
      <c r="E179">
        <v>144.556520521854</v>
      </c>
      <c r="F179">
        <v>18.854760358798401</v>
      </c>
      <c r="G179" t="s">
        <v>64</v>
      </c>
      <c r="H179">
        <v>6</v>
      </c>
      <c r="I179">
        <v>76</v>
      </c>
      <c r="J179">
        <v>5.8326722203382202</v>
      </c>
      <c r="K179" t="b">
        <f t="shared" si="10"/>
        <v>1</v>
      </c>
      <c r="L179">
        <f t="shared" si="11"/>
        <v>169.24395310099061</v>
      </c>
      <c r="M179">
        <f t="shared" si="12"/>
        <v>338.48790620198122</v>
      </c>
      <c r="N179">
        <f t="shared" si="13"/>
        <v>842.00971692035125</v>
      </c>
      <c r="O179" s="21">
        <f t="shared" si="14"/>
        <v>805.92358619519337</v>
      </c>
    </row>
    <row r="180" spans="1:15" x14ac:dyDescent="0.35">
      <c r="A180" t="s">
        <v>64</v>
      </c>
      <c r="B180">
        <v>6</v>
      </c>
      <c r="C180" t="s">
        <v>65</v>
      </c>
      <c r="D180">
        <v>77</v>
      </c>
      <c r="E180">
        <v>146.57086078852399</v>
      </c>
      <c r="F180">
        <v>19.228616297262999</v>
      </c>
      <c r="G180" t="s">
        <v>64</v>
      </c>
      <c r="H180">
        <v>6</v>
      </c>
      <c r="I180">
        <v>77</v>
      </c>
      <c r="J180">
        <v>5.9203397827993296</v>
      </c>
      <c r="K180" t="b">
        <f t="shared" si="10"/>
        <v>1</v>
      </c>
      <c r="L180">
        <f t="shared" si="11"/>
        <v>171.71981686858629</v>
      </c>
      <c r="M180">
        <f t="shared" si="12"/>
        <v>343.43963373717258</v>
      </c>
      <c r="N180">
        <f t="shared" si="13"/>
        <v>854.32744710739439</v>
      </c>
      <c r="O180" s="21">
        <f t="shared" si="14"/>
        <v>817.71341365993476</v>
      </c>
    </row>
    <row r="181" spans="1:15" x14ac:dyDescent="0.35">
      <c r="A181" t="s">
        <v>64</v>
      </c>
      <c r="B181">
        <v>6</v>
      </c>
      <c r="C181" t="s">
        <v>65</v>
      </c>
      <c r="D181">
        <v>78</v>
      </c>
      <c r="E181">
        <v>148.57448720499201</v>
      </c>
      <c r="F181">
        <v>19.607730059871201</v>
      </c>
      <c r="G181" t="s">
        <v>64</v>
      </c>
      <c r="H181">
        <v>6</v>
      </c>
      <c r="I181">
        <v>78</v>
      </c>
      <c r="J181">
        <v>6.0070014756423404</v>
      </c>
      <c r="K181" t="b">
        <f t="shared" si="10"/>
        <v>1</v>
      </c>
      <c r="L181">
        <f t="shared" si="11"/>
        <v>174.18921874050554</v>
      </c>
      <c r="M181">
        <f t="shared" si="12"/>
        <v>348.37843748101108</v>
      </c>
      <c r="N181">
        <f t="shared" si="13"/>
        <v>866.61302855972895</v>
      </c>
      <c r="O181" s="21">
        <f t="shared" si="14"/>
        <v>829.47247019288352</v>
      </c>
    </row>
    <row r="182" spans="1:15" x14ac:dyDescent="0.35">
      <c r="A182" t="s">
        <v>64</v>
      </c>
      <c r="B182">
        <v>6</v>
      </c>
      <c r="C182" t="s">
        <v>65</v>
      </c>
      <c r="D182">
        <v>79</v>
      </c>
      <c r="E182">
        <v>150.335594125932</v>
      </c>
      <c r="F182">
        <v>19.934506315021199</v>
      </c>
      <c r="G182" t="s">
        <v>64</v>
      </c>
      <c r="H182">
        <v>6</v>
      </c>
      <c r="I182">
        <v>79</v>
      </c>
      <c r="J182">
        <v>6.08967828301832</v>
      </c>
      <c r="K182" t="b">
        <f t="shared" si="10"/>
        <v>1</v>
      </c>
      <c r="L182">
        <f t="shared" si="11"/>
        <v>176.35977872397152</v>
      </c>
      <c r="M182">
        <f t="shared" si="12"/>
        <v>352.71955744794303</v>
      </c>
      <c r="N182">
        <f t="shared" si="13"/>
        <v>877.41183444761941</v>
      </c>
      <c r="O182" s="21">
        <f t="shared" si="14"/>
        <v>839.80847011415005</v>
      </c>
    </row>
    <row r="183" spans="1:15" x14ac:dyDescent="0.35">
      <c r="A183" t="s">
        <v>64</v>
      </c>
      <c r="B183">
        <v>6</v>
      </c>
      <c r="C183" t="s">
        <v>65</v>
      </c>
      <c r="D183">
        <v>80</v>
      </c>
      <c r="E183">
        <v>152.11021264074699</v>
      </c>
      <c r="F183">
        <v>20.2458702452168</v>
      </c>
      <c r="G183" t="s">
        <v>64</v>
      </c>
      <c r="H183">
        <v>6</v>
      </c>
      <c r="I183">
        <v>80</v>
      </c>
      <c r="J183">
        <v>6.1699242187073597</v>
      </c>
      <c r="K183" t="b">
        <f t="shared" si="10"/>
        <v>1</v>
      </c>
      <c r="L183">
        <f t="shared" si="11"/>
        <v>178.52600710467115</v>
      </c>
      <c r="M183">
        <f t="shared" si="12"/>
        <v>357.0520142093423</v>
      </c>
      <c r="N183">
        <f t="shared" si="13"/>
        <v>888.18909007299078</v>
      </c>
      <c r="O183" s="21">
        <f t="shared" si="14"/>
        <v>850.12384335557692</v>
      </c>
    </row>
    <row r="184" spans="1:15" x14ac:dyDescent="0.35">
      <c r="A184" t="s">
        <v>64</v>
      </c>
      <c r="B184">
        <v>6</v>
      </c>
      <c r="C184" t="s">
        <v>65</v>
      </c>
      <c r="D184">
        <v>81</v>
      </c>
      <c r="E184">
        <v>153.88422125540001</v>
      </c>
      <c r="F184">
        <v>20.555185469557799</v>
      </c>
      <c r="G184" t="s">
        <v>64</v>
      </c>
      <c r="H184">
        <v>6</v>
      </c>
      <c r="I184">
        <v>81</v>
      </c>
      <c r="J184">
        <v>6.2485218370187798</v>
      </c>
      <c r="K184" t="b">
        <f t="shared" si="10"/>
        <v>1</v>
      </c>
      <c r="L184">
        <f t="shared" si="11"/>
        <v>180.68792856197658</v>
      </c>
      <c r="M184">
        <f t="shared" si="12"/>
        <v>361.37585712395315</v>
      </c>
      <c r="N184">
        <f t="shared" si="13"/>
        <v>898.94491821878887</v>
      </c>
      <c r="O184" s="21">
        <f t="shared" si="14"/>
        <v>860.4187074379837</v>
      </c>
    </row>
    <row r="185" spans="1:15" x14ac:dyDescent="0.35">
      <c r="A185" t="s">
        <v>64</v>
      </c>
      <c r="B185">
        <v>6</v>
      </c>
      <c r="C185" t="s">
        <v>65</v>
      </c>
      <c r="D185">
        <v>82</v>
      </c>
      <c r="E185">
        <v>155.65244126911099</v>
      </c>
      <c r="F185">
        <v>20.867158145371999</v>
      </c>
      <c r="G185" t="s">
        <v>64</v>
      </c>
      <c r="H185">
        <v>6</v>
      </c>
      <c r="I185">
        <v>82</v>
      </c>
      <c r="J185">
        <v>6.3259021292519204</v>
      </c>
      <c r="K185" t="b">
        <f t="shared" si="10"/>
        <v>1</v>
      </c>
      <c r="L185">
        <f t="shared" si="11"/>
        <v>182.84550154373491</v>
      </c>
      <c r="M185">
        <f t="shared" si="12"/>
        <v>365.69100308746982</v>
      </c>
      <c r="N185">
        <f t="shared" si="13"/>
        <v>909.67911215788513</v>
      </c>
      <c r="O185" s="21">
        <f t="shared" si="14"/>
        <v>870.69286449397578</v>
      </c>
    </row>
    <row r="186" spans="1:15" x14ac:dyDescent="0.35">
      <c r="A186" t="s">
        <v>64</v>
      </c>
      <c r="B186">
        <v>6</v>
      </c>
      <c r="C186" t="s">
        <v>65</v>
      </c>
      <c r="D186">
        <v>83</v>
      </c>
      <c r="E186">
        <v>157.412970874873</v>
      </c>
      <c r="F186">
        <v>21.1833308943331</v>
      </c>
      <c r="G186" t="s">
        <v>64</v>
      </c>
      <c r="H186">
        <v>6</v>
      </c>
      <c r="I186">
        <v>83</v>
      </c>
      <c r="J186">
        <v>6.4023230178177899</v>
      </c>
      <c r="K186" t="b">
        <f t="shared" si="10"/>
        <v>1</v>
      </c>
      <c r="L186">
        <f t="shared" si="11"/>
        <v>184.99862478702389</v>
      </c>
      <c r="M186">
        <f t="shared" si="12"/>
        <v>369.99724957404777</v>
      </c>
      <c r="N186">
        <f t="shared" si="13"/>
        <v>920.3911680946461</v>
      </c>
      <c r="O186" s="21">
        <f t="shared" si="14"/>
        <v>880.94583231916135</v>
      </c>
    </row>
    <row r="187" spans="1:15" x14ac:dyDescent="0.35">
      <c r="A187" t="s">
        <v>64</v>
      </c>
      <c r="B187">
        <v>6</v>
      </c>
      <c r="C187" t="s">
        <v>65</v>
      </c>
      <c r="D187">
        <v>84</v>
      </c>
      <c r="E187">
        <v>158.91653698372801</v>
      </c>
      <c r="F187">
        <v>21.448876399065199</v>
      </c>
      <c r="G187" t="s">
        <v>64</v>
      </c>
      <c r="H187">
        <v>6</v>
      </c>
      <c r="I187">
        <v>84</v>
      </c>
      <c r="J187">
        <v>6.4745900547266597</v>
      </c>
      <c r="K187" t="b">
        <f t="shared" si="10"/>
        <v>1</v>
      </c>
      <c r="L187">
        <f t="shared" si="11"/>
        <v>186.84000343751987</v>
      </c>
      <c r="M187">
        <f t="shared" si="12"/>
        <v>373.68000687503974</v>
      </c>
      <c r="N187">
        <f t="shared" si="13"/>
        <v>929.55225590805901</v>
      </c>
      <c r="O187" s="21">
        <f t="shared" si="14"/>
        <v>889.71430208342792</v>
      </c>
    </row>
    <row r="188" spans="1:15" x14ac:dyDescent="0.35">
      <c r="A188" t="s">
        <v>64</v>
      </c>
      <c r="B188">
        <v>6</v>
      </c>
      <c r="C188" t="s">
        <v>65</v>
      </c>
      <c r="D188">
        <v>85</v>
      </c>
      <c r="E188">
        <v>160.43479262361001</v>
      </c>
      <c r="F188">
        <v>21.699502323083198</v>
      </c>
      <c r="G188" t="s">
        <v>64</v>
      </c>
      <c r="H188">
        <v>6</v>
      </c>
      <c r="I188">
        <v>85</v>
      </c>
      <c r="J188">
        <v>6.54433151266403</v>
      </c>
      <c r="K188" t="b">
        <f t="shared" si="10"/>
        <v>1</v>
      </c>
      <c r="L188">
        <f t="shared" si="11"/>
        <v>188.67862645935725</v>
      </c>
      <c r="M188">
        <f t="shared" si="12"/>
        <v>377.35725291871449</v>
      </c>
      <c r="N188">
        <f t="shared" si="13"/>
        <v>938.69963412615539</v>
      </c>
      <c r="O188" s="21">
        <f t="shared" si="14"/>
        <v>898.46964980646317</v>
      </c>
    </row>
    <row r="189" spans="1:15" x14ac:dyDescent="0.35">
      <c r="A189" t="s">
        <v>64</v>
      </c>
      <c r="B189">
        <v>6</v>
      </c>
      <c r="C189" t="s">
        <v>65</v>
      </c>
      <c r="D189">
        <v>86</v>
      </c>
      <c r="E189">
        <v>161.954261061484</v>
      </c>
      <c r="F189">
        <v>21.947963454739799</v>
      </c>
      <c r="G189" t="s">
        <v>64</v>
      </c>
      <c r="H189">
        <v>6</v>
      </c>
      <c r="I189">
        <v>86</v>
      </c>
      <c r="J189">
        <v>6.6123852561119003</v>
      </c>
      <c r="K189" t="b">
        <f t="shared" si="10"/>
        <v>1</v>
      </c>
      <c r="L189">
        <f t="shared" si="11"/>
        <v>190.51460977233572</v>
      </c>
      <c r="M189">
        <f t="shared" si="12"/>
        <v>381.02921954467143</v>
      </c>
      <c r="N189">
        <f t="shared" si="13"/>
        <v>947.83387946435676</v>
      </c>
      <c r="O189" s="21">
        <f t="shared" si="14"/>
        <v>907.21242748731299</v>
      </c>
    </row>
    <row r="190" spans="1:15" x14ac:dyDescent="0.35">
      <c r="A190" t="s">
        <v>64</v>
      </c>
      <c r="B190">
        <v>6</v>
      </c>
      <c r="C190" t="s">
        <v>65</v>
      </c>
      <c r="D190">
        <v>87</v>
      </c>
      <c r="E190">
        <v>163.470064288884</v>
      </c>
      <c r="F190">
        <v>22.198695394806101</v>
      </c>
      <c r="G190" t="s">
        <v>64</v>
      </c>
      <c r="H190">
        <v>6</v>
      </c>
      <c r="I190">
        <v>87</v>
      </c>
      <c r="J190">
        <v>6.6792218486285302</v>
      </c>
      <c r="K190" t="b">
        <f t="shared" si="10"/>
        <v>1</v>
      </c>
      <c r="L190">
        <f t="shared" si="11"/>
        <v>192.34798153231864</v>
      </c>
      <c r="M190">
        <f t="shared" si="12"/>
        <v>384.69596306463728</v>
      </c>
      <c r="N190">
        <f t="shared" si="13"/>
        <v>956.95513200158518</v>
      </c>
      <c r="O190" s="21">
        <f t="shared" si="14"/>
        <v>915.94276920151742</v>
      </c>
    </row>
    <row r="191" spans="1:15" x14ac:dyDescent="0.35">
      <c r="A191" t="s">
        <v>64</v>
      </c>
      <c r="B191">
        <v>6</v>
      </c>
      <c r="C191" t="s">
        <v>65</v>
      </c>
      <c r="D191">
        <v>88</v>
      </c>
      <c r="E191">
        <v>164.980434286632</v>
      </c>
      <c r="F191">
        <v>22.453133441816</v>
      </c>
      <c r="G191" t="s">
        <v>64</v>
      </c>
      <c r="H191">
        <v>6</v>
      </c>
      <c r="I191">
        <v>88</v>
      </c>
      <c r="J191">
        <v>6.7451269908560398</v>
      </c>
      <c r="K191" t="b">
        <f t="shared" si="10"/>
        <v>1</v>
      </c>
      <c r="L191">
        <f t="shared" si="11"/>
        <v>194.17869471930405</v>
      </c>
      <c r="M191">
        <f t="shared" si="12"/>
        <v>388.3573894386081</v>
      </c>
      <c r="N191">
        <f t="shared" si="13"/>
        <v>966.06315780748275</v>
      </c>
      <c r="O191" s="21">
        <f t="shared" si="14"/>
        <v>924.66045104430498</v>
      </c>
    </row>
    <row r="192" spans="1:15" x14ac:dyDescent="0.35">
      <c r="A192" t="s">
        <v>64</v>
      </c>
      <c r="B192">
        <v>6</v>
      </c>
      <c r="C192" t="s">
        <v>65</v>
      </c>
      <c r="D192">
        <v>89</v>
      </c>
      <c r="E192">
        <v>166.28049289351401</v>
      </c>
      <c r="F192">
        <v>22.655472212539699</v>
      </c>
      <c r="G192" t="s">
        <v>64</v>
      </c>
      <c r="H192">
        <v>6</v>
      </c>
      <c r="I192">
        <v>89</v>
      </c>
      <c r="J192">
        <v>6.8075249355944099</v>
      </c>
      <c r="K192" t="b">
        <f t="shared" si="10"/>
        <v>1</v>
      </c>
      <c r="L192">
        <f t="shared" si="11"/>
        <v>195.74349004164813</v>
      </c>
      <c r="M192">
        <f t="shared" si="12"/>
        <v>391.48698008329626</v>
      </c>
      <c r="N192">
        <f t="shared" si="13"/>
        <v>973.84820916242847</v>
      </c>
      <c r="O192" s="21">
        <f t="shared" si="14"/>
        <v>932.11185734118158</v>
      </c>
    </row>
    <row r="193" spans="1:15" x14ac:dyDescent="0.35">
      <c r="A193" t="s">
        <v>64</v>
      </c>
      <c r="B193">
        <v>6</v>
      </c>
      <c r="C193" t="s">
        <v>65</v>
      </c>
      <c r="D193">
        <v>90</v>
      </c>
      <c r="E193">
        <v>167.59767484977201</v>
      </c>
      <c r="F193">
        <v>22.842498149225701</v>
      </c>
      <c r="G193" t="s">
        <v>64</v>
      </c>
      <c r="H193">
        <v>6</v>
      </c>
      <c r="I193">
        <v>90</v>
      </c>
      <c r="J193">
        <v>6.8678446661102202</v>
      </c>
      <c r="K193" t="b">
        <f t="shared" si="10"/>
        <v>1</v>
      </c>
      <c r="L193">
        <f t="shared" si="11"/>
        <v>197.30801766510791</v>
      </c>
      <c r="M193">
        <f t="shared" si="12"/>
        <v>394.61603533021582</v>
      </c>
      <c r="N193">
        <f t="shared" si="13"/>
        <v>981.63192868212889</v>
      </c>
      <c r="O193" s="21">
        <f t="shared" si="14"/>
        <v>939.56198888146628</v>
      </c>
    </row>
    <row r="194" spans="1:15" x14ac:dyDescent="0.35">
      <c r="A194" t="s">
        <v>64</v>
      </c>
      <c r="B194">
        <v>6</v>
      </c>
      <c r="C194" t="s">
        <v>65</v>
      </c>
      <c r="D194">
        <v>91</v>
      </c>
      <c r="E194">
        <v>168.918248606753</v>
      </c>
      <c r="F194">
        <v>23.027212364539199</v>
      </c>
      <c r="G194" t="s">
        <v>64</v>
      </c>
      <c r="H194">
        <v>6</v>
      </c>
      <c r="I194">
        <v>91</v>
      </c>
      <c r="J194">
        <v>6.9267994612230703</v>
      </c>
      <c r="K194" t="b">
        <f t="shared" ref="K194:K257" si="15">H194=B194</f>
        <v>1</v>
      </c>
      <c r="L194">
        <f t="shared" ref="L194:L257" si="16">E194+F194+J194</f>
        <v>198.87226043251528</v>
      </c>
      <c r="M194">
        <f t="shared" ref="M194:M257" si="17">L194*2</f>
        <v>397.74452086503055</v>
      </c>
      <c r="N194">
        <f t="shared" ref="N194:N257" si="18">M194/(1-0.598)</f>
        <v>989.41423100753866</v>
      </c>
      <c r="O194" s="21">
        <f t="shared" ref="O194:O257" si="19">M194/0.42</f>
        <v>947.01076396435849</v>
      </c>
    </row>
    <row r="195" spans="1:15" x14ac:dyDescent="0.35">
      <c r="A195" t="s">
        <v>64</v>
      </c>
      <c r="B195">
        <v>6</v>
      </c>
      <c r="C195" t="s">
        <v>65</v>
      </c>
      <c r="D195">
        <v>92</v>
      </c>
      <c r="E195">
        <v>170.23730049557901</v>
      </c>
      <c r="F195">
        <v>23.2140889694621</v>
      </c>
      <c r="G195" t="s">
        <v>64</v>
      </c>
      <c r="H195">
        <v>6</v>
      </c>
      <c r="I195">
        <v>92</v>
      </c>
      <c r="J195">
        <v>6.9847821917555803</v>
      </c>
      <c r="K195" t="b">
        <f t="shared" si="15"/>
        <v>1</v>
      </c>
      <c r="L195">
        <f t="shared" si="16"/>
        <v>200.43617165679669</v>
      </c>
      <c r="M195">
        <f t="shared" si="17"/>
        <v>400.87234331359338</v>
      </c>
      <c r="N195">
        <f t="shared" si="18"/>
        <v>997.19488386466003</v>
      </c>
      <c r="O195" s="21">
        <f t="shared" si="19"/>
        <v>954.45796027046049</v>
      </c>
    </row>
    <row r="196" spans="1:15" x14ac:dyDescent="0.35">
      <c r="A196" t="s">
        <v>64</v>
      </c>
      <c r="B196">
        <v>6</v>
      </c>
      <c r="C196" t="s">
        <v>65</v>
      </c>
      <c r="D196">
        <v>93</v>
      </c>
      <c r="E196">
        <v>171.54660407971599</v>
      </c>
      <c r="F196">
        <v>23.4045591906801</v>
      </c>
      <c r="G196" t="s">
        <v>64</v>
      </c>
      <c r="H196">
        <v>6</v>
      </c>
      <c r="I196">
        <v>93</v>
      </c>
      <c r="J196">
        <v>7.0420295083831199</v>
      </c>
      <c r="K196" t="b">
        <f t="shared" si="15"/>
        <v>1</v>
      </c>
      <c r="L196">
        <f t="shared" si="16"/>
        <v>201.99319277877919</v>
      </c>
      <c r="M196">
        <f t="shared" si="17"/>
        <v>403.98638555755838</v>
      </c>
      <c r="N196">
        <f t="shared" si="18"/>
        <v>1004.9412576058666</v>
      </c>
      <c r="O196" s="21">
        <f t="shared" si="19"/>
        <v>961.8723465656152</v>
      </c>
    </row>
    <row r="197" spans="1:15" x14ac:dyDescent="0.35">
      <c r="A197" t="s">
        <v>64</v>
      </c>
      <c r="B197">
        <v>6</v>
      </c>
      <c r="C197" t="s">
        <v>65</v>
      </c>
      <c r="D197">
        <v>94</v>
      </c>
      <c r="E197">
        <v>172.64237852547899</v>
      </c>
      <c r="F197">
        <v>23.5547413186253</v>
      </c>
      <c r="G197" t="s">
        <v>64</v>
      </c>
      <c r="H197">
        <v>6</v>
      </c>
      <c r="I197">
        <v>94</v>
      </c>
      <c r="J197">
        <v>7.0959491127663199</v>
      </c>
      <c r="K197" t="b">
        <f t="shared" si="15"/>
        <v>1</v>
      </c>
      <c r="L197">
        <f t="shared" si="16"/>
        <v>203.29306895687063</v>
      </c>
      <c r="M197">
        <f t="shared" si="17"/>
        <v>406.58613791374125</v>
      </c>
      <c r="N197">
        <f t="shared" si="18"/>
        <v>1011.408303268013</v>
      </c>
      <c r="O197" s="21">
        <f t="shared" si="19"/>
        <v>968.06223312795544</v>
      </c>
    </row>
    <row r="198" spans="1:15" x14ac:dyDescent="0.35">
      <c r="A198" t="s">
        <v>64</v>
      </c>
      <c r="B198">
        <v>6</v>
      </c>
      <c r="C198" t="s">
        <v>65</v>
      </c>
      <c r="D198">
        <v>95</v>
      </c>
      <c r="E198">
        <v>173.75195607937701</v>
      </c>
      <c r="F198">
        <v>23.693748979714499</v>
      </c>
      <c r="G198" t="s">
        <v>64</v>
      </c>
      <c r="H198">
        <v>6</v>
      </c>
      <c r="I198">
        <v>95</v>
      </c>
      <c r="J198">
        <v>7.1478716349857798</v>
      </c>
      <c r="K198" t="b">
        <f t="shared" si="15"/>
        <v>1</v>
      </c>
      <c r="L198">
        <f t="shared" si="16"/>
        <v>204.59357669407729</v>
      </c>
      <c r="M198">
        <f t="shared" si="17"/>
        <v>409.18715338815457</v>
      </c>
      <c r="N198">
        <f t="shared" si="18"/>
        <v>1017.8784910153098</v>
      </c>
      <c r="O198" s="21">
        <f t="shared" si="19"/>
        <v>974.25512711465376</v>
      </c>
    </row>
    <row r="199" spans="1:15" x14ac:dyDescent="0.35">
      <c r="A199" t="s">
        <v>64</v>
      </c>
      <c r="B199">
        <v>6</v>
      </c>
      <c r="C199" t="s">
        <v>65</v>
      </c>
      <c r="D199">
        <v>96</v>
      </c>
      <c r="E199">
        <v>174.86467183218801</v>
      </c>
      <c r="F199">
        <v>23.8317475059137</v>
      </c>
      <c r="G199" t="s">
        <v>64</v>
      </c>
      <c r="H199">
        <v>6</v>
      </c>
      <c r="I199">
        <v>96</v>
      </c>
      <c r="J199">
        <v>7.1984862406497498</v>
      </c>
      <c r="K199" t="b">
        <f t="shared" si="15"/>
        <v>1</v>
      </c>
      <c r="L199">
        <f t="shared" si="16"/>
        <v>205.89490557875146</v>
      </c>
      <c r="M199">
        <f t="shared" si="17"/>
        <v>411.78981115750292</v>
      </c>
      <c r="N199">
        <f t="shared" si="18"/>
        <v>1024.3527640733903</v>
      </c>
      <c r="O199" s="21">
        <f t="shared" si="19"/>
        <v>980.45193132738791</v>
      </c>
    </row>
    <row r="200" spans="1:15" x14ac:dyDescent="0.35">
      <c r="A200" t="s">
        <v>64</v>
      </c>
      <c r="B200">
        <v>6</v>
      </c>
      <c r="C200" t="s">
        <v>65</v>
      </c>
      <c r="D200">
        <v>97</v>
      </c>
      <c r="E200">
        <v>175.976743549172</v>
      </c>
      <c r="F200">
        <v>23.9721732026069</v>
      </c>
      <c r="G200" t="s">
        <v>64</v>
      </c>
      <c r="H200">
        <v>6</v>
      </c>
      <c r="I200">
        <v>97</v>
      </c>
      <c r="J200">
        <v>7.2481835238584997</v>
      </c>
      <c r="K200" t="b">
        <f t="shared" si="15"/>
        <v>1</v>
      </c>
      <c r="L200">
        <f t="shared" si="16"/>
        <v>207.19710027563741</v>
      </c>
      <c r="M200">
        <f t="shared" si="17"/>
        <v>414.39420055127482</v>
      </c>
      <c r="N200">
        <f t="shared" si="18"/>
        <v>1030.8313446549125</v>
      </c>
      <c r="O200" s="21">
        <f t="shared" si="19"/>
        <v>986.65285845541632</v>
      </c>
    </row>
    <row r="201" spans="1:15" x14ac:dyDescent="0.35">
      <c r="A201" t="s">
        <v>64</v>
      </c>
      <c r="B201">
        <v>6</v>
      </c>
      <c r="C201" t="s">
        <v>65</v>
      </c>
      <c r="D201">
        <v>98</v>
      </c>
      <c r="E201">
        <v>177.086831455995</v>
      </c>
      <c r="F201">
        <v>24.116083198736899</v>
      </c>
      <c r="G201" t="s">
        <v>64</v>
      </c>
      <c r="H201">
        <v>6</v>
      </c>
      <c r="I201">
        <v>98</v>
      </c>
      <c r="J201">
        <v>7.2972028234313502</v>
      </c>
      <c r="K201" t="b">
        <f t="shared" si="15"/>
        <v>1</v>
      </c>
      <c r="L201">
        <f t="shared" si="16"/>
        <v>208.50011747816325</v>
      </c>
      <c r="M201">
        <f t="shared" si="17"/>
        <v>417.00023495632649</v>
      </c>
      <c r="N201">
        <f t="shared" si="18"/>
        <v>1037.3140173042948</v>
      </c>
      <c r="O201" s="21">
        <f t="shared" si="19"/>
        <v>992.85770227696787</v>
      </c>
    </row>
    <row r="202" spans="1:15" x14ac:dyDescent="0.35">
      <c r="A202" t="s">
        <v>64</v>
      </c>
      <c r="B202">
        <v>6</v>
      </c>
      <c r="C202" t="s">
        <v>65</v>
      </c>
      <c r="D202">
        <v>99</v>
      </c>
      <c r="E202">
        <v>178.041411647323</v>
      </c>
      <c r="F202">
        <v>24.292771139135599</v>
      </c>
      <c r="G202" t="s">
        <v>64</v>
      </c>
      <c r="H202">
        <v>6</v>
      </c>
      <c r="I202">
        <v>99</v>
      </c>
      <c r="J202">
        <v>7.3436069692813799</v>
      </c>
      <c r="K202" t="b">
        <f t="shared" si="15"/>
        <v>1</v>
      </c>
      <c r="L202">
        <f t="shared" si="16"/>
        <v>209.67778975573998</v>
      </c>
      <c r="M202">
        <f t="shared" si="17"/>
        <v>419.35557951147996</v>
      </c>
      <c r="N202">
        <f t="shared" si="18"/>
        <v>1043.1730833618903</v>
      </c>
      <c r="O202" s="21">
        <f t="shared" si="19"/>
        <v>998.46566550352372</v>
      </c>
    </row>
    <row r="203" spans="1:15" x14ac:dyDescent="0.35">
      <c r="A203" t="s">
        <v>64</v>
      </c>
      <c r="B203">
        <v>6</v>
      </c>
      <c r="C203" t="s">
        <v>65</v>
      </c>
      <c r="D203">
        <v>100</v>
      </c>
      <c r="E203">
        <v>178.98716481324999</v>
      </c>
      <c r="F203">
        <v>24.441908381580902</v>
      </c>
      <c r="G203" t="s">
        <v>64</v>
      </c>
      <c r="H203">
        <v>6</v>
      </c>
      <c r="I203">
        <v>100</v>
      </c>
      <c r="J203">
        <v>7.3881658897336404</v>
      </c>
      <c r="K203" t="b">
        <f t="shared" si="15"/>
        <v>1</v>
      </c>
      <c r="L203">
        <f t="shared" si="16"/>
        <v>210.81723908456453</v>
      </c>
      <c r="M203">
        <f t="shared" si="17"/>
        <v>421.63447816912907</v>
      </c>
      <c r="N203">
        <f t="shared" si="18"/>
        <v>1048.8419854953459</v>
      </c>
      <c r="O203" s="21">
        <f t="shared" si="19"/>
        <v>1003.8916146884026</v>
      </c>
    </row>
    <row r="204" spans="1:15" x14ac:dyDescent="0.35">
      <c r="A204" t="s">
        <v>64</v>
      </c>
      <c r="B204">
        <v>8</v>
      </c>
      <c r="C204" t="s">
        <v>65</v>
      </c>
      <c r="D204">
        <v>0</v>
      </c>
      <c r="E204">
        <v>0</v>
      </c>
      <c r="F204">
        <v>0</v>
      </c>
      <c r="G204" t="s">
        <v>64</v>
      </c>
      <c r="H204">
        <v>8</v>
      </c>
      <c r="I204">
        <v>0</v>
      </c>
      <c r="J204">
        <v>0</v>
      </c>
      <c r="K204" t="b">
        <f t="shared" si="15"/>
        <v>1</v>
      </c>
      <c r="L204">
        <f t="shared" si="16"/>
        <v>0</v>
      </c>
      <c r="M204">
        <f t="shared" si="17"/>
        <v>0</v>
      </c>
      <c r="N204">
        <f t="shared" si="18"/>
        <v>0</v>
      </c>
      <c r="O204" s="21">
        <f t="shared" si="19"/>
        <v>0</v>
      </c>
    </row>
    <row r="205" spans="1:15" x14ac:dyDescent="0.35">
      <c r="A205" t="s">
        <v>64</v>
      </c>
      <c r="B205">
        <v>8</v>
      </c>
      <c r="C205" t="s">
        <v>65</v>
      </c>
      <c r="D205">
        <v>1</v>
      </c>
      <c r="E205">
        <v>4.5341452568729401E-2</v>
      </c>
      <c r="F205" s="15">
        <v>1.8004003680799E-4</v>
      </c>
      <c r="G205" t="s">
        <v>64</v>
      </c>
      <c r="H205">
        <v>8</v>
      </c>
      <c r="I205">
        <v>1</v>
      </c>
      <c r="J205" s="15">
        <v>6.1285835374438999E-4</v>
      </c>
      <c r="K205" t="b">
        <f t="shared" si="15"/>
        <v>1</v>
      </c>
      <c r="L205">
        <f t="shared" si="16"/>
        <v>4.6134350959281777E-2</v>
      </c>
      <c r="M205">
        <f t="shared" si="17"/>
        <v>9.2268701918563553E-2</v>
      </c>
      <c r="N205">
        <f t="shared" si="18"/>
        <v>0.22952413412577996</v>
      </c>
      <c r="O205" s="21">
        <f t="shared" si="19"/>
        <v>0.21968738552038941</v>
      </c>
    </row>
    <row r="206" spans="1:15" x14ac:dyDescent="0.35">
      <c r="A206" t="s">
        <v>64</v>
      </c>
      <c r="B206">
        <v>8</v>
      </c>
      <c r="C206" t="s">
        <v>65</v>
      </c>
      <c r="D206">
        <v>2</v>
      </c>
      <c r="E206">
        <v>0.102018268279641</v>
      </c>
      <c r="F206" s="15">
        <v>5.7972891852173995E-4</v>
      </c>
      <c r="G206" t="s">
        <v>64</v>
      </c>
      <c r="H206">
        <v>8</v>
      </c>
      <c r="I206">
        <v>2</v>
      </c>
      <c r="J206">
        <v>1.77272563393831E-3</v>
      </c>
      <c r="K206" t="b">
        <f t="shared" si="15"/>
        <v>1</v>
      </c>
      <c r="L206">
        <f t="shared" si="16"/>
        <v>0.10437072283210105</v>
      </c>
      <c r="M206">
        <f t="shared" si="17"/>
        <v>0.20874144566420211</v>
      </c>
      <c r="N206">
        <f t="shared" si="18"/>
        <v>0.51925732752289078</v>
      </c>
      <c r="O206" s="21">
        <f t="shared" si="19"/>
        <v>0.49700344205762409</v>
      </c>
    </row>
    <row r="207" spans="1:15" x14ac:dyDescent="0.35">
      <c r="A207" t="s">
        <v>64</v>
      </c>
      <c r="B207">
        <v>8</v>
      </c>
      <c r="C207" t="s">
        <v>65</v>
      </c>
      <c r="D207">
        <v>3</v>
      </c>
      <c r="E207">
        <v>0.17286428791828101</v>
      </c>
      <c r="F207">
        <v>1.2487396912965801E-3</v>
      </c>
      <c r="G207" t="s">
        <v>64</v>
      </c>
      <c r="H207">
        <v>8</v>
      </c>
      <c r="I207">
        <v>3</v>
      </c>
      <c r="J207">
        <v>3.48185447114438E-3</v>
      </c>
      <c r="K207" t="b">
        <f t="shared" si="15"/>
        <v>1</v>
      </c>
      <c r="L207">
        <f t="shared" si="16"/>
        <v>0.17759488208072197</v>
      </c>
      <c r="M207">
        <f t="shared" si="17"/>
        <v>0.35518976416144393</v>
      </c>
      <c r="N207">
        <f t="shared" si="18"/>
        <v>0.88355662726727346</v>
      </c>
      <c r="O207" s="21">
        <f t="shared" si="19"/>
        <v>0.84568991467010468</v>
      </c>
    </row>
    <row r="208" spans="1:15" x14ac:dyDescent="0.35">
      <c r="A208" t="s">
        <v>64</v>
      </c>
      <c r="B208">
        <v>8</v>
      </c>
      <c r="C208" t="s">
        <v>65</v>
      </c>
      <c r="D208">
        <v>4</v>
      </c>
      <c r="E208">
        <v>0.26142181246657997</v>
      </c>
      <c r="F208">
        <v>2.2493208377787799E-3</v>
      </c>
      <c r="G208" t="s">
        <v>64</v>
      </c>
      <c r="H208">
        <v>8</v>
      </c>
      <c r="I208">
        <v>4</v>
      </c>
      <c r="J208">
        <v>5.79331723227828E-3</v>
      </c>
      <c r="K208" t="b">
        <f t="shared" si="15"/>
        <v>1</v>
      </c>
      <c r="L208">
        <f t="shared" si="16"/>
        <v>0.26946445053663703</v>
      </c>
      <c r="M208">
        <f t="shared" si="17"/>
        <v>0.53892890107327407</v>
      </c>
      <c r="N208">
        <f t="shared" si="18"/>
        <v>1.3406191568986916</v>
      </c>
      <c r="O208" s="21">
        <f t="shared" si="19"/>
        <v>1.2831640501744621</v>
      </c>
    </row>
    <row r="209" spans="1:15" x14ac:dyDescent="0.35">
      <c r="A209" t="s">
        <v>64</v>
      </c>
      <c r="B209">
        <v>8</v>
      </c>
      <c r="C209" t="s">
        <v>65</v>
      </c>
      <c r="D209">
        <v>5</v>
      </c>
      <c r="E209">
        <v>0.37211871815195502</v>
      </c>
      <c r="F209">
        <v>3.65943542097979E-3</v>
      </c>
      <c r="G209" t="s">
        <v>64</v>
      </c>
      <c r="H209">
        <v>8</v>
      </c>
      <c r="I209">
        <v>5</v>
      </c>
      <c r="J209">
        <v>8.8037312341845697E-3</v>
      </c>
      <c r="K209" t="b">
        <f t="shared" si="15"/>
        <v>1</v>
      </c>
      <c r="L209">
        <f t="shared" si="16"/>
        <v>0.38458188480711941</v>
      </c>
      <c r="M209">
        <f t="shared" si="17"/>
        <v>0.76916376961423882</v>
      </c>
      <c r="N209">
        <f t="shared" si="18"/>
        <v>1.9133427104831811</v>
      </c>
      <c r="O209" s="21">
        <f t="shared" si="19"/>
        <v>1.8313423086053306</v>
      </c>
    </row>
    <row r="210" spans="1:15" x14ac:dyDescent="0.35">
      <c r="A210" t="s">
        <v>64</v>
      </c>
      <c r="B210">
        <v>8</v>
      </c>
      <c r="C210" t="s">
        <v>65</v>
      </c>
      <c r="D210">
        <v>6</v>
      </c>
      <c r="E210">
        <v>0.51048985025867299</v>
      </c>
      <c r="F210">
        <v>5.5766851555763596E-3</v>
      </c>
      <c r="G210" t="s">
        <v>64</v>
      </c>
      <c r="H210">
        <v>8</v>
      </c>
      <c r="I210">
        <v>6</v>
      </c>
      <c r="J210">
        <v>1.2652413612276E-2</v>
      </c>
      <c r="K210" t="b">
        <f t="shared" si="15"/>
        <v>1</v>
      </c>
      <c r="L210">
        <f t="shared" si="16"/>
        <v>0.52871894902652539</v>
      </c>
      <c r="M210">
        <f t="shared" si="17"/>
        <v>1.0574378980530508</v>
      </c>
      <c r="N210">
        <f t="shared" si="18"/>
        <v>2.6304425324702754</v>
      </c>
      <c r="O210" s="21">
        <f t="shared" si="19"/>
        <v>2.5177092810786923</v>
      </c>
    </row>
    <row r="211" spans="1:15" x14ac:dyDescent="0.35">
      <c r="A211" t="s">
        <v>64</v>
      </c>
      <c r="B211">
        <v>8</v>
      </c>
      <c r="C211" t="s">
        <v>65</v>
      </c>
      <c r="D211">
        <v>7</v>
      </c>
      <c r="E211">
        <v>0.68345376539207003</v>
      </c>
      <c r="F211">
        <v>8.1232156342495206E-3</v>
      </c>
      <c r="G211" t="s">
        <v>64</v>
      </c>
      <c r="H211">
        <v>8</v>
      </c>
      <c r="I211">
        <v>7</v>
      </c>
      <c r="J211">
        <v>1.75250950865374E-2</v>
      </c>
      <c r="K211" t="b">
        <f t="shared" si="15"/>
        <v>1</v>
      </c>
      <c r="L211">
        <f t="shared" si="16"/>
        <v>0.70910207611285703</v>
      </c>
      <c r="M211">
        <f t="shared" si="17"/>
        <v>1.4182041522257141</v>
      </c>
      <c r="N211">
        <f t="shared" si="18"/>
        <v>3.5278710254370993</v>
      </c>
      <c r="O211" s="21">
        <f t="shared" si="19"/>
        <v>3.3766765529183669</v>
      </c>
    </row>
    <row r="212" spans="1:15" x14ac:dyDescent="0.35">
      <c r="A212" t="s">
        <v>64</v>
      </c>
      <c r="B212">
        <v>8</v>
      </c>
      <c r="C212" t="s">
        <v>65</v>
      </c>
      <c r="D212">
        <v>8</v>
      </c>
      <c r="E212">
        <v>0.89965865930881805</v>
      </c>
      <c r="F212">
        <v>1.14518479937056E-2</v>
      </c>
      <c r="G212" t="s">
        <v>64</v>
      </c>
      <c r="H212">
        <v>8</v>
      </c>
      <c r="I212">
        <v>8</v>
      </c>
      <c r="J212">
        <v>2.36613376417521E-2</v>
      </c>
      <c r="K212" t="b">
        <f t="shared" si="15"/>
        <v>1</v>
      </c>
      <c r="L212">
        <f t="shared" si="16"/>
        <v>0.93477184494427568</v>
      </c>
      <c r="M212">
        <f t="shared" si="17"/>
        <v>1.8695436898885514</v>
      </c>
      <c r="N212">
        <f t="shared" si="18"/>
        <v>4.6506061937526146</v>
      </c>
      <c r="O212" s="21">
        <f t="shared" si="19"/>
        <v>4.4512944997346464</v>
      </c>
    </row>
    <row r="213" spans="1:15" x14ac:dyDescent="0.35">
      <c r="A213" t="s">
        <v>64</v>
      </c>
      <c r="B213">
        <v>8</v>
      </c>
      <c r="C213" t="s">
        <v>65</v>
      </c>
      <c r="D213">
        <v>9</v>
      </c>
      <c r="E213">
        <v>1.16991477670475</v>
      </c>
      <c r="F213">
        <v>1.5753743626306899E-2</v>
      </c>
      <c r="G213" t="s">
        <v>64</v>
      </c>
      <c r="H213">
        <v>8</v>
      </c>
      <c r="I213">
        <v>9</v>
      </c>
      <c r="J213">
        <v>3.1365434368181198E-2</v>
      </c>
      <c r="K213" t="b">
        <f t="shared" si="15"/>
        <v>1</v>
      </c>
      <c r="L213">
        <f t="shared" si="16"/>
        <v>1.2170339546992381</v>
      </c>
      <c r="M213">
        <f t="shared" si="17"/>
        <v>2.4340679093984763</v>
      </c>
      <c r="N213">
        <f t="shared" si="18"/>
        <v>6.0548952970111349</v>
      </c>
      <c r="O213" s="21">
        <f t="shared" si="19"/>
        <v>5.795399784282087</v>
      </c>
    </row>
    <row r="214" spans="1:15" x14ac:dyDescent="0.35">
      <c r="A214" t="s">
        <v>64</v>
      </c>
      <c r="B214">
        <v>8</v>
      </c>
      <c r="C214" t="s">
        <v>65</v>
      </c>
      <c r="D214">
        <v>10</v>
      </c>
      <c r="E214">
        <v>1.50773492344967</v>
      </c>
      <c r="F214">
        <v>2.1267985194841198E-2</v>
      </c>
      <c r="G214" t="s">
        <v>64</v>
      </c>
      <c r="H214">
        <v>8</v>
      </c>
      <c r="I214">
        <v>10</v>
      </c>
      <c r="J214">
        <v>4.1020998688183902E-2</v>
      </c>
      <c r="K214" t="b">
        <f t="shared" si="15"/>
        <v>1</v>
      </c>
      <c r="L214">
        <f t="shared" si="16"/>
        <v>1.5700239073326951</v>
      </c>
      <c r="M214">
        <f t="shared" si="17"/>
        <v>3.1400478146653903</v>
      </c>
      <c r="N214">
        <f t="shared" si="18"/>
        <v>7.8110642155855476</v>
      </c>
      <c r="O214" s="21">
        <f t="shared" si="19"/>
        <v>7.4763043206318818</v>
      </c>
    </row>
    <row r="215" spans="1:15" x14ac:dyDescent="0.35">
      <c r="A215" t="s">
        <v>64</v>
      </c>
      <c r="B215">
        <v>8</v>
      </c>
      <c r="C215" t="s">
        <v>65</v>
      </c>
      <c r="D215">
        <v>11</v>
      </c>
      <c r="E215">
        <v>1.93001010688081</v>
      </c>
      <c r="F215">
        <v>2.8293553022458399E-2</v>
      </c>
      <c r="G215" t="s">
        <v>64</v>
      </c>
      <c r="H215">
        <v>8</v>
      </c>
      <c r="I215">
        <v>11</v>
      </c>
      <c r="J215">
        <v>5.3109779711522698E-2</v>
      </c>
      <c r="K215" t="b">
        <f t="shared" si="15"/>
        <v>1</v>
      </c>
      <c r="L215">
        <f t="shared" si="16"/>
        <v>2.0114134396147909</v>
      </c>
      <c r="M215">
        <f t="shared" si="17"/>
        <v>4.0228268792295818</v>
      </c>
      <c r="N215">
        <f t="shared" si="18"/>
        <v>10.007032037884532</v>
      </c>
      <c r="O215" s="21">
        <f t="shared" si="19"/>
        <v>9.5781592362609089</v>
      </c>
    </row>
    <row r="216" spans="1:15" x14ac:dyDescent="0.35">
      <c r="A216" t="s">
        <v>64</v>
      </c>
      <c r="B216">
        <v>8</v>
      </c>
      <c r="C216" t="s">
        <v>65</v>
      </c>
      <c r="D216">
        <v>12</v>
      </c>
      <c r="E216">
        <v>2.45785408616974</v>
      </c>
      <c r="F216">
        <v>3.7204295697920699E-2</v>
      </c>
      <c r="G216" t="s">
        <v>64</v>
      </c>
      <c r="H216">
        <v>8</v>
      </c>
      <c r="I216">
        <v>12</v>
      </c>
      <c r="J216">
        <v>6.8235534362729597E-2</v>
      </c>
      <c r="K216" t="b">
        <f t="shared" si="15"/>
        <v>1</v>
      </c>
      <c r="L216">
        <f t="shared" si="16"/>
        <v>2.5632939162303905</v>
      </c>
      <c r="M216">
        <f t="shared" si="17"/>
        <v>5.126587832460781</v>
      </c>
      <c r="N216">
        <f t="shared" si="18"/>
        <v>12.752706050897464</v>
      </c>
      <c r="O216" s="21">
        <f t="shared" si="19"/>
        <v>12.206161505859003</v>
      </c>
    </row>
    <row r="217" spans="1:15" x14ac:dyDescent="0.35">
      <c r="A217" t="s">
        <v>64</v>
      </c>
      <c r="B217">
        <v>8</v>
      </c>
      <c r="C217" t="s">
        <v>65</v>
      </c>
      <c r="D217">
        <v>13</v>
      </c>
      <c r="E217">
        <v>3.11765906028092</v>
      </c>
      <c r="F217">
        <v>4.8467643446461102E-2</v>
      </c>
      <c r="G217" t="s">
        <v>64</v>
      </c>
      <c r="H217">
        <v>8</v>
      </c>
      <c r="I217">
        <v>13</v>
      </c>
      <c r="J217">
        <v>8.7154086830466396E-2</v>
      </c>
      <c r="K217" t="b">
        <f t="shared" si="15"/>
        <v>1</v>
      </c>
      <c r="L217">
        <f t="shared" si="16"/>
        <v>3.2532807905578474</v>
      </c>
      <c r="M217">
        <f t="shared" si="17"/>
        <v>6.5065615811156947</v>
      </c>
      <c r="N217">
        <f t="shared" si="18"/>
        <v>16.185476569939539</v>
      </c>
      <c r="O217" s="21">
        <f t="shared" si="19"/>
        <v>15.491813288370702</v>
      </c>
    </row>
    <row r="218" spans="1:15" x14ac:dyDescent="0.35">
      <c r="A218" t="s">
        <v>64</v>
      </c>
      <c r="B218">
        <v>8</v>
      </c>
      <c r="C218" t="s">
        <v>65</v>
      </c>
      <c r="D218">
        <v>14</v>
      </c>
      <c r="E218">
        <v>3.9424152779198698</v>
      </c>
      <c r="F218">
        <v>6.26679999542228E-2</v>
      </c>
      <c r="G218" t="s">
        <v>64</v>
      </c>
      <c r="H218">
        <v>8</v>
      </c>
      <c r="I218">
        <v>14</v>
      </c>
      <c r="J218">
        <v>0.110811042105999</v>
      </c>
      <c r="K218" t="b">
        <f t="shared" si="15"/>
        <v>1</v>
      </c>
      <c r="L218">
        <f t="shared" si="16"/>
        <v>4.1158943199800913</v>
      </c>
      <c r="M218">
        <f t="shared" si="17"/>
        <v>8.2317886399601825</v>
      </c>
      <c r="N218">
        <f t="shared" si="18"/>
        <v>20.47708616905518</v>
      </c>
      <c r="O218" s="21">
        <f t="shared" si="19"/>
        <v>19.599496761809959</v>
      </c>
    </row>
    <row r="219" spans="1:15" x14ac:dyDescent="0.35">
      <c r="A219" t="s">
        <v>64</v>
      </c>
      <c r="B219">
        <v>8</v>
      </c>
      <c r="C219" t="s">
        <v>65</v>
      </c>
      <c r="D219">
        <v>15</v>
      </c>
      <c r="E219">
        <v>4.9733605499685698</v>
      </c>
      <c r="F219">
        <v>8.0535982256348504E-2</v>
      </c>
      <c r="G219" t="s">
        <v>64</v>
      </c>
      <c r="H219">
        <v>8</v>
      </c>
      <c r="I219">
        <v>15</v>
      </c>
      <c r="J219">
        <v>0.14038901842239701</v>
      </c>
      <c r="K219" t="b">
        <f t="shared" si="15"/>
        <v>1</v>
      </c>
      <c r="L219">
        <f t="shared" si="16"/>
        <v>5.1942855506473151</v>
      </c>
      <c r="M219">
        <f t="shared" si="17"/>
        <v>10.38857110129463</v>
      </c>
      <c r="N219">
        <f t="shared" si="18"/>
        <v>25.84221666988714</v>
      </c>
      <c r="O219" s="21">
        <f t="shared" si="19"/>
        <v>24.734693098320548</v>
      </c>
    </row>
    <row r="220" spans="1:15" x14ac:dyDescent="0.35">
      <c r="A220" t="s">
        <v>64</v>
      </c>
      <c r="B220">
        <v>8</v>
      </c>
      <c r="C220" t="s">
        <v>65</v>
      </c>
      <c r="D220">
        <v>16</v>
      </c>
      <c r="E220">
        <v>6.2620421400294504</v>
      </c>
      <c r="F220">
        <v>0.102984970701407</v>
      </c>
      <c r="G220" t="s">
        <v>64</v>
      </c>
      <c r="H220">
        <v>8</v>
      </c>
      <c r="I220">
        <v>16</v>
      </c>
      <c r="J220">
        <v>0.177366748132084</v>
      </c>
      <c r="K220" t="b">
        <f t="shared" si="15"/>
        <v>1</v>
      </c>
      <c r="L220">
        <f t="shared" si="16"/>
        <v>6.5423938588629413</v>
      </c>
      <c r="M220">
        <f t="shared" si="17"/>
        <v>13.084787717725883</v>
      </c>
      <c r="N220">
        <f t="shared" si="18"/>
        <v>32.549223178422594</v>
      </c>
      <c r="O220" s="21">
        <f t="shared" si="19"/>
        <v>31.154256470775913</v>
      </c>
    </row>
    <row r="221" spans="1:15" x14ac:dyDescent="0.35">
      <c r="A221" t="s">
        <v>64</v>
      </c>
      <c r="B221">
        <v>8</v>
      </c>
      <c r="C221" t="s">
        <v>65</v>
      </c>
      <c r="D221">
        <v>17</v>
      </c>
      <c r="E221">
        <v>7.8728941276055302</v>
      </c>
      <c r="F221">
        <v>0.13115679650810799</v>
      </c>
      <c r="G221" t="s">
        <v>64</v>
      </c>
      <c r="H221">
        <v>8</v>
      </c>
      <c r="I221">
        <v>17</v>
      </c>
      <c r="J221">
        <v>0.22359299502204399</v>
      </c>
      <c r="K221" t="b">
        <f t="shared" si="15"/>
        <v>1</v>
      </c>
      <c r="L221">
        <f t="shared" si="16"/>
        <v>8.2276439191356818</v>
      </c>
      <c r="M221">
        <f t="shared" si="17"/>
        <v>16.455287838271364</v>
      </c>
      <c r="N221">
        <f t="shared" si="18"/>
        <v>40.93355183649593</v>
      </c>
      <c r="O221" s="21">
        <f t="shared" si="19"/>
        <v>39.179256757788963</v>
      </c>
    </row>
    <row r="222" spans="1:15" x14ac:dyDescent="0.35">
      <c r="A222" t="s">
        <v>64</v>
      </c>
      <c r="B222">
        <v>8</v>
      </c>
      <c r="C222" t="s">
        <v>65</v>
      </c>
      <c r="D222">
        <v>18</v>
      </c>
      <c r="E222">
        <v>9.8824319999999997</v>
      </c>
      <c r="F222">
        <v>0.166462860612865</v>
      </c>
      <c r="G222" t="s">
        <v>64</v>
      </c>
      <c r="H222">
        <v>8</v>
      </c>
      <c r="I222">
        <v>18</v>
      </c>
      <c r="J222">
        <v>0.28132454727621597</v>
      </c>
      <c r="K222" t="b">
        <f t="shared" si="15"/>
        <v>1</v>
      </c>
      <c r="L222">
        <f t="shared" si="16"/>
        <v>10.33021940788908</v>
      </c>
      <c r="M222">
        <f t="shared" si="17"/>
        <v>20.660438815778161</v>
      </c>
      <c r="N222">
        <f t="shared" si="18"/>
        <v>51.394126407408358</v>
      </c>
      <c r="O222" s="21">
        <f t="shared" si="19"/>
        <v>49.191520989948003</v>
      </c>
    </row>
    <row r="223" spans="1:15" x14ac:dyDescent="0.35">
      <c r="A223" t="s">
        <v>64</v>
      </c>
      <c r="B223">
        <v>8</v>
      </c>
      <c r="C223" t="s">
        <v>65</v>
      </c>
      <c r="D223">
        <v>19</v>
      </c>
      <c r="E223">
        <v>12.065759999999999</v>
      </c>
      <c r="F223">
        <v>0.20937921479447899</v>
      </c>
      <c r="G223" t="s">
        <v>64</v>
      </c>
      <c r="H223">
        <v>8</v>
      </c>
      <c r="I223">
        <v>19</v>
      </c>
      <c r="J223">
        <v>0.34901503370881098</v>
      </c>
      <c r="K223" t="b">
        <f t="shared" si="15"/>
        <v>1</v>
      </c>
      <c r="L223">
        <f t="shared" si="16"/>
        <v>12.62415424850329</v>
      </c>
      <c r="M223">
        <f t="shared" si="17"/>
        <v>25.24830849700658</v>
      </c>
      <c r="N223">
        <f t="shared" si="18"/>
        <v>62.806737554742732</v>
      </c>
      <c r="O223" s="21">
        <f t="shared" si="19"/>
        <v>60.115020230968049</v>
      </c>
    </row>
    <row r="224" spans="1:15" x14ac:dyDescent="0.35">
      <c r="A224" t="s">
        <v>64</v>
      </c>
      <c r="B224">
        <v>8</v>
      </c>
      <c r="C224" t="s">
        <v>65</v>
      </c>
      <c r="D224">
        <v>20</v>
      </c>
      <c r="E224">
        <v>14.249088</v>
      </c>
      <c r="F224">
        <v>0.25967755035064399</v>
      </c>
      <c r="G224" t="s">
        <v>64</v>
      </c>
      <c r="H224">
        <v>8</v>
      </c>
      <c r="I224">
        <v>20</v>
      </c>
      <c r="J224">
        <v>0.42337542148150498</v>
      </c>
      <c r="K224" t="b">
        <f t="shared" si="15"/>
        <v>1</v>
      </c>
      <c r="L224">
        <f t="shared" si="16"/>
        <v>14.932140971832149</v>
      </c>
      <c r="M224">
        <f t="shared" si="17"/>
        <v>29.864281943664299</v>
      </c>
      <c r="N224">
        <f t="shared" si="18"/>
        <v>74.289258566329096</v>
      </c>
      <c r="O224" s="21">
        <f t="shared" si="19"/>
        <v>71.105433199200718</v>
      </c>
    </row>
    <row r="225" spans="1:15" x14ac:dyDescent="0.35">
      <c r="A225" t="s">
        <v>64</v>
      </c>
      <c r="B225">
        <v>8</v>
      </c>
      <c r="C225" t="s">
        <v>65</v>
      </c>
      <c r="D225">
        <v>21</v>
      </c>
      <c r="E225">
        <v>16.432416</v>
      </c>
      <c r="F225">
        <v>0.31713640784012498</v>
      </c>
      <c r="G225" t="s">
        <v>64</v>
      </c>
      <c r="H225">
        <v>8</v>
      </c>
      <c r="I225">
        <v>21</v>
      </c>
      <c r="J225">
        <v>0.50231437892055797</v>
      </c>
      <c r="K225" t="b">
        <f t="shared" si="15"/>
        <v>1</v>
      </c>
      <c r="L225">
        <f t="shared" si="16"/>
        <v>17.251866786760683</v>
      </c>
      <c r="M225">
        <f t="shared" si="17"/>
        <v>34.503733573521366</v>
      </c>
      <c r="N225">
        <f t="shared" si="18"/>
        <v>85.83018301870986</v>
      </c>
      <c r="O225" s="21">
        <f t="shared" si="19"/>
        <v>82.1517466036223</v>
      </c>
    </row>
    <row r="226" spans="1:15" x14ac:dyDescent="0.35">
      <c r="A226" t="s">
        <v>64</v>
      </c>
      <c r="B226">
        <v>8</v>
      </c>
      <c r="C226" t="s">
        <v>65</v>
      </c>
      <c r="D226">
        <v>22</v>
      </c>
      <c r="E226">
        <v>18.615743999999999</v>
      </c>
      <c r="F226">
        <v>0.38154097160492201</v>
      </c>
      <c r="G226" t="s">
        <v>64</v>
      </c>
      <c r="H226">
        <v>8</v>
      </c>
      <c r="I226">
        <v>22</v>
      </c>
      <c r="J226">
        <v>0.584470072474226</v>
      </c>
      <c r="K226" t="b">
        <f t="shared" si="15"/>
        <v>1</v>
      </c>
      <c r="L226">
        <f t="shared" si="16"/>
        <v>19.581755044079145</v>
      </c>
      <c r="M226">
        <f t="shared" si="17"/>
        <v>39.16351008815829</v>
      </c>
      <c r="N226">
        <f t="shared" si="18"/>
        <v>97.421666885965891</v>
      </c>
      <c r="O226" s="21">
        <f t="shared" si="19"/>
        <v>93.246452590853082</v>
      </c>
    </row>
    <row r="227" spans="1:15" x14ac:dyDescent="0.35">
      <c r="A227" t="s">
        <v>64</v>
      </c>
      <c r="B227">
        <v>8</v>
      </c>
      <c r="C227" t="s">
        <v>65</v>
      </c>
      <c r="D227">
        <v>23</v>
      </c>
      <c r="E227">
        <v>20.799071999999999</v>
      </c>
      <c r="F227">
        <v>0.45268287045677402</v>
      </c>
      <c r="G227" t="s">
        <v>64</v>
      </c>
      <c r="H227">
        <v>8</v>
      </c>
      <c r="I227">
        <v>23</v>
      </c>
      <c r="J227">
        <v>0.66893335571581203</v>
      </c>
      <c r="K227" t="b">
        <f t="shared" si="15"/>
        <v>1</v>
      </c>
      <c r="L227">
        <f t="shared" si="16"/>
        <v>21.920688226172583</v>
      </c>
      <c r="M227">
        <f t="shared" si="17"/>
        <v>43.841376452345166</v>
      </c>
      <c r="N227">
        <f t="shared" si="18"/>
        <v>109.05815037896807</v>
      </c>
      <c r="O227" s="21">
        <f t="shared" si="19"/>
        <v>104.38422964844088</v>
      </c>
    </row>
    <row r="228" spans="1:15" x14ac:dyDescent="0.35">
      <c r="A228" t="s">
        <v>64</v>
      </c>
      <c r="B228">
        <v>8</v>
      </c>
      <c r="C228" t="s">
        <v>65</v>
      </c>
      <c r="D228">
        <v>24</v>
      </c>
      <c r="E228">
        <v>22.982399999999998</v>
      </c>
      <c r="F228">
        <v>0.53035998434307097</v>
      </c>
      <c r="G228" t="s">
        <v>64</v>
      </c>
      <c r="H228">
        <v>8</v>
      </c>
      <c r="I228">
        <v>24</v>
      </c>
      <c r="J228">
        <v>0.75508208101105501</v>
      </c>
      <c r="K228" t="b">
        <f t="shared" si="15"/>
        <v>1</v>
      </c>
      <c r="L228">
        <f t="shared" si="16"/>
        <v>24.267842065354124</v>
      </c>
      <c r="M228">
        <f t="shared" si="17"/>
        <v>48.535684130708248</v>
      </c>
      <c r="N228">
        <f t="shared" si="18"/>
        <v>120.73553266345334</v>
      </c>
      <c r="O228" s="21">
        <f t="shared" si="19"/>
        <v>115.56115269216249</v>
      </c>
    </row>
    <row r="229" spans="1:15" x14ac:dyDescent="0.35">
      <c r="A229" t="s">
        <v>64</v>
      </c>
      <c r="B229">
        <v>8</v>
      </c>
      <c r="C229" t="s">
        <v>65</v>
      </c>
      <c r="D229">
        <v>25</v>
      </c>
      <c r="E229">
        <v>25.948566</v>
      </c>
      <c r="F229">
        <v>0.617484718812778</v>
      </c>
      <c r="G229" t="s">
        <v>64</v>
      </c>
      <c r="H229">
        <v>8</v>
      </c>
      <c r="I229">
        <v>25</v>
      </c>
      <c r="J229">
        <v>0.85306164183736799</v>
      </c>
      <c r="K229" t="b">
        <f t="shared" si="15"/>
        <v>1</v>
      </c>
      <c r="L229">
        <f t="shared" si="16"/>
        <v>27.419112360650146</v>
      </c>
      <c r="M229">
        <f t="shared" si="17"/>
        <v>54.838224721300293</v>
      </c>
      <c r="N229">
        <f t="shared" si="18"/>
        <v>136.41349433159277</v>
      </c>
      <c r="O229" s="21">
        <f t="shared" si="19"/>
        <v>130.56720171738166</v>
      </c>
    </row>
    <row r="230" spans="1:15" x14ac:dyDescent="0.35">
      <c r="A230" t="s">
        <v>64</v>
      </c>
      <c r="B230">
        <v>8</v>
      </c>
      <c r="C230" t="s">
        <v>65</v>
      </c>
      <c r="D230">
        <v>26</v>
      </c>
      <c r="E230">
        <v>28.914731999999901</v>
      </c>
      <c r="F230">
        <v>0.71377364524839504</v>
      </c>
      <c r="G230" t="s">
        <v>64</v>
      </c>
      <c r="H230">
        <v>8</v>
      </c>
      <c r="I230">
        <v>26</v>
      </c>
      <c r="J230">
        <v>0.95877793785453103</v>
      </c>
      <c r="K230" t="b">
        <f t="shared" si="15"/>
        <v>1</v>
      </c>
      <c r="L230">
        <f t="shared" si="16"/>
        <v>30.587283583102828</v>
      </c>
      <c r="M230">
        <f t="shared" si="17"/>
        <v>61.174567166205655</v>
      </c>
      <c r="N230">
        <f t="shared" si="18"/>
        <v>152.17554021444192</v>
      </c>
      <c r="O230" s="21">
        <f t="shared" si="19"/>
        <v>145.65373134810872</v>
      </c>
    </row>
    <row r="231" spans="1:15" x14ac:dyDescent="0.35">
      <c r="A231" t="s">
        <v>64</v>
      </c>
      <c r="B231">
        <v>8</v>
      </c>
      <c r="C231" t="s">
        <v>65</v>
      </c>
      <c r="D231">
        <v>27</v>
      </c>
      <c r="E231">
        <v>31.880897999999998</v>
      </c>
      <c r="F231">
        <v>0.81895183789094295</v>
      </c>
      <c r="G231" t="s">
        <v>64</v>
      </c>
      <c r="H231">
        <v>8</v>
      </c>
      <c r="I231">
        <v>27</v>
      </c>
      <c r="J231">
        <v>1.0696814784525901</v>
      </c>
      <c r="K231" t="b">
        <f t="shared" si="15"/>
        <v>1</v>
      </c>
      <c r="L231">
        <f t="shared" si="16"/>
        <v>33.769531316343532</v>
      </c>
      <c r="M231">
        <f t="shared" si="17"/>
        <v>67.539062632687063</v>
      </c>
      <c r="N231">
        <f t="shared" si="18"/>
        <v>168.00761848927129</v>
      </c>
      <c r="O231" s="21">
        <f t="shared" si="19"/>
        <v>160.80729198258825</v>
      </c>
    </row>
    <row r="232" spans="1:15" x14ac:dyDescent="0.35">
      <c r="A232" t="s">
        <v>64</v>
      </c>
      <c r="B232">
        <v>8</v>
      </c>
      <c r="C232" t="s">
        <v>65</v>
      </c>
      <c r="D232">
        <v>28</v>
      </c>
      <c r="E232">
        <v>34.847063999999897</v>
      </c>
      <c r="F232">
        <v>0.932752618754215</v>
      </c>
      <c r="G232" t="s">
        <v>64</v>
      </c>
      <c r="H232">
        <v>8</v>
      </c>
      <c r="I232">
        <v>28</v>
      </c>
      <c r="J232">
        <v>1.18414954777377</v>
      </c>
      <c r="K232" t="b">
        <f t="shared" si="15"/>
        <v>1</v>
      </c>
      <c r="L232">
        <f t="shared" si="16"/>
        <v>36.963966166527882</v>
      </c>
      <c r="M232">
        <f t="shared" si="17"/>
        <v>73.927932333055765</v>
      </c>
      <c r="N232">
        <f t="shared" si="18"/>
        <v>183.90032918670587</v>
      </c>
      <c r="O232" s="21">
        <f t="shared" si="19"/>
        <v>176.01888650727562</v>
      </c>
    </row>
    <row r="233" spans="1:15" x14ac:dyDescent="0.35">
      <c r="A233" t="s">
        <v>64</v>
      </c>
      <c r="B233">
        <v>8</v>
      </c>
      <c r="C233" t="s">
        <v>65</v>
      </c>
      <c r="D233">
        <v>29</v>
      </c>
      <c r="E233">
        <v>37.813229999999997</v>
      </c>
      <c r="F233">
        <v>1.0549173101915901</v>
      </c>
      <c r="G233" t="s">
        <v>64</v>
      </c>
      <c r="H233">
        <v>8</v>
      </c>
      <c r="I233">
        <v>29</v>
      </c>
      <c r="J233">
        <v>1.3011243348444901</v>
      </c>
      <c r="K233" t="b">
        <f t="shared" si="15"/>
        <v>1</v>
      </c>
      <c r="L233">
        <f t="shared" si="16"/>
        <v>40.169271645036076</v>
      </c>
      <c r="M233">
        <f t="shared" si="17"/>
        <v>80.338543290072153</v>
      </c>
      <c r="N233">
        <f t="shared" si="18"/>
        <v>199.84712261211976</v>
      </c>
      <c r="O233" s="21">
        <f t="shared" si="19"/>
        <v>191.28224592874324</v>
      </c>
    </row>
    <row r="234" spans="1:15" x14ac:dyDescent="0.35">
      <c r="A234" t="s">
        <v>64</v>
      </c>
      <c r="B234">
        <v>8</v>
      </c>
      <c r="C234" t="s">
        <v>65</v>
      </c>
      <c r="D234">
        <v>30</v>
      </c>
      <c r="E234">
        <v>41.397047999999998</v>
      </c>
      <c r="F234">
        <v>1.18764754288584</v>
      </c>
      <c r="G234" t="s">
        <v>64</v>
      </c>
      <c r="H234">
        <v>8</v>
      </c>
      <c r="I234">
        <v>30</v>
      </c>
      <c r="J234">
        <v>1.42824738762595</v>
      </c>
      <c r="K234" t="b">
        <f t="shared" si="15"/>
        <v>1</v>
      </c>
      <c r="L234">
        <f t="shared" si="16"/>
        <v>44.012942930511791</v>
      </c>
      <c r="M234">
        <f t="shared" si="17"/>
        <v>88.025885861023582</v>
      </c>
      <c r="N234">
        <f t="shared" si="18"/>
        <v>218.96986532592931</v>
      </c>
      <c r="O234" s="21">
        <f t="shared" si="19"/>
        <v>209.58544252624662</v>
      </c>
    </row>
    <row r="235" spans="1:15" x14ac:dyDescent="0.35">
      <c r="A235" t="s">
        <v>64</v>
      </c>
      <c r="B235">
        <v>8</v>
      </c>
      <c r="C235" t="s">
        <v>65</v>
      </c>
      <c r="D235">
        <v>31</v>
      </c>
      <c r="E235">
        <v>44.925104117204597</v>
      </c>
      <c r="F235">
        <v>1.3805938889771301</v>
      </c>
      <c r="G235" t="s">
        <v>64</v>
      </c>
      <c r="H235">
        <v>8</v>
      </c>
      <c r="I235">
        <v>31</v>
      </c>
      <c r="J235">
        <v>1.5612965641308401</v>
      </c>
      <c r="K235" t="b">
        <f t="shared" si="15"/>
        <v>1</v>
      </c>
      <c r="L235">
        <f t="shared" si="16"/>
        <v>47.866994570312571</v>
      </c>
      <c r="M235">
        <f t="shared" si="17"/>
        <v>95.733989140625141</v>
      </c>
      <c r="N235">
        <f t="shared" si="18"/>
        <v>238.14425159359487</v>
      </c>
      <c r="O235" s="21">
        <f t="shared" si="19"/>
        <v>227.93806938244083</v>
      </c>
    </row>
    <row r="236" spans="1:15" x14ac:dyDescent="0.35">
      <c r="A236" t="s">
        <v>64</v>
      </c>
      <c r="B236">
        <v>8</v>
      </c>
      <c r="C236" t="s">
        <v>65</v>
      </c>
      <c r="D236">
        <v>32</v>
      </c>
      <c r="E236">
        <v>48.300244446312703</v>
      </c>
      <c r="F236">
        <v>1.71808590016021</v>
      </c>
      <c r="G236" t="s">
        <v>64</v>
      </c>
      <c r="H236">
        <v>8</v>
      </c>
      <c r="I236">
        <v>32</v>
      </c>
      <c r="J236">
        <v>1.69630259617754</v>
      </c>
      <c r="K236" t="b">
        <f t="shared" si="15"/>
        <v>1</v>
      </c>
      <c r="L236">
        <f t="shared" si="16"/>
        <v>51.714632942650454</v>
      </c>
      <c r="M236">
        <f t="shared" si="17"/>
        <v>103.42926588530091</v>
      </c>
      <c r="N236">
        <f t="shared" si="18"/>
        <v>257.28673105796241</v>
      </c>
      <c r="O236" s="21">
        <f t="shared" si="19"/>
        <v>246.26015686976407</v>
      </c>
    </row>
    <row r="237" spans="1:15" x14ac:dyDescent="0.35">
      <c r="A237" t="s">
        <v>64</v>
      </c>
      <c r="B237">
        <v>8</v>
      </c>
      <c r="C237" t="s">
        <v>65</v>
      </c>
      <c r="D237">
        <v>33</v>
      </c>
      <c r="E237">
        <v>51.613899837707102</v>
      </c>
      <c r="F237">
        <v>2.11136191918578</v>
      </c>
      <c r="G237" t="s">
        <v>64</v>
      </c>
      <c r="H237">
        <v>8</v>
      </c>
      <c r="I237">
        <v>33</v>
      </c>
      <c r="J237">
        <v>1.8319478396648501</v>
      </c>
      <c r="K237" t="b">
        <f t="shared" si="15"/>
        <v>1</v>
      </c>
      <c r="L237">
        <f t="shared" si="16"/>
        <v>55.557209596557733</v>
      </c>
      <c r="M237">
        <f t="shared" si="17"/>
        <v>111.11441919311547</v>
      </c>
      <c r="N237">
        <f t="shared" si="18"/>
        <v>276.40402784357082</v>
      </c>
      <c r="O237" s="21">
        <f t="shared" si="19"/>
        <v>264.55814093598923</v>
      </c>
    </row>
    <row r="238" spans="1:15" x14ac:dyDescent="0.35">
      <c r="A238" t="s">
        <v>64</v>
      </c>
      <c r="B238">
        <v>8</v>
      </c>
      <c r="C238" t="s">
        <v>65</v>
      </c>
      <c r="D238">
        <v>34</v>
      </c>
      <c r="E238">
        <v>54.889572788584402</v>
      </c>
      <c r="F238">
        <v>2.5367975090689998</v>
      </c>
      <c r="G238" t="s">
        <v>64</v>
      </c>
      <c r="H238">
        <v>8</v>
      </c>
      <c r="I238">
        <v>34</v>
      </c>
      <c r="J238">
        <v>1.9676606415940201</v>
      </c>
      <c r="K238" t="b">
        <f t="shared" si="15"/>
        <v>1</v>
      </c>
      <c r="L238">
        <f t="shared" si="16"/>
        <v>59.394030939247422</v>
      </c>
      <c r="M238">
        <f t="shared" si="17"/>
        <v>118.78806187849484</v>
      </c>
      <c r="N238">
        <f t="shared" si="18"/>
        <v>295.49269124003689</v>
      </c>
      <c r="O238" s="21">
        <f t="shared" si="19"/>
        <v>282.82871875832109</v>
      </c>
    </row>
    <row r="239" spans="1:15" x14ac:dyDescent="0.35">
      <c r="A239" t="s">
        <v>64</v>
      </c>
      <c r="B239">
        <v>8</v>
      </c>
      <c r="C239" t="s">
        <v>65</v>
      </c>
      <c r="D239">
        <v>35</v>
      </c>
      <c r="E239">
        <v>58.523426021676798</v>
      </c>
      <c r="F239">
        <v>2.9934931282562598</v>
      </c>
      <c r="G239" t="s">
        <v>64</v>
      </c>
      <c r="H239">
        <v>8</v>
      </c>
      <c r="I239">
        <v>35</v>
      </c>
      <c r="J239">
        <v>2.1083848527568398</v>
      </c>
      <c r="K239" t="b">
        <f t="shared" si="15"/>
        <v>1</v>
      </c>
      <c r="L239">
        <f t="shared" si="16"/>
        <v>63.625304002689901</v>
      </c>
      <c r="M239">
        <f t="shared" si="17"/>
        <v>127.2506080053798</v>
      </c>
      <c r="N239">
        <f t="shared" si="18"/>
        <v>316.54380100840746</v>
      </c>
      <c r="O239" s="21">
        <f t="shared" si="19"/>
        <v>302.97763810804719</v>
      </c>
    </row>
    <row r="240" spans="1:15" x14ac:dyDescent="0.35">
      <c r="A240" t="s">
        <v>64</v>
      </c>
      <c r="B240">
        <v>8</v>
      </c>
      <c r="C240" t="s">
        <v>65</v>
      </c>
      <c r="D240">
        <v>36</v>
      </c>
      <c r="E240">
        <v>62.1261608837357</v>
      </c>
      <c r="F240">
        <v>3.4749574436587598</v>
      </c>
      <c r="G240" t="s">
        <v>64</v>
      </c>
      <c r="H240">
        <v>8</v>
      </c>
      <c r="I240">
        <v>36</v>
      </c>
      <c r="J240">
        <v>2.2519986154652001</v>
      </c>
      <c r="K240" t="b">
        <f t="shared" si="15"/>
        <v>1</v>
      </c>
      <c r="L240">
        <f t="shared" si="16"/>
        <v>67.853116942859657</v>
      </c>
      <c r="M240">
        <f t="shared" si="17"/>
        <v>135.70623388571931</v>
      </c>
      <c r="N240">
        <f t="shared" si="18"/>
        <v>337.5776962331326</v>
      </c>
      <c r="O240" s="21">
        <f t="shared" si="19"/>
        <v>323.11008068028411</v>
      </c>
    </row>
    <row r="241" spans="1:15" x14ac:dyDescent="0.35">
      <c r="A241" t="s">
        <v>64</v>
      </c>
      <c r="B241">
        <v>8</v>
      </c>
      <c r="C241" t="s">
        <v>65</v>
      </c>
      <c r="D241">
        <v>37</v>
      </c>
      <c r="E241">
        <v>65.672718978028399</v>
      </c>
      <c r="F241">
        <v>4.0025748270691599</v>
      </c>
      <c r="G241" t="s">
        <v>64</v>
      </c>
      <c r="H241">
        <v>8</v>
      </c>
      <c r="I241">
        <v>37</v>
      </c>
      <c r="J241">
        <v>2.3968245070738399</v>
      </c>
      <c r="K241" t="b">
        <f t="shared" si="15"/>
        <v>1</v>
      </c>
      <c r="L241">
        <f t="shared" si="16"/>
        <v>72.072118312171398</v>
      </c>
      <c r="M241">
        <f t="shared" si="17"/>
        <v>144.1442366243428</v>
      </c>
      <c r="N241">
        <f t="shared" si="18"/>
        <v>358.56775279687258</v>
      </c>
      <c r="O241" s="21">
        <f t="shared" si="19"/>
        <v>343.20056339129241</v>
      </c>
    </row>
    <row r="242" spans="1:15" x14ac:dyDescent="0.35">
      <c r="A242" t="s">
        <v>64</v>
      </c>
      <c r="B242">
        <v>8</v>
      </c>
      <c r="C242" t="s">
        <v>65</v>
      </c>
      <c r="D242">
        <v>38</v>
      </c>
      <c r="E242">
        <v>69.166926762166796</v>
      </c>
      <c r="F242">
        <v>4.5708001564581497</v>
      </c>
      <c r="G242" t="s">
        <v>64</v>
      </c>
      <c r="H242">
        <v>8</v>
      </c>
      <c r="I242">
        <v>38</v>
      </c>
      <c r="J242">
        <v>2.5418321586201098</v>
      </c>
      <c r="K242" t="b">
        <f t="shared" si="15"/>
        <v>1</v>
      </c>
      <c r="L242">
        <f t="shared" si="16"/>
        <v>76.279559077245054</v>
      </c>
      <c r="M242">
        <f t="shared" si="17"/>
        <v>152.55911815449011</v>
      </c>
      <c r="N242">
        <f t="shared" si="18"/>
        <v>379.50029391664202</v>
      </c>
      <c r="O242" s="21">
        <f t="shared" si="19"/>
        <v>363.23599560592885</v>
      </c>
    </row>
    <row r="243" spans="1:15" x14ac:dyDescent="0.35">
      <c r="A243" t="s">
        <v>64</v>
      </c>
      <c r="B243">
        <v>8</v>
      </c>
      <c r="C243" t="s">
        <v>65</v>
      </c>
      <c r="D243">
        <v>39</v>
      </c>
      <c r="E243">
        <v>72.609707054896205</v>
      </c>
      <c r="F243">
        <v>5.1769446786095203</v>
      </c>
      <c r="G243" t="s">
        <v>64</v>
      </c>
      <c r="H243">
        <v>8</v>
      </c>
      <c r="I243">
        <v>39</v>
      </c>
      <c r="J243">
        <v>2.6863518371746502</v>
      </c>
      <c r="K243" t="b">
        <f t="shared" si="15"/>
        <v>1</v>
      </c>
      <c r="L243">
        <f t="shared" si="16"/>
        <v>80.473003570680376</v>
      </c>
      <c r="M243">
        <f t="shared" si="17"/>
        <v>160.94600714136075</v>
      </c>
      <c r="N243">
        <f t="shared" si="18"/>
        <v>400.36320184418094</v>
      </c>
      <c r="O243" s="21">
        <f t="shared" si="19"/>
        <v>383.2047789080018</v>
      </c>
    </row>
    <row r="244" spans="1:15" x14ac:dyDescent="0.35">
      <c r="A244" t="s">
        <v>64</v>
      </c>
      <c r="B244">
        <v>8</v>
      </c>
      <c r="C244" t="s">
        <v>65</v>
      </c>
      <c r="D244">
        <v>40</v>
      </c>
      <c r="E244">
        <v>76.252037823136703</v>
      </c>
      <c r="F244">
        <v>5.7624351805109404</v>
      </c>
      <c r="G244" t="s">
        <v>64</v>
      </c>
      <c r="H244">
        <v>8</v>
      </c>
      <c r="I244">
        <v>40</v>
      </c>
      <c r="J244">
        <v>2.83332081302621</v>
      </c>
      <c r="K244" t="b">
        <f t="shared" si="15"/>
        <v>1</v>
      </c>
      <c r="L244">
        <f t="shared" si="16"/>
        <v>84.847793816673843</v>
      </c>
      <c r="M244">
        <f t="shared" si="17"/>
        <v>169.69558763334769</v>
      </c>
      <c r="N244">
        <f t="shared" si="18"/>
        <v>422.12832744613848</v>
      </c>
      <c r="O244" s="21">
        <f t="shared" si="19"/>
        <v>404.03711341273259</v>
      </c>
    </row>
    <row r="245" spans="1:15" x14ac:dyDescent="0.35">
      <c r="A245" t="s">
        <v>64</v>
      </c>
      <c r="B245">
        <v>8</v>
      </c>
      <c r="C245" t="s">
        <v>65</v>
      </c>
      <c r="D245">
        <v>41</v>
      </c>
      <c r="E245">
        <v>79.874968076257005</v>
      </c>
      <c r="F245">
        <v>6.3572376007898601</v>
      </c>
      <c r="G245" t="s">
        <v>64</v>
      </c>
      <c r="H245">
        <v>8</v>
      </c>
      <c r="I245">
        <v>41</v>
      </c>
      <c r="J245">
        <v>2.9816426873406501</v>
      </c>
      <c r="K245" t="b">
        <f t="shared" si="15"/>
        <v>1</v>
      </c>
      <c r="L245">
        <f t="shared" si="16"/>
        <v>89.213848364387516</v>
      </c>
      <c r="M245">
        <f t="shared" si="17"/>
        <v>178.42769672877503</v>
      </c>
      <c r="N245">
        <f t="shared" si="18"/>
        <v>443.84999186262445</v>
      </c>
      <c r="O245" s="21">
        <f t="shared" si="19"/>
        <v>424.82784935422626</v>
      </c>
    </row>
    <row r="246" spans="1:15" x14ac:dyDescent="0.35">
      <c r="A246" t="s">
        <v>64</v>
      </c>
      <c r="B246">
        <v>8</v>
      </c>
      <c r="C246" t="s">
        <v>65</v>
      </c>
      <c r="D246">
        <v>42</v>
      </c>
      <c r="E246">
        <v>83.463685740754897</v>
      </c>
      <c r="F246">
        <v>6.9742670530961197</v>
      </c>
      <c r="G246" t="s">
        <v>64</v>
      </c>
      <c r="H246">
        <v>8</v>
      </c>
      <c r="I246">
        <v>42</v>
      </c>
      <c r="J246">
        <v>3.1304256169722802</v>
      </c>
      <c r="K246" t="b">
        <f t="shared" si="15"/>
        <v>1</v>
      </c>
      <c r="L246">
        <f t="shared" si="16"/>
        <v>93.568378410823286</v>
      </c>
      <c r="M246">
        <f t="shared" si="17"/>
        <v>187.13675682164657</v>
      </c>
      <c r="N246">
        <f t="shared" si="18"/>
        <v>465.51432045185709</v>
      </c>
      <c r="O246" s="21">
        <f t="shared" si="19"/>
        <v>445.56370671820616</v>
      </c>
    </row>
    <row r="247" spans="1:15" x14ac:dyDescent="0.35">
      <c r="A247" t="s">
        <v>64</v>
      </c>
      <c r="B247">
        <v>8</v>
      </c>
      <c r="C247" t="s">
        <v>65</v>
      </c>
      <c r="D247">
        <v>43</v>
      </c>
      <c r="E247">
        <v>87.011235843346697</v>
      </c>
      <c r="F247">
        <v>7.6187655625983401</v>
      </c>
      <c r="G247" t="s">
        <v>64</v>
      </c>
      <c r="H247">
        <v>8</v>
      </c>
      <c r="I247">
        <v>43</v>
      </c>
      <c r="J247">
        <v>3.2790004120427501</v>
      </c>
      <c r="K247" t="b">
        <f t="shared" si="15"/>
        <v>1</v>
      </c>
      <c r="L247">
        <f t="shared" si="16"/>
        <v>97.909001817987786</v>
      </c>
      <c r="M247">
        <f t="shared" si="17"/>
        <v>195.81800363597557</v>
      </c>
      <c r="N247">
        <f t="shared" si="18"/>
        <v>487.10946178103376</v>
      </c>
      <c r="O247" s="21">
        <f t="shared" si="19"/>
        <v>466.23334199041807</v>
      </c>
    </row>
    <row r="248" spans="1:15" x14ac:dyDescent="0.35">
      <c r="A248" t="s">
        <v>64</v>
      </c>
      <c r="B248">
        <v>8</v>
      </c>
      <c r="C248" t="s">
        <v>65</v>
      </c>
      <c r="D248">
        <v>44</v>
      </c>
      <c r="E248">
        <v>90.514150719097898</v>
      </c>
      <c r="F248">
        <v>8.2925870377079391</v>
      </c>
      <c r="G248" t="s">
        <v>64</v>
      </c>
      <c r="H248">
        <v>8</v>
      </c>
      <c r="I248">
        <v>44</v>
      </c>
      <c r="J248">
        <v>3.42687960048627</v>
      </c>
      <c r="K248" t="b">
        <f t="shared" si="15"/>
        <v>1</v>
      </c>
      <c r="L248">
        <f t="shared" si="16"/>
        <v>102.2336173572921</v>
      </c>
      <c r="M248">
        <f t="shared" si="17"/>
        <v>204.46723471458421</v>
      </c>
      <c r="N248">
        <f t="shared" si="18"/>
        <v>508.62496197657759</v>
      </c>
      <c r="O248" s="21">
        <f t="shared" si="19"/>
        <v>486.82674932043864</v>
      </c>
    </row>
    <row r="249" spans="1:15" x14ac:dyDescent="0.35">
      <c r="A249" t="s">
        <v>64</v>
      </c>
      <c r="B249">
        <v>8</v>
      </c>
      <c r="C249" t="s">
        <v>65</v>
      </c>
      <c r="D249">
        <v>45</v>
      </c>
      <c r="E249">
        <v>94.088856787523099</v>
      </c>
      <c r="F249">
        <v>8.9288350604033297</v>
      </c>
      <c r="G249" t="s">
        <v>64</v>
      </c>
      <c r="H249">
        <v>8</v>
      </c>
      <c r="I249">
        <v>45</v>
      </c>
      <c r="J249">
        <v>3.57530931051225</v>
      </c>
      <c r="K249" t="b">
        <f t="shared" si="15"/>
        <v>1</v>
      </c>
      <c r="L249">
        <f t="shared" si="16"/>
        <v>106.59300115843868</v>
      </c>
      <c r="M249">
        <f t="shared" si="17"/>
        <v>213.18600231687736</v>
      </c>
      <c r="N249">
        <f t="shared" si="18"/>
        <v>530.31343859919741</v>
      </c>
      <c r="O249" s="21">
        <f t="shared" si="19"/>
        <v>507.58571980208899</v>
      </c>
    </row>
    <row r="250" spans="1:15" x14ac:dyDescent="0.35">
      <c r="A250" t="s">
        <v>64</v>
      </c>
      <c r="B250">
        <v>8</v>
      </c>
      <c r="C250" t="s">
        <v>65</v>
      </c>
      <c r="D250">
        <v>46</v>
      </c>
      <c r="E250">
        <v>97.651653452650393</v>
      </c>
      <c r="F250">
        <v>9.5657794402410001</v>
      </c>
      <c r="G250" t="s">
        <v>64</v>
      </c>
      <c r="H250">
        <v>8</v>
      </c>
      <c r="I250">
        <v>46</v>
      </c>
      <c r="J250">
        <v>3.7239438180054201</v>
      </c>
      <c r="K250" t="b">
        <f t="shared" si="15"/>
        <v>1</v>
      </c>
      <c r="L250">
        <f t="shared" si="16"/>
        <v>110.94137671089682</v>
      </c>
      <c r="M250">
        <f t="shared" si="17"/>
        <v>221.88275342179364</v>
      </c>
      <c r="N250">
        <f t="shared" si="18"/>
        <v>551.94714781540699</v>
      </c>
      <c r="O250" s="21">
        <f t="shared" si="19"/>
        <v>528.29227005188966</v>
      </c>
    </row>
    <row r="251" spans="1:15" x14ac:dyDescent="0.35">
      <c r="A251" t="s">
        <v>64</v>
      </c>
      <c r="B251">
        <v>8</v>
      </c>
      <c r="C251" t="s">
        <v>65</v>
      </c>
      <c r="D251">
        <v>47</v>
      </c>
      <c r="E251">
        <v>101.185231627435</v>
      </c>
      <c r="F251">
        <v>10.2189604742222</v>
      </c>
      <c r="G251" t="s">
        <v>64</v>
      </c>
      <c r="H251">
        <v>8</v>
      </c>
      <c r="I251">
        <v>47</v>
      </c>
      <c r="J251">
        <v>3.8723291009848402</v>
      </c>
      <c r="K251" t="b">
        <f t="shared" si="15"/>
        <v>1</v>
      </c>
      <c r="L251">
        <f t="shared" si="16"/>
        <v>115.27652120264204</v>
      </c>
      <c r="M251">
        <f t="shared" si="17"/>
        <v>230.55304240528409</v>
      </c>
      <c r="N251">
        <f t="shared" si="18"/>
        <v>573.51503085891557</v>
      </c>
      <c r="O251" s="21">
        <f t="shared" si="19"/>
        <v>548.93581525067646</v>
      </c>
    </row>
    <row r="252" spans="1:15" x14ac:dyDescent="0.35">
      <c r="A252" t="s">
        <v>64</v>
      </c>
      <c r="B252">
        <v>8</v>
      </c>
      <c r="C252" t="s">
        <v>65</v>
      </c>
      <c r="D252">
        <v>48</v>
      </c>
      <c r="E252">
        <v>104.682121936</v>
      </c>
      <c r="F252">
        <v>10.894343868474101</v>
      </c>
      <c r="G252" t="s">
        <v>64</v>
      </c>
      <c r="H252">
        <v>8</v>
      </c>
      <c r="I252">
        <v>48</v>
      </c>
      <c r="J252">
        <v>4.0200704040456197</v>
      </c>
      <c r="K252" t="b">
        <f t="shared" si="15"/>
        <v>1</v>
      </c>
      <c r="L252">
        <f t="shared" si="16"/>
        <v>119.59653620851972</v>
      </c>
      <c r="M252">
        <f t="shared" si="17"/>
        <v>239.19307241703945</v>
      </c>
      <c r="N252">
        <f t="shared" si="18"/>
        <v>595.00764282845626</v>
      </c>
      <c r="O252" s="21">
        <f t="shared" si="19"/>
        <v>569.50731527866537</v>
      </c>
    </row>
    <row r="253" spans="1:15" x14ac:dyDescent="0.35">
      <c r="A253" t="s">
        <v>64</v>
      </c>
      <c r="B253">
        <v>8</v>
      </c>
      <c r="C253" t="s">
        <v>65</v>
      </c>
      <c r="D253">
        <v>49</v>
      </c>
      <c r="E253">
        <v>108.138963819279</v>
      </c>
      <c r="F253">
        <v>11.5939169882546</v>
      </c>
      <c r="G253" t="s">
        <v>64</v>
      </c>
      <c r="H253">
        <v>8</v>
      </c>
      <c r="I253">
        <v>49</v>
      </c>
      <c r="J253">
        <v>4.1668625593718502</v>
      </c>
      <c r="K253" t="b">
        <f t="shared" si="15"/>
        <v>1</v>
      </c>
      <c r="L253">
        <f t="shared" si="16"/>
        <v>123.89974336690545</v>
      </c>
      <c r="M253">
        <f t="shared" si="17"/>
        <v>247.79948673381091</v>
      </c>
      <c r="N253">
        <f t="shared" si="18"/>
        <v>616.41663366619628</v>
      </c>
      <c r="O253" s="21">
        <f t="shared" si="19"/>
        <v>589.99877793764506</v>
      </c>
    </row>
    <row r="254" spans="1:15" x14ac:dyDescent="0.35">
      <c r="A254" t="s">
        <v>64</v>
      </c>
      <c r="B254">
        <v>8</v>
      </c>
      <c r="C254" t="s">
        <v>65</v>
      </c>
      <c r="D254">
        <v>50</v>
      </c>
      <c r="E254">
        <v>111.58382791438</v>
      </c>
      <c r="F254">
        <v>12.2396834561024</v>
      </c>
      <c r="G254" t="s">
        <v>64</v>
      </c>
      <c r="H254">
        <v>8</v>
      </c>
      <c r="I254">
        <v>50</v>
      </c>
      <c r="J254">
        <v>4.3128805648638098</v>
      </c>
      <c r="K254" t="b">
        <f t="shared" si="15"/>
        <v>1</v>
      </c>
      <c r="L254">
        <f t="shared" si="16"/>
        <v>128.13639193534621</v>
      </c>
      <c r="M254">
        <f t="shared" si="17"/>
        <v>256.27278387069242</v>
      </c>
      <c r="N254">
        <f t="shared" si="18"/>
        <v>637.49448724052843</v>
      </c>
      <c r="O254" s="21">
        <f t="shared" si="19"/>
        <v>610.1732949302201</v>
      </c>
    </row>
    <row r="255" spans="1:15" x14ac:dyDescent="0.35">
      <c r="A255" t="s">
        <v>64</v>
      </c>
      <c r="B255">
        <v>8</v>
      </c>
      <c r="C255" t="s">
        <v>65</v>
      </c>
      <c r="D255">
        <v>51</v>
      </c>
      <c r="E255">
        <v>115.02563676425299</v>
      </c>
      <c r="F255">
        <v>12.8777711678466</v>
      </c>
      <c r="G255" t="s">
        <v>64</v>
      </c>
      <c r="H255">
        <v>8</v>
      </c>
      <c r="I255">
        <v>51</v>
      </c>
      <c r="J255">
        <v>4.4583484701389002</v>
      </c>
      <c r="K255" t="b">
        <f t="shared" si="15"/>
        <v>1</v>
      </c>
      <c r="L255">
        <f t="shared" si="16"/>
        <v>132.36175640223848</v>
      </c>
      <c r="M255">
        <f t="shared" si="17"/>
        <v>264.72351280447697</v>
      </c>
      <c r="N255">
        <f t="shared" si="18"/>
        <v>658.51620100616162</v>
      </c>
      <c r="O255" s="21">
        <f t="shared" si="19"/>
        <v>630.2940781058976</v>
      </c>
    </row>
    <row r="256" spans="1:15" x14ac:dyDescent="0.35">
      <c r="A256" t="s">
        <v>64</v>
      </c>
      <c r="B256">
        <v>8</v>
      </c>
      <c r="C256" t="s">
        <v>65</v>
      </c>
      <c r="D256">
        <v>52</v>
      </c>
      <c r="E256">
        <v>118.444755816696</v>
      </c>
      <c r="F256">
        <v>13.526184214405299</v>
      </c>
      <c r="G256" t="s">
        <v>64</v>
      </c>
      <c r="H256">
        <v>8</v>
      </c>
      <c r="I256">
        <v>52</v>
      </c>
      <c r="J256">
        <v>4.6031402867476396</v>
      </c>
      <c r="K256" t="b">
        <f t="shared" si="15"/>
        <v>1</v>
      </c>
      <c r="L256">
        <f t="shared" si="16"/>
        <v>136.57408031784894</v>
      </c>
      <c r="M256">
        <f t="shared" si="17"/>
        <v>273.14816063569788</v>
      </c>
      <c r="N256">
        <f t="shared" si="18"/>
        <v>679.47303640720861</v>
      </c>
      <c r="O256" s="21">
        <f t="shared" si="19"/>
        <v>650.35276341832832</v>
      </c>
    </row>
    <row r="257" spans="1:15" x14ac:dyDescent="0.35">
      <c r="A257" t="s">
        <v>64</v>
      </c>
      <c r="B257">
        <v>8</v>
      </c>
      <c r="C257" t="s">
        <v>65</v>
      </c>
      <c r="D257">
        <v>53</v>
      </c>
      <c r="E257">
        <v>121.83320839457799</v>
      </c>
      <c r="F257">
        <v>14.1916059214998</v>
      </c>
      <c r="G257" t="s">
        <v>64</v>
      </c>
      <c r="H257">
        <v>8</v>
      </c>
      <c r="I257">
        <v>53</v>
      </c>
      <c r="J257">
        <v>4.7470663132750701</v>
      </c>
      <c r="K257" t="b">
        <f t="shared" si="15"/>
        <v>1</v>
      </c>
      <c r="L257">
        <f t="shared" si="16"/>
        <v>140.77188062935286</v>
      </c>
      <c r="M257">
        <f t="shared" si="17"/>
        <v>281.54376125870573</v>
      </c>
      <c r="N257">
        <f t="shared" si="18"/>
        <v>700.35761507140728</v>
      </c>
      <c r="O257" s="21">
        <f t="shared" si="19"/>
        <v>670.34228871120411</v>
      </c>
    </row>
    <row r="258" spans="1:15" x14ac:dyDescent="0.35">
      <c r="A258" t="s">
        <v>64</v>
      </c>
      <c r="B258">
        <v>8</v>
      </c>
      <c r="C258" t="s">
        <v>65</v>
      </c>
      <c r="D258">
        <v>54</v>
      </c>
      <c r="E258">
        <v>125.187677385067</v>
      </c>
      <c r="F258">
        <v>14.876214927298101</v>
      </c>
      <c r="G258" t="s">
        <v>64</v>
      </c>
      <c r="H258">
        <v>8</v>
      </c>
      <c r="I258">
        <v>54</v>
      </c>
      <c r="J258">
        <v>4.8899578771030701</v>
      </c>
      <c r="K258" t="b">
        <f t="shared" ref="K258:K321" si="20">H258=B258</f>
        <v>1</v>
      </c>
      <c r="L258">
        <f t="shared" ref="L258:L321" si="21">E258+F258+J258</f>
        <v>144.95385018946817</v>
      </c>
      <c r="M258">
        <f t="shared" ref="M258:M321" si="22">L258*2</f>
        <v>289.90770037893634</v>
      </c>
      <c r="N258">
        <f t="shared" ref="N258:N321" si="23">M258/(1-0.598)</f>
        <v>721.16343377844862</v>
      </c>
      <c r="O258" s="21">
        <f t="shared" ref="O258:O321" si="24">M258/0.42</f>
        <v>690.25642947365793</v>
      </c>
    </row>
    <row r="259" spans="1:15" x14ac:dyDescent="0.35">
      <c r="A259" t="s">
        <v>64</v>
      </c>
      <c r="B259">
        <v>8</v>
      </c>
      <c r="C259" t="s">
        <v>65</v>
      </c>
      <c r="D259">
        <v>55</v>
      </c>
      <c r="E259">
        <v>128.47714716347801</v>
      </c>
      <c r="F259">
        <v>15.5034702981092</v>
      </c>
      <c r="G259" t="s">
        <v>64</v>
      </c>
      <c r="H259">
        <v>8</v>
      </c>
      <c r="I259">
        <v>55</v>
      </c>
      <c r="J259">
        <v>5.0312840645219001</v>
      </c>
      <c r="K259" t="b">
        <f t="shared" si="20"/>
        <v>1</v>
      </c>
      <c r="L259">
        <f t="shared" si="21"/>
        <v>149.01190152610911</v>
      </c>
      <c r="M259">
        <f t="shared" si="22"/>
        <v>298.02380305221823</v>
      </c>
      <c r="N259">
        <f t="shared" si="23"/>
        <v>741.35274391099063</v>
      </c>
      <c r="O259" s="21">
        <f t="shared" si="24"/>
        <v>709.58048345766247</v>
      </c>
    </row>
    <row r="260" spans="1:15" x14ac:dyDescent="0.35">
      <c r="A260" t="s">
        <v>64</v>
      </c>
      <c r="B260">
        <v>8</v>
      </c>
      <c r="C260" t="s">
        <v>65</v>
      </c>
      <c r="D260">
        <v>56</v>
      </c>
      <c r="E260">
        <v>131.767437748676</v>
      </c>
      <c r="F260">
        <v>16.1201501546795</v>
      </c>
      <c r="G260" t="s">
        <v>64</v>
      </c>
      <c r="H260">
        <v>8</v>
      </c>
      <c r="I260">
        <v>56</v>
      </c>
      <c r="J260">
        <v>5.1715893337186403</v>
      </c>
      <c r="K260" t="b">
        <f t="shared" si="20"/>
        <v>1</v>
      </c>
      <c r="L260">
        <f t="shared" si="21"/>
        <v>153.05917723707412</v>
      </c>
      <c r="M260">
        <f t="shared" si="22"/>
        <v>306.11835447414825</v>
      </c>
      <c r="N260">
        <f t="shared" si="23"/>
        <v>761.48844396554284</v>
      </c>
      <c r="O260" s="21">
        <f t="shared" si="24"/>
        <v>728.85322493844819</v>
      </c>
    </row>
    <row r="261" spans="1:15" x14ac:dyDescent="0.35">
      <c r="A261" t="s">
        <v>64</v>
      </c>
      <c r="B261">
        <v>8</v>
      </c>
      <c r="C261" t="s">
        <v>65</v>
      </c>
      <c r="D261">
        <v>57</v>
      </c>
      <c r="E261">
        <v>135.039423888307</v>
      </c>
      <c r="F261">
        <v>16.743921958087999</v>
      </c>
      <c r="G261" t="s">
        <v>64</v>
      </c>
      <c r="H261">
        <v>8</v>
      </c>
      <c r="I261">
        <v>57</v>
      </c>
      <c r="J261">
        <v>5.3109567339167798</v>
      </c>
      <c r="K261" t="b">
        <f t="shared" si="20"/>
        <v>1</v>
      </c>
      <c r="L261">
        <f t="shared" si="21"/>
        <v>157.09430258031179</v>
      </c>
      <c r="M261">
        <f t="shared" si="22"/>
        <v>314.18860516062358</v>
      </c>
      <c r="N261">
        <f t="shared" si="23"/>
        <v>781.56369442941184</v>
      </c>
      <c r="O261" s="21">
        <f t="shared" si="24"/>
        <v>748.06810752529429</v>
      </c>
    </row>
    <row r="262" spans="1:15" x14ac:dyDescent="0.35">
      <c r="A262" t="s">
        <v>64</v>
      </c>
      <c r="B262">
        <v>8</v>
      </c>
      <c r="C262" t="s">
        <v>65</v>
      </c>
      <c r="D262">
        <v>58</v>
      </c>
      <c r="E262">
        <v>138.285649248618</v>
      </c>
      <c r="F262">
        <v>17.3811401900067</v>
      </c>
      <c r="G262" t="s">
        <v>64</v>
      </c>
      <c r="H262">
        <v>8</v>
      </c>
      <c r="I262">
        <v>58</v>
      </c>
      <c r="J262">
        <v>5.4493385587120402</v>
      </c>
      <c r="K262" t="b">
        <f t="shared" si="20"/>
        <v>1</v>
      </c>
      <c r="L262">
        <f t="shared" si="21"/>
        <v>161.11612799733675</v>
      </c>
      <c r="M262">
        <f t="shared" si="22"/>
        <v>322.23225599467349</v>
      </c>
      <c r="N262">
        <f t="shared" si="23"/>
        <v>801.5727761061529</v>
      </c>
      <c r="O262" s="21">
        <f t="shared" si="24"/>
        <v>767.21965713017505</v>
      </c>
    </row>
    <row r="263" spans="1:15" x14ac:dyDescent="0.35">
      <c r="A263" t="s">
        <v>64</v>
      </c>
      <c r="B263">
        <v>8</v>
      </c>
      <c r="C263" t="s">
        <v>65</v>
      </c>
      <c r="D263">
        <v>59</v>
      </c>
      <c r="E263">
        <v>141.50316963971801</v>
      </c>
      <c r="F263">
        <v>18.033804105230701</v>
      </c>
      <c r="G263" t="s">
        <v>64</v>
      </c>
      <c r="H263">
        <v>8</v>
      </c>
      <c r="I263">
        <v>59</v>
      </c>
      <c r="J263">
        <v>5.5866650053384097</v>
      </c>
      <c r="K263" t="b">
        <f t="shared" si="20"/>
        <v>1</v>
      </c>
      <c r="L263">
        <f t="shared" si="21"/>
        <v>165.12363875028711</v>
      </c>
      <c r="M263">
        <f t="shared" si="22"/>
        <v>330.24727750057423</v>
      </c>
      <c r="N263">
        <f t="shared" si="23"/>
        <v>821.51064054869209</v>
      </c>
      <c r="O263" s="21">
        <f t="shared" si="24"/>
        <v>786.30304166803387</v>
      </c>
    </row>
    <row r="264" spans="1:15" x14ac:dyDescent="0.35">
      <c r="A264" t="s">
        <v>64</v>
      </c>
      <c r="B264">
        <v>8</v>
      </c>
      <c r="C264" t="s">
        <v>65</v>
      </c>
      <c r="D264">
        <v>60</v>
      </c>
      <c r="E264">
        <v>144.59484395477699</v>
      </c>
      <c r="F264">
        <v>18.633078202234302</v>
      </c>
      <c r="G264" t="s">
        <v>64</v>
      </c>
      <c r="H264">
        <v>8</v>
      </c>
      <c r="I264">
        <v>60</v>
      </c>
      <c r="J264">
        <v>5.7215781814508802</v>
      </c>
      <c r="K264" t="b">
        <f t="shared" si="20"/>
        <v>1</v>
      </c>
      <c r="L264">
        <f t="shared" si="21"/>
        <v>168.94950033846214</v>
      </c>
      <c r="M264">
        <f t="shared" si="22"/>
        <v>337.89900067692429</v>
      </c>
      <c r="N264">
        <f t="shared" si="23"/>
        <v>840.54477780329421</v>
      </c>
      <c r="O264" s="21">
        <f t="shared" si="24"/>
        <v>804.52143018315314</v>
      </c>
    </row>
    <row r="265" spans="1:15" x14ac:dyDescent="0.35">
      <c r="A265" t="s">
        <v>64</v>
      </c>
      <c r="B265">
        <v>8</v>
      </c>
      <c r="C265" t="s">
        <v>65</v>
      </c>
      <c r="D265">
        <v>61</v>
      </c>
      <c r="E265">
        <v>147.687714007382</v>
      </c>
      <c r="F265">
        <v>19.222154969089399</v>
      </c>
      <c r="G265" t="s">
        <v>64</v>
      </c>
      <c r="H265">
        <v>8</v>
      </c>
      <c r="I265">
        <v>61</v>
      </c>
      <c r="J265">
        <v>5.8549219956901997</v>
      </c>
      <c r="K265" t="b">
        <f t="shared" si="20"/>
        <v>1</v>
      </c>
      <c r="L265">
        <f t="shared" si="21"/>
        <v>172.76479097216159</v>
      </c>
      <c r="M265">
        <f t="shared" si="22"/>
        <v>345.52958194432318</v>
      </c>
      <c r="N265">
        <f t="shared" si="23"/>
        <v>859.526323244585</v>
      </c>
      <c r="O265" s="21">
        <f t="shared" si="24"/>
        <v>822.68948081981716</v>
      </c>
    </row>
    <row r="266" spans="1:15" x14ac:dyDescent="0.35">
      <c r="A266" t="s">
        <v>64</v>
      </c>
      <c r="B266">
        <v>8</v>
      </c>
      <c r="C266" t="s">
        <v>65</v>
      </c>
      <c r="D266">
        <v>62</v>
      </c>
      <c r="E266">
        <v>150.76461865276599</v>
      </c>
      <c r="F266">
        <v>19.816904422001599</v>
      </c>
      <c r="G266" t="s">
        <v>64</v>
      </c>
      <c r="H266">
        <v>8</v>
      </c>
      <c r="I266">
        <v>62</v>
      </c>
      <c r="J266">
        <v>5.9869923551716999</v>
      </c>
      <c r="K266" t="b">
        <f t="shared" si="20"/>
        <v>1</v>
      </c>
      <c r="L266">
        <f t="shared" si="21"/>
        <v>176.56851542993928</v>
      </c>
      <c r="M266">
        <f t="shared" si="22"/>
        <v>353.13703085987856</v>
      </c>
      <c r="N266">
        <f t="shared" si="23"/>
        <v>878.4503255220859</v>
      </c>
      <c r="O266" s="21">
        <f t="shared" si="24"/>
        <v>840.80245442828232</v>
      </c>
    </row>
    <row r="267" spans="1:15" x14ac:dyDescent="0.35">
      <c r="A267" t="s">
        <v>64</v>
      </c>
      <c r="B267">
        <v>8</v>
      </c>
      <c r="C267" t="s">
        <v>65</v>
      </c>
      <c r="D267">
        <v>63</v>
      </c>
      <c r="E267">
        <v>153.819057186566</v>
      </c>
      <c r="F267">
        <v>20.422875050926699</v>
      </c>
      <c r="G267" t="s">
        <v>64</v>
      </c>
      <c r="H267">
        <v>8</v>
      </c>
      <c r="I267">
        <v>63</v>
      </c>
      <c r="J267">
        <v>6.1178899952574</v>
      </c>
      <c r="K267" t="b">
        <f t="shared" si="20"/>
        <v>1</v>
      </c>
      <c r="L267">
        <f t="shared" si="21"/>
        <v>180.3598222327501</v>
      </c>
      <c r="M267">
        <f t="shared" si="22"/>
        <v>360.71964446550021</v>
      </c>
      <c r="N267">
        <f t="shared" si="23"/>
        <v>897.3125484216423</v>
      </c>
      <c r="O267" s="21">
        <f t="shared" si="24"/>
        <v>858.85629634642908</v>
      </c>
    </row>
    <row r="268" spans="1:15" x14ac:dyDescent="0.35">
      <c r="A268" t="s">
        <v>64</v>
      </c>
      <c r="B268">
        <v>8</v>
      </c>
      <c r="C268" t="s">
        <v>65</v>
      </c>
      <c r="D268">
        <v>64</v>
      </c>
      <c r="E268">
        <v>156.84854270759101</v>
      </c>
      <c r="F268">
        <v>21.0417467460898</v>
      </c>
      <c r="G268" t="s">
        <v>64</v>
      </c>
      <c r="H268">
        <v>8</v>
      </c>
      <c r="I268">
        <v>64</v>
      </c>
      <c r="J268">
        <v>6.2476479699998002</v>
      </c>
      <c r="K268" t="b">
        <f t="shared" si="20"/>
        <v>1</v>
      </c>
      <c r="L268">
        <f t="shared" si="21"/>
        <v>184.1379374236806</v>
      </c>
      <c r="M268">
        <f t="shared" si="22"/>
        <v>368.27587484736119</v>
      </c>
      <c r="N268">
        <f t="shared" si="23"/>
        <v>916.10914141134617</v>
      </c>
      <c r="O268" s="21">
        <f t="shared" si="24"/>
        <v>876.84732106514571</v>
      </c>
    </row>
    <row r="269" spans="1:15" x14ac:dyDescent="0.35">
      <c r="A269" t="s">
        <v>64</v>
      </c>
      <c r="B269">
        <v>8</v>
      </c>
      <c r="C269" t="s">
        <v>65</v>
      </c>
      <c r="D269">
        <v>65</v>
      </c>
      <c r="E269">
        <v>159.686164326512</v>
      </c>
      <c r="F269">
        <v>21.596204474408299</v>
      </c>
      <c r="G269" t="s">
        <v>64</v>
      </c>
      <c r="H269">
        <v>8</v>
      </c>
      <c r="I269">
        <v>65</v>
      </c>
      <c r="J269">
        <v>6.3740338635025404</v>
      </c>
      <c r="K269" t="b">
        <f t="shared" si="20"/>
        <v>1</v>
      </c>
      <c r="L269">
        <f t="shared" si="21"/>
        <v>187.65640266442284</v>
      </c>
      <c r="M269">
        <f t="shared" si="22"/>
        <v>375.31280532884568</v>
      </c>
      <c r="N269">
        <f t="shared" si="23"/>
        <v>933.61394360409372</v>
      </c>
      <c r="O269" s="21">
        <f t="shared" si="24"/>
        <v>893.60191744963265</v>
      </c>
    </row>
    <row r="270" spans="1:15" x14ac:dyDescent="0.35">
      <c r="A270" t="s">
        <v>64</v>
      </c>
      <c r="B270">
        <v>8</v>
      </c>
      <c r="C270" t="s">
        <v>65</v>
      </c>
      <c r="D270">
        <v>66</v>
      </c>
      <c r="E270">
        <v>162.532033580437</v>
      </c>
      <c r="F270">
        <v>22.1352699437073</v>
      </c>
      <c r="G270" t="s">
        <v>64</v>
      </c>
      <c r="H270">
        <v>8</v>
      </c>
      <c r="I270">
        <v>66</v>
      </c>
      <c r="J270">
        <v>6.4983200693418501</v>
      </c>
      <c r="K270" t="b">
        <f t="shared" si="20"/>
        <v>1</v>
      </c>
      <c r="L270">
        <f t="shared" si="21"/>
        <v>191.16562359348615</v>
      </c>
      <c r="M270">
        <f t="shared" si="22"/>
        <v>382.33124718697229</v>
      </c>
      <c r="N270">
        <f t="shared" si="23"/>
        <v>951.07275419644839</v>
      </c>
      <c r="O270" s="21">
        <f t="shared" si="24"/>
        <v>910.31249330231503</v>
      </c>
    </row>
    <row r="271" spans="1:15" x14ac:dyDescent="0.35">
      <c r="A271" t="s">
        <v>64</v>
      </c>
      <c r="B271">
        <v>8</v>
      </c>
      <c r="C271" t="s">
        <v>65</v>
      </c>
      <c r="D271">
        <v>67</v>
      </c>
      <c r="E271">
        <v>165.36721847151199</v>
      </c>
      <c r="F271">
        <v>22.6766339888425</v>
      </c>
      <c r="G271" t="s">
        <v>64</v>
      </c>
      <c r="H271">
        <v>8</v>
      </c>
      <c r="I271">
        <v>67</v>
      </c>
      <c r="J271">
        <v>6.6210469009424902</v>
      </c>
      <c r="K271" t="b">
        <f t="shared" si="20"/>
        <v>1</v>
      </c>
      <c r="L271">
        <f t="shared" si="21"/>
        <v>194.66489936129699</v>
      </c>
      <c r="M271">
        <f t="shared" si="22"/>
        <v>389.32979872259398</v>
      </c>
      <c r="N271">
        <f t="shared" si="23"/>
        <v>968.48208637461187</v>
      </c>
      <c r="O271" s="21">
        <f t="shared" si="24"/>
        <v>926.97571124427145</v>
      </c>
    </row>
    <row r="272" spans="1:15" x14ac:dyDescent="0.35">
      <c r="A272" t="s">
        <v>64</v>
      </c>
      <c r="B272">
        <v>8</v>
      </c>
      <c r="C272" t="s">
        <v>65</v>
      </c>
      <c r="D272">
        <v>68</v>
      </c>
      <c r="E272">
        <v>168.18473859891</v>
      </c>
      <c r="F272">
        <v>23.226422571874501</v>
      </c>
      <c r="G272" t="s">
        <v>64</v>
      </c>
      <c r="H272">
        <v>8</v>
      </c>
      <c r="I272">
        <v>68</v>
      </c>
      <c r="J272">
        <v>6.7424651039108801</v>
      </c>
      <c r="K272" t="b">
        <f t="shared" si="20"/>
        <v>1</v>
      </c>
      <c r="L272">
        <f t="shared" si="21"/>
        <v>198.1536262746954</v>
      </c>
      <c r="M272">
        <f t="shared" si="22"/>
        <v>396.3072525493908</v>
      </c>
      <c r="N272">
        <f t="shared" si="23"/>
        <v>985.8389366900268</v>
      </c>
      <c r="O272" s="21">
        <f t="shared" si="24"/>
        <v>943.58869654616865</v>
      </c>
    </row>
    <row r="273" spans="1:15" x14ac:dyDescent="0.35">
      <c r="A273" t="s">
        <v>64</v>
      </c>
      <c r="B273">
        <v>8</v>
      </c>
      <c r="C273" t="s">
        <v>65</v>
      </c>
      <c r="D273">
        <v>69</v>
      </c>
      <c r="E273">
        <v>170.98201038561501</v>
      </c>
      <c r="F273">
        <v>23.786523342697802</v>
      </c>
      <c r="G273" t="s">
        <v>64</v>
      </c>
      <c r="H273">
        <v>8</v>
      </c>
      <c r="I273">
        <v>69</v>
      </c>
      <c r="J273">
        <v>6.8627049237987903</v>
      </c>
      <c r="K273" t="b">
        <f t="shared" si="20"/>
        <v>1</v>
      </c>
      <c r="L273">
        <f t="shared" si="21"/>
        <v>201.63123865211159</v>
      </c>
      <c r="M273">
        <f t="shared" si="22"/>
        <v>403.26247730422318</v>
      </c>
      <c r="N273">
        <f t="shared" si="23"/>
        <v>1003.1404908065252</v>
      </c>
      <c r="O273" s="21">
        <f t="shared" si="24"/>
        <v>960.1487554862457</v>
      </c>
    </row>
    <row r="274" spans="1:15" x14ac:dyDescent="0.35">
      <c r="A274" t="s">
        <v>64</v>
      </c>
      <c r="B274">
        <v>8</v>
      </c>
      <c r="C274" t="s">
        <v>65</v>
      </c>
      <c r="D274">
        <v>70</v>
      </c>
      <c r="E274">
        <v>173.499454655785</v>
      </c>
      <c r="F274">
        <v>24.2716247129744</v>
      </c>
      <c r="G274" t="s">
        <v>64</v>
      </c>
      <c r="H274">
        <v>8</v>
      </c>
      <c r="I274">
        <v>70</v>
      </c>
      <c r="J274">
        <v>6.97874667337351</v>
      </c>
      <c r="K274" t="b">
        <f t="shared" si="20"/>
        <v>1</v>
      </c>
      <c r="L274">
        <f t="shared" si="21"/>
        <v>204.7498260421329</v>
      </c>
      <c r="M274">
        <f t="shared" si="22"/>
        <v>409.49965208426579</v>
      </c>
      <c r="N274">
        <f t="shared" si="23"/>
        <v>1018.6558509558849</v>
      </c>
      <c r="O274" s="21">
        <f t="shared" si="24"/>
        <v>974.99917162920428</v>
      </c>
    </row>
    <row r="275" spans="1:15" x14ac:dyDescent="0.35">
      <c r="A275" t="s">
        <v>64</v>
      </c>
      <c r="B275">
        <v>8</v>
      </c>
      <c r="C275" t="s">
        <v>65</v>
      </c>
      <c r="D275">
        <v>71</v>
      </c>
      <c r="E275">
        <v>176.03205350841699</v>
      </c>
      <c r="F275">
        <v>24.7367432365448</v>
      </c>
      <c r="G275" t="s">
        <v>64</v>
      </c>
      <c r="H275">
        <v>8</v>
      </c>
      <c r="I275">
        <v>71</v>
      </c>
      <c r="J275">
        <v>7.0922478178286603</v>
      </c>
      <c r="K275" t="b">
        <f t="shared" si="20"/>
        <v>1</v>
      </c>
      <c r="L275">
        <f t="shared" si="21"/>
        <v>207.86104456279045</v>
      </c>
      <c r="M275">
        <f t="shared" si="22"/>
        <v>415.72208912558091</v>
      </c>
      <c r="N275">
        <f t="shared" si="23"/>
        <v>1034.1345500636339</v>
      </c>
      <c r="O275" s="21">
        <f t="shared" si="24"/>
        <v>989.81449791804982</v>
      </c>
    </row>
    <row r="276" spans="1:15" x14ac:dyDescent="0.35">
      <c r="A276" t="s">
        <v>64</v>
      </c>
      <c r="B276">
        <v>8</v>
      </c>
      <c r="C276" t="s">
        <v>65</v>
      </c>
      <c r="D276">
        <v>72</v>
      </c>
      <c r="E276">
        <v>178.55949683064</v>
      </c>
      <c r="F276">
        <v>25.201419324935799</v>
      </c>
      <c r="G276" t="s">
        <v>64</v>
      </c>
      <c r="H276">
        <v>8</v>
      </c>
      <c r="I276">
        <v>72</v>
      </c>
      <c r="J276">
        <v>7.2039655082977596</v>
      </c>
      <c r="K276" t="b">
        <f t="shared" si="20"/>
        <v>1</v>
      </c>
      <c r="L276">
        <f t="shared" si="21"/>
        <v>210.96488166387354</v>
      </c>
      <c r="M276">
        <f t="shared" si="22"/>
        <v>421.92976332774708</v>
      </c>
      <c r="N276">
        <f t="shared" si="23"/>
        <v>1049.5765256909131</v>
      </c>
      <c r="O276" s="21">
        <f t="shared" si="24"/>
        <v>1004.594674589874</v>
      </c>
    </row>
    <row r="277" spans="1:15" x14ac:dyDescent="0.35">
      <c r="A277" t="s">
        <v>64</v>
      </c>
      <c r="B277">
        <v>8</v>
      </c>
      <c r="C277" t="s">
        <v>65</v>
      </c>
      <c r="D277">
        <v>73</v>
      </c>
      <c r="E277">
        <v>181.074380674992</v>
      </c>
      <c r="F277">
        <v>25.672357689113301</v>
      </c>
      <c r="G277" t="s">
        <v>64</v>
      </c>
      <c r="H277">
        <v>8</v>
      </c>
      <c r="I277">
        <v>73</v>
      </c>
      <c r="J277">
        <v>7.3142827252483196</v>
      </c>
      <c r="K277" t="b">
        <f t="shared" si="20"/>
        <v>1</v>
      </c>
      <c r="L277">
        <f t="shared" si="21"/>
        <v>214.06102108935363</v>
      </c>
      <c r="M277">
        <f t="shared" si="22"/>
        <v>428.12204217870726</v>
      </c>
      <c r="N277">
        <f t="shared" si="23"/>
        <v>1064.9802044246449</v>
      </c>
      <c r="O277" s="21">
        <f t="shared" si="24"/>
        <v>1019.3381956635887</v>
      </c>
    </row>
    <row r="278" spans="1:15" x14ac:dyDescent="0.35">
      <c r="A278" t="s">
        <v>64</v>
      </c>
      <c r="B278">
        <v>8</v>
      </c>
      <c r="C278" t="s">
        <v>65</v>
      </c>
      <c r="D278">
        <v>74</v>
      </c>
      <c r="E278">
        <v>183.57403159209599</v>
      </c>
      <c r="F278">
        <v>26.151648934371099</v>
      </c>
      <c r="G278" t="s">
        <v>64</v>
      </c>
      <c r="H278">
        <v>8</v>
      </c>
      <c r="I278">
        <v>74</v>
      </c>
      <c r="J278">
        <v>7.4234151238549604</v>
      </c>
      <c r="K278" t="b">
        <f t="shared" si="20"/>
        <v>1</v>
      </c>
      <c r="L278">
        <f t="shared" si="21"/>
        <v>217.14909565032207</v>
      </c>
      <c r="M278">
        <f t="shared" si="22"/>
        <v>434.29819130064413</v>
      </c>
      <c r="N278">
        <f t="shared" si="23"/>
        <v>1080.3437594543386</v>
      </c>
      <c r="O278" s="21">
        <f t="shared" si="24"/>
        <v>1034.0433126205812</v>
      </c>
    </row>
    <row r="279" spans="1:15" x14ac:dyDescent="0.35">
      <c r="A279" t="s">
        <v>64</v>
      </c>
      <c r="B279">
        <v>8</v>
      </c>
      <c r="C279" t="s">
        <v>65</v>
      </c>
      <c r="D279">
        <v>75</v>
      </c>
      <c r="E279">
        <v>185.763444612867</v>
      </c>
      <c r="F279">
        <v>26.550803501137299</v>
      </c>
      <c r="G279" t="s">
        <v>64</v>
      </c>
      <c r="H279">
        <v>8</v>
      </c>
      <c r="I279">
        <v>75</v>
      </c>
      <c r="J279">
        <v>7.5274748872213202</v>
      </c>
      <c r="K279" t="b">
        <f t="shared" si="20"/>
        <v>1</v>
      </c>
      <c r="L279">
        <f t="shared" si="21"/>
        <v>219.84172300122563</v>
      </c>
      <c r="M279">
        <f t="shared" si="22"/>
        <v>439.68344600245126</v>
      </c>
      <c r="N279">
        <f t="shared" si="23"/>
        <v>1093.7399154289831</v>
      </c>
      <c r="O279" s="21">
        <f t="shared" si="24"/>
        <v>1046.865347624884</v>
      </c>
    </row>
    <row r="280" spans="1:15" x14ac:dyDescent="0.35">
      <c r="A280" t="s">
        <v>64</v>
      </c>
      <c r="B280">
        <v>8</v>
      </c>
      <c r="C280" t="s">
        <v>65</v>
      </c>
      <c r="D280">
        <v>76</v>
      </c>
      <c r="E280">
        <v>187.973428222716</v>
      </c>
      <c r="F280">
        <v>26.927664558072198</v>
      </c>
      <c r="G280" t="s">
        <v>64</v>
      </c>
      <c r="H280">
        <v>8</v>
      </c>
      <c r="I280">
        <v>76</v>
      </c>
      <c r="J280">
        <v>7.62849619575716</v>
      </c>
      <c r="K280" t="b">
        <f t="shared" si="20"/>
        <v>1</v>
      </c>
      <c r="L280">
        <f t="shared" si="21"/>
        <v>222.52958897654534</v>
      </c>
      <c r="M280">
        <f t="shared" si="22"/>
        <v>445.05917795309068</v>
      </c>
      <c r="N280">
        <f t="shared" si="23"/>
        <v>1107.1123829678872</v>
      </c>
      <c r="O280" s="21">
        <f t="shared" si="24"/>
        <v>1059.6647094121206</v>
      </c>
    </row>
    <row r="281" spans="1:15" x14ac:dyDescent="0.35">
      <c r="A281" t="s">
        <v>64</v>
      </c>
      <c r="B281">
        <v>8</v>
      </c>
      <c r="C281" t="s">
        <v>65</v>
      </c>
      <c r="D281">
        <v>77</v>
      </c>
      <c r="E281">
        <v>190.18280132746699</v>
      </c>
      <c r="F281">
        <v>27.302471918261698</v>
      </c>
      <c r="G281" t="s">
        <v>64</v>
      </c>
      <c r="H281">
        <v>8</v>
      </c>
      <c r="I281">
        <v>77</v>
      </c>
      <c r="J281">
        <v>7.7274623781850797</v>
      </c>
      <c r="K281" t="b">
        <f t="shared" si="20"/>
        <v>1</v>
      </c>
      <c r="L281">
        <f t="shared" si="21"/>
        <v>225.21273562391374</v>
      </c>
      <c r="M281">
        <f t="shared" si="22"/>
        <v>450.42547124782749</v>
      </c>
      <c r="N281">
        <f t="shared" si="23"/>
        <v>1120.4613712632524</v>
      </c>
      <c r="O281" s="21">
        <f t="shared" si="24"/>
        <v>1072.4415982091132</v>
      </c>
    </row>
    <row r="282" spans="1:15" x14ac:dyDescent="0.35">
      <c r="A282" t="s">
        <v>64</v>
      </c>
      <c r="B282">
        <v>8</v>
      </c>
      <c r="C282" t="s">
        <v>65</v>
      </c>
      <c r="D282">
        <v>78</v>
      </c>
      <c r="E282">
        <v>192.38405501846401</v>
      </c>
      <c r="F282">
        <v>27.682093392970302</v>
      </c>
      <c r="G282" t="s">
        <v>64</v>
      </c>
      <c r="H282">
        <v>8</v>
      </c>
      <c r="I282">
        <v>78</v>
      </c>
      <c r="J282">
        <v>7.8248993267994402</v>
      </c>
      <c r="K282" t="b">
        <f t="shared" si="20"/>
        <v>1</v>
      </c>
      <c r="L282">
        <f t="shared" si="21"/>
        <v>227.89104773823377</v>
      </c>
      <c r="M282">
        <f t="shared" si="22"/>
        <v>455.78209547646753</v>
      </c>
      <c r="N282">
        <f t="shared" si="23"/>
        <v>1133.7863071553918</v>
      </c>
      <c r="O282" s="21">
        <f t="shared" si="24"/>
        <v>1085.1954654201609</v>
      </c>
    </row>
    <row r="283" spans="1:15" x14ac:dyDescent="0.35">
      <c r="A283" t="s">
        <v>64</v>
      </c>
      <c r="B283">
        <v>8</v>
      </c>
      <c r="C283" t="s">
        <v>65</v>
      </c>
      <c r="D283">
        <v>79</v>
      </c>
      <c r="E283">
        <v>194.574528837103</v>
      </c>
      <c r="F283">
        <v>28.068669035053599</v>
      </c>
      <c r="G283" t="s">
        <v>64</v>
      </c>
      <c r="H283">
        <v>8</v>
      </c>
      <c r="I283">
        <v>79</v>
      </c>
      <c r="J283">
        <v>7.92111631919897</v>
      </c>
      <c r="K283" t="b">
        <f t="shared" si="20"/>
        <v>1</v>
      </c>
      <c r="L283">
        <f t="shared" si="21"/>
        <v>230.56431419135558</v>
      </c>
      <c r="M283">
        <f t="shared" si="22"/>
        <v>461.12862838271116</v>
      </c>
      <c r="N283">
        <f t="shared" si="23"/>
        <v>1147.0861402555004</v>
      </c>
      <c r="O283" s="21">
        <f t="shared" si="24"/>
        <v>1097.9253056731218</v>
      </c>
    </row>
    <row r="284" spans="1:15" x14ac:dyDescent="0.35">
      <c r="A284" t="s">
        <v>64</v>
      </c>
      <c r="B284">
        <v>8</v>
      </c>
      <c r="C284" t="s">
        <v>65</v>
      </c>
      <c r="D284">
        <v>80</v>
      </c>
      <c r="E284">
        <v>196.43712985597</v>
      </c>
      <c r="F284">
        <v>28.374403577896199</v>
      </c>
      <c r="G284" t="s">
        <v>64</v>
      </c>
      <c r="H284">
        <v>8</v>
      </c>
      <c r="I284">
        <v>80</v>
      </c>
      <c r="J284">
        <v>8.0119862110531308</v>
      </c>
      <c r="K284" t="b">
        <f t="shared" si="20"/>
        <v>1</v>
      </c>
      <c r="L284">
        <f t="shared" si="21"/>
        <v>232.82351964491934</v>
      </c>
      <c r="M284">
        <f t="shared" si="22"/>
        <v>465.64703928983869</v>
      </c>
      <c r="N284">
        <f t="shared" si="23"/>
        <v>1158.3259683826832</v>
      </c>
      <c r="O284" s="21">
        <f t="shared" si="24"/>
        <v>1108.6834268805683</v>
      </c>
    </row>
    <row r="285" spans="1:15" x14ac:dyDescent="0.35">
      <c r="A285" t="s">
        <v>64</v>
      </c>
      <c r="B285">
        <v>8</v>
      </c>
      <c r="C285" t="s">
        <v>65</v>
      </c>
      <c r="D285">
        <v>81</v>
      </c>
      <c r="E285">
        <v>198.323595245577</v>
      </c>
      <c r="F285">
        <v>28.657497273828501</v>
      </c>
      <c r="G285" t="s">
        <v>64</v>
      </c>
      <c r="H285">
        <v>8</v>
      </c>
      <c r="I285">
        <v>81</v>
      </c>
      <c r="J285">
        <v>8.0996784241660702</v>
      </c>
      <c r="K285" t="b">
        <f t="shared" si="20"/>
        <v>1</v>
      </c>
      <c r="L285">
        <f t="shared" si="21"/>
        <v>235.08077094357157</v>
      </c>
      <c r="M285">
        <f t="shared" si="22"/>
        <v>470.16154188714313</v>
      </c>
      <c r="N285">
        <f t="shared" si="23"/>
        <v>1169.5560743461272</v>
      </c>
      <c r="O285" s="21">
        <f t="shared" si="24"/>
        <v>1119.4322425884361</v>
      </c>
    </row>
    <row r="286" spans="1:15" x14ac:dyDescent="0.35">
      <c r="A286" t="s">
        <v>64</v>
      </c>
      <c r="B286">
        <v>8</v>
      </c>
      <c r="C286" t="s">
        <v>65</v>
      </c>
      <c r="D286">
        <v>82</v>
      </c>
      <c r="E286">
        <v>200.212918243948</v>
      </c>
      <c r="F286">
        <v>28.938041393563999</v>
      </c>
      <c r="G286" t="s">
        <v>64</v>
      </c>
      <c r="H286">
        <v>8</v>
      </c>
      <c r="I286">
        <v>82</v>
      </c>
      <c r="J286">
        <v>8.1852650963640308</v>
      </c>
      <c r="K286" t="b">
        <f t="shared" si="20"/>
        <v>1</v>
      </c>
      <c r="L286">
        <f t="shared" si="21"/>
        <v>237.33622473387601</v>
      </c>
      <c r="M286">
        <f t="shared" si="22"/>
        <v>474.67244946775202</v>
      </c>
      <c r="N286">
        <f t="shared" si="23"/>
        <v>1180.7772374819701</v>
      </c>
      <c r="O286" s="21">
        <f t="shared" si="24"/>
        <v>1130.172498732743</v>
      </c>
    </row>
    <row r="287" spans="1:15" x14ac:dyDescent="0.35">
      <c r="A287" t="s">
        <v>64</v>
      </c>
      <c r="B287">
        <v>8</v>
      </c>
      <c r="C287" t="s">
        <v>65</v>
      </c>
      <c r="D287">
        <v>83</v>
      </c>
      <c r="E287">
        <v>202.097756226993</v>
      </c>
      <c r="F287">
        <v>29.2227705739135</v>
      </c>
      <c r="G287" t="s">
        <v>64</v>
      </c>
      <c r="H287">
        <v>8</v>
      </c>
      <c r="I287">
        <v>83</v>
      </c>
      <c r="J287">
        <v>8.2693325051317998</v>
      </c>
      <c r="K287" t="b">
        <f t="shared" si="20"/>
        <v>1</v>
      </c>
      <c r="L287">
        <f t="shared" si="21"/>
        <v>239.58985930603831</v>
      </c>
      <c r="M287">
        <f t="shared" si="22"/>
        <v>479.17971861207661</v>
      </c>
      <c r="N287">
        <f t="shared" si="23"/>
        <v>1191.989349781285</v>
      </c>
      <c r="O287" s="21">
        <f t="shared" si="24"/>
        <v>1140.9040919335157</v>
      </c>
    </row>
    <row r="288" spans="1:15" x14ac:dyDescent="0.35">
      <c r="A288" t="s">
        <v>64</v>
      </c>
      <c r="B288">
        <v>8</v>
      </c>
      <c r="C288" t="s">
        <v>65</v>
      </c>
      <c r="D288">
        <v>84</v>
      </c>
      <c r="E288">
        <v>203.97554514885499</v>
      </c>
      <c r="F288">
        <v>29.5137623782223</v>
      </c>
      <c r="G288" t="s">
        <v>64</v>
      </c>
      <c r="H288">
        <v>8</v>
      </c>
      <c r="I288">
        <v>84</v>
      </c>
      <c r="J288">
        <v>8.3522316930367193</v>
      </c>
      <c r="K288" t="b">
        <f t="shared" si="20"/>
        <v>1</v>
      </c>
      <c r="L288">
        <f t="shared" si="21"/>
        <v>241.84153922011402</v>
      </c>
      <c r="M288">
        <f t="shared" si="22"/>
        <v>483.68307844022803</v>
      </c>
      <c r="N288">
        <f t="shared" si="23"/>
        <v>1203.1917374135026</v>
      </c>
      <c r="O288" s="21">
        <f t="shared" si="24"/>
        <v>1151.6263772386383</v>
      </c>
    </row>
    <row r="289" spans="1:15" x14ac:dyDescent="0.35">
      <c r="A289" t="s">
        <v>64</v>
      </c>
      <c r="B289">
        <v>8</v>
      </c>
      <c r="C289" t="s">
        <v>65</v>
      </c>
      <c r="D289">
        <v>85</v>
      </c>
      <c r="E289">
        <v>205.595690906698</v>
      </c>
      <c r="F289">
        <v>29.7340628262689</v>
      </c>
      <c r="G289" t="s">
        <v>64</v>
      </c>
      <c r="H289">
        <v>8</v>
      </c>
      <c r="I289">
        <v>85</v>
      </c>
      <c r="J289">
        <v>8.4307735994827002</v>
      </c>
      <c r="K289" t="b">
        <f t="shared" si="20"/>
        <v>1</v>
      </c>
      <c r="L289">
        <f t="shared" si="21"/>
        <v>243.76052733244961</v>
      </c>
      <c r="M289">
        <f t="shared" si="22"/>
        <v>487.52105466489922</v>
      </c>
      <c r="N289">
        <f t="shared" si="23"/>
        <v>1212.7389419524857</v>
      </c>
      <c r="O289" s="21">
        <f t="shared" si="24"/>
        <v>1160.7644158688076</v>
      </c>
    </row>
    <row r="290" spans="1:15" x14ac:dyDescent="0.35">
      <c r="A290" t="s">
        <v>64</v>
      </c>
      <c r="B290">
        <v>8</v>
      </c>
      <c r="C290" t="s">
        <v>65</v>
      </c>
      <c r="D290">
        <v>86</v>
      </c>
      <c r="E290">
        <v>207.23853151570199</v>
      </c>
      <c r="F290">
        <v>29.935326652574201</v>
      </c>
      <c r="G290" t="s">
        <v>64</v>
      </c>
      <c r="H290">
        <v>8</v>
      </c>
      <c r="I290">
        <v>86</v>
      </c>
      <c r="J290">
        <v>8.5067556082608107</v>
      </c>
      <c r="K290" t="b">
        <f t="shared" si="20"/>
        <v>1</v>
      </c>
      <c r="L290">
        <f t="shared" si="21"/>
        <v>245.680613776537</v>
      </c>
      <c r="M290">
        <f t="shared" si="22"/>
        <v>491.361227553074</v>
      </c>
      <c r="N290">
        <f t="shared" si="23"/>
        <v>1222.2916108285422</v>
      </c>
      <c r="O290" s="21">
        <f t="shared" si="24"/>
        <v>1169.9076846501762</v>
      </c>
    </row>
    <row r="291" spans="1:15" x14ac:dyDescent="0.35">
      <c r="A291" t="s">
        <v>64</v>
      </c>
      <c r="B291">
        <v>8</v>
      </c>
      <c r="C291" t="s">
        <v>65</v>
      </c>
      <c r="D291">
        <v>87</v>
      </c>
      <c r="E291">
        <v>208.88561477665399</v>
      </c>
      <c r="F291">
        <v>30.135154734592899</v>
      </c>
      <c r="G291" t="s">
        <v>64</v>
      </c>
      <c r="H291">
        <v>8</v>
      </c>
      <c r="I291">
        <v>87</v>
      </c>
      <c r="J291">
        <v>8.58105650998648</v>
      </c>
      <c r="K291" t="b">
        <f t="shared" si="20"/>
        <v>1</v>
      </c>
      <c r="L291">
        <f t="shared" si="21"/>
        <v>247.60182602123336</v>
      </c>
      <c r="M291">
        <f t="shared" si="22"/>
        <v>495.20365204246673</v>
      </c>
      <c r="N291">
        <f t="shared" si="23"/>
        <v>1231.8498807026535</v>
      </c>
      <c r="O291" s="21">
        <f t="shared" si="24"/>
        <v>1179.0563143868255</v>
      </c>
    </row>
    <row r="292" spans="1:15" x14ac:dyDescent="0.35">
      <c r="A292" t="s">
        <v>64</v>
      </c>
      <c r="B292">
        <v>8</v>
      </c>
      <c r="C292" t="s">
        <v>65</v>
      </c>
      <c r="D292">
        <v>88</v>
      </c>
      <c r="E292">
        <v>210.53056460618001</v>
      </c>
      <c r="F292">
        <v>30.339351632185799</v>
      </c>
      <c r="G292" t="s">
        <v>64</v>
      </c>
      <c r="H292">
        <v>8</v>
      </c>
      <c r="I292">
        <v>88</v>
      </c>
      <c r="J292">
        <v>8.6541553643833602</v>
      </c>
      <c r="K292" t="b">
        <f t="shared" si="20"/>
        <v>1</v>
      </c>
      <c r="L292">
        <f t="shared" si="21"/>
        <v>249.52407160274919</v>
      </c>
      <c r="M292">
        <f t="shared" si="22"/>
        <v>499.04814320549838</v>
      </c>
      <c r="N292">
        <f t="shared" si="23"/>
        <v>1241.413291555966</v>
      </c>
      <c r="O292" s="21">
        <f t="shared" si="24"/>
        <v>1188.2098647749963</v>
      </c>
    </row>
    <row r="293" spans="1:15" x14ac:dyDescent="0.35">
      <c r="A293" t="s">
        <v>64</v>
      </c>
      <c r="B293">
        <v>8</v>
      </c>
      <c r="C293" t="s">
        <v>65</v>
      </c>
      <c r="D293">
        <v>89</v>
      </c>
      <c r="E293">
        <v>212.17118238512799</v>
      </c>
      <c r="F293">
        <v>30.5496552032224</v>
      </c>
      <c r="G293" t="s">
        <v>64</v>
      </c>
      <c r="H293">
        <v>8</v>
      </c>
      <c r="I293">
        <v>89</v>
      </c>
      <c r="J293">
        <v>8.7263400245178406</v>
      </c>
      <c r="K293" t="b">
        <f t="shared" si="20"/>
        <v>1</v>
      </c>
      <c r="L293">
        <f t="shared" si="21"/>
        <v>251.44717761286822</v>
      </c>
      <c r="M293">
        <f t="shared" si="22"/>
        <v>502.89435522573643</v>
      </c>
      <c r="N293">
        <f t="shared" si="23"/>
        <v>1250.9809831485979</v>
      </c>
      <c r="O293" s="21">
        <f t="shared" si="24"/>
        <v>1197.3675124422296</v>
      </c>
    </row>
    <row r="294" spans="1:15" x14ac:dyDescent="0.35">
      <c r="A294" t="s">
        <v>64</v>
      </c>
      <c r="B294">
        <v>8</v>
      </c>
      <c r="C294" t="s">
        <v>65</v>
      </c>
      <c r="D294">
        <v>90</v>
      </c>
      <c r="E294">
        <v>213.580018872739</v>
      </c>
      <c r="F294">
        <v>30.7521695943929</v>
      </c>
      <c r="G294" t="s">
        <v>64</v>
      </c>
      <c r="H294">
        <v>8</v>
      </c>
      <c r="I294">
        <v>90</v>
      </c>
      <c r="J294">
        <v>8.7946967700545606</v>
      </c>
      <c r="K294" t="b">
        <f t="shared" si="20"/>
        <v>1</v>
      </c>
      <c r="L294">
        <f t="shared" si="21"/>
        <v>253.12688523718649</v>
      </c>
      <c r="M294">
        <f t="shared" si="22"/>
        <v>506.25377047437297</v>
      </c>
      <c r="N294">
        <f t="shared" si="23"/>
        <v>1259.3377374984402</v>
      </c>
      <c r="O294" s="21">
        <f t="shared" si="24"/>
        <v>1205.3661201770785</v>
      </c>
    </row>
    <row r="295" spans="1:15" x14ac:dyDescent="0.35">
      <c r="A295" t="s">
        <v>64</v>
      </c>
      <c r="B295">
        <v>8</v>
      </c>
      <c r="C295" t="s">
        <v>65</v>
      </c>
      <c r="D295">
        <v>91</v>
      </c>
      <c r="E295">
        <v>214.98866786428201</v>
      </c>
      <c r="F295">
        <v>30.9560415284386</v>
      </c>
      <c r="G295" t="s">
        <v>64</v>
      </c>
      <c r="H295">
        <v>8</v>
      </c>
      <c r="I295">
        <v>91</v>
      </c>
      <c r="J295">
        <v>8.8605321897645997</v>
      </c>
      <c r="K295" t="b">
        <f t="shared" si="20"/>
        <v>1</v>
      </c>
      <c r="L295">
        <f t="shared" si="21"/>
        <v>254.80524158248519</v>
      </c>
      <c r="M295">
        <f t="shared" si="22"/>
        <v>509.61048316497039</v>
      </c>
      <c r="N295">
        <f t="shared" si="23"/>
        <v>1267.6877690670904</v>
      </c>
      <c r="O295" s="21">
        <f t="shared" si="24"/>
        <v>1213.3582932499296</v>
      </c>
    </row>
    <row r="296" spans="1:15" x14ac:dyDescent="0.35">
      <c r="A296" t="s">
        <v>64</v>
      </c>
      <c r="B296">
        <v>8</v>
      </c>
      <c r="C296" t="s">
        <v>65</v>
      </c>
      <c r="D296">
        <v>92</v>
      </c>
      <c r="E296">
        <v>216.39378203535099</v>
      </c>
      <c r="F296">
        <v>31.164183597855398</v>
      </c>
      <c r="G296" t="s">
        <v>64</v>
      </c>
      <c r="H296">
        <v>8</v>
      </c>
      <c r="I296">
        <v>92</v>
      </c>
      <c r="J296">
        <v>8.9246183534466699</v>
      </c>
      <c r="K296" t="b">
        <f t="shared" si="20"/>
        <v>1</v>
      </c>
      <c r="L296">
        <f t="shared" si="21"/>
        <v>256.48258398665303</v>
      </c>
      <c r="M296">
        <f t="shared" si="22"/>
        <v>512.96516797330605</v>
      </c>
      <c r="N296">
        <f t="shared" si="23"/>
        <v>1276.0327561525025</v>
      </c>
      <c r="O296" s="21">
        <f t="shared" si="24"/>
        <v>1221.3456380316811</v>
      </c>
    </row>
    <row r="297" spans="1:15" x14ac:dyDescent="0.35">
      <c r="A297" t="s">
        <v>64</v>
      </c>
      <c r="B297">
        <v>8</v>
      </c>
      <c r="C297" t="s">
        <v>65</v>
      </c>
      <c r="D297">
        <v>93</v>
      </c>
      <c r="E297">
        <v>217.79420951882</v>
      </c>
      <c r="F297">
        <v>31.3773783675482</v>
      </c>
      <c r="G297" t="s">
        <v>64</v>
      </c>
      <c r="H297">
        <v>8</v>
      </c>
      <c r="I297">
        <v>93</v>
      </c>
      <c r="J297">
        <v>8.9874336356306195</v>
      </c>
      <c r="K297" t="b">
        <f t="shared" si="20"/>
        <v>1</v>
      </c>
      <c r="L297">
        <f t="shared" si="21"/>
        <v>258.1590215219988</v>
      </c>
      <c r="M297">
        <f t="shared" si="22"/>
        <v>516.31804304399759</v>
      </c>
      <c r="N297">
        <f t="shared" si="23"/>
        <v>1284.3732414029789</v>
      </c>
      <c r="O297" s="21">
        <f t="shared" si="24"/>
        <v>1229.32867391428</v>
      </c>
    </row>
    <row r="298" spans="1:15" x14ac:dyDescent="0.35">
      <c r="A298" t="s">
        <v>64</v>
      </c>
      <c r="B298">
        <v>8</v>
      </c>
      <c r="C298" t="s">
        <v>65</v>
      </c>
      <c r="D298">
        <v>94</v>
      </c>
      <c r="E298">
        <v>219.18955172360899</v>
      </c>
      <c r="F298">
        <v>31.595688519327702</v>
      </c>
      <c r="G298" t="s">
        <v>64</v>
      </c>
      <c r="H298">
        <v>8</v>
      </c>
      <c r="I298">
        <v>94</v>
      </c>
      <c r="J298">
        <v>9.04928646457358</v>
      </c>
      <c r="K298" t="b">
        <f t="shared" si="20"/>
        <v>1</v>
      </c>
      <c r="L298">
        <f t="shared" si="21"/>
        <v>259.83452670751024</v>
      </c>
      <c r="M298">
        <f t="shared" si="22"/>
        <v>519.66905341502047</v>
      </c>
      <c r="N298">
        <f t="shared" si="23"/>
        <v>1292.7090880970657</v>
      </c>
      <c r="O298" s="21">
        <f t="shared" si="24"/>
        <v>1237.3072700357632</v>
      </c>
    </row>
    <row r="299" spans="1:15" x14ac:dyDescent="0.35">
      <c r="A299" t="s">
        <v>64</v>
      </c>
      <c r="B299">
        <v>8</v>
      </c>
      <c r="C299" t="s">
        <v>65</v>
      </c>
      <c r="D299">
        <v>95</v>
      </c>
      <c r="E299">
        <v>220.36901361629299</v>
      </c>
      <c r="F299">
        <v>31.764298948592899</v>
      </c>
      <c r="G299" t="s">
        <v>64</v>
      </c>
      <c r="H299">
        <v>8</v>
      </c>
      <c r="I299">
        <v>95</v>
      </c>
      <c r="J299">
        <v>9.1075015621631099</v>
      </c>
      <c r="K299" t="b">
        <f t="shared" si="20"/>
        <v>1</v>
      </c>
      <c r="L299">
        <f t="shared" si="21"/>
        <v>261.24081412704902</v>
      </c>
      <c r="M299">
        <f t="shared" si="22"/>
        <v>522.48162825409804</v>
      </c>
      <c r="N299">
        <f t="shared" si="23"/>
        <v>1299.7055429206418</v>
      </c>
      <c r="O299" s="21">
        <f t="shared" si="24"/>
        <v>1244.0038767954716</v>
      </c>
    </row>
    <row r="300" spans="1:15" x14ac:dyDescent="0.35">
      <c r="A300" t="s">
        <v>64</v>
      </c>
      <c r="B300">
        <v>8</v>
      </c>
      <c r="C300" t="s">
        <v>65</v>
      </c>
      <c r="D300">
        <v>96</v>
      </c>
      <c r="E300">
        <v>221.56445180648001</v>
      </c>
      <c r="F300">
        <v>31.9198797383469</v>
      </c>
      <c r="G300" t="s">
        <v>64</v>
      </c>
      <c r="H300">
        <v>8</v>
      </c>
      <c r="I300">
        <v>96</v>
      </c>
      <c r="J300">
        <v>9.1635407347028099</v>
      </c>
      <c r="K300" t="b">
        <f t="shared" si="20"/>
        <v>1</v>
      </c>
      <c r="L300">
        <f t="shared" si="21"/>
        <v>262.64787227952974</v>
      </c>
      <c r="M300">
        <f t="shared" si="22"/>
        <v>525.29574455905947</v>
      </c>
      <c r="N300">
        <f t="shared" si="23"/>
        <v>1306.7058322364662</v>
      </c>
      <c r="O300" s="21">
        <f t="shared" si="24"/>
        <v>1250.7041537120465</v>
      </c>
    </row>
    <row r="301" spans="1:15" x14ac:dyDescent="0.35">
      <c r="A301" t="s">
        <v>64</v>
      </c>
      <c r="B301">
        <v>8</v>
      </c>
      <c r="C301" t="s">
        <v>65</v>
      </c>
      <c r="D301">
        <v>97</v>
      </c>
      <c r="E301">
        <v>222.76296201420101</v>
      </c>
      <c r="F301">
        <v>32.0747025261429</v>
      </c>
      <c r="G301" t="s">
        <v>64</v>
      </c>
      <c r="H301">
        <v>8</v>
      </c>
      <c r="I301">
        <v>97</v>
      </c>
      <c r="J301">
        <v>9.2181463968492192</v>
      </c>
      <c r="K301" t="b">
        <f t="shared" si="20"/>
        <v>1</v>
      </c>
      <c r="L301">
        <f t="shared" si="21"/>
        <v>264.05581093719309</v>
      </c>
      <c r="M301">
        <f t="shared" si="22"/>
        <v>528.11162187438617</v>
      </c>
      <c r="N301">
        <f t="shared" si="23"/>
        <v>1313.7105021750899</v>
      </c>
      <c r="O301" s="21">
        <f t="shared" si="24"/>
        <v>1257.4086235104432</v>
      </c>
    </row>
    <row r="302" spans="1:15" x14ac:dyDescent="0.35">
      <c r="A302" t="s">
        <v>64</v>
      </c>
      <c r="B302">
        <v>8</v>
      </c>
      <c r="C302" t="s">
        <v>65</v>
      </c>
      <c r="D302">
        <v>98</v>
      </c>
      <c r="E302">
        <v>223.960153758155</v>
      </c>
      <c r="F302">
        <v>32.232729764232303</v>
      </c>
      <c r="G302" t="s">
        <v>64</v>
      </c>
      <c r="H302">
        <v>8</v>
      </c>
      <c r="I302">
        <v>98</v>
      </c>
      <c r="J302">
        <v>9.2717360887104192</v>
      </c>
      <c r="K302" t="b">
        <f t="shared" si="20"/>
        <v>1</v>
      </c>
      <c r="L302">
        <f t="shared" si="21"/>
        <v>265.46461961109776</v>
      </c>
      <c r="M302">
        <f t="shared" si="22"/>
        <v>530.92923922219552</v>
      </c>
      <c r="N302">
        <f t="shared" si="23"/>
        <v>1320.7195005527251</v>
      </c>
      <c r="O302" s="21">
        <f t="shared" si="24"/>
        <v>1264.1172362433226</v>
      </c>
    </row>
    <row r="303" spans="1:15" x14ac:dyDescent="0.35">
      <c r="A303" t="s">
        <v>64</v>
      </c>
      <c r="B303">
        <v>8</v>
      </c>
      <c r="C303" t="s">
        <v>65</v>
      </c>
      <c r="D303">
        <v>99</v>
      </c>
      <c r="E303">
        <v>225.15453491260101</v>
      </c>
      <c r="F303">
        <v>32.395106264752997</v>
      </c>
      <c r="G303" t="s">
        <v>64</v>
      </c>
      <c r="H303">
        <v>8</v>
      </c>
      <c r="I303">
        <v>99</v>
      </c>
      <c r="J303">
        <v>9.3245656641760597</v>
      </c>
      <c r="K303" t="b">
        <f t="shared" si="20"/>
        <v>1</v>
      </c>
      <c r="L303">
        <f t="shared" si="21"/>
        <v>266.87420684153011</v>
      </c>
      <c r="M303">
        <f t="shared" si="22"/>
        <v>533.74841368306022</v>
      </c>
      <c r="N303">
        <f t="shared" si="23"/>
        <v>1327.7323723459208</v>
      </c>
      <c r="O303" s="21">
        <f t="shared" si="24"/>
        <v>1270.8295563882386</v>
      </c>
    </row>
    <row r="304" spans="1:15" x14ac:dyDescent="0.35">
      <c r="A304" t="s">
        <v>64</v>
      </c>
      <c r="B304">
        <v>8</v>
      </c>
      <c r="C304" t="s">
        <v>65</v>
      </c>
      <c r="D304">
        <v>100</v>
      </c>
      <c r="E304">
        <v>226.27508864137101</v>
      </c>
      <c r="F304">
        <v>32.4704220637284</v>
      </c>
      <c r="G304" t="s">
        <v>64</v>
      </c>
      <c r="H304">
        <v>8</v>
      </c>
      <c r="I304">
        <v>100</v>
      </c>
      <c r="J304">
        <v>9.3758381522879102</v>
      </c>
      <c r="K304" t="b">
        <f t="shared" si="20"/>
        <v>1</v>
      </c>
      <c r="L304">
        <f t="shared" si="21"/>
        <v>268.12134885738732</v>
      </c>
      <c r="M304">
        <f t="shared" si="22"/>
        <v>536.24269771477464</v>
      </c>
      <c r="N304">
        <f t="shared" si="23"/>
        <v>1333.9370589919765</v>
      </c>
      <c r="O304" s="21">
        <f t="shared" si="24"/>
        <v>1276.7683278923207</v>
      </c>
    </row>
    <row r="305" spans="1:15" x14ac:dyDescent="0.35">
      <c r="A305" t="s">
        <v>64</v>
      </c>
      <c r="B305">
        <v>10</v>
      </c>
      <c r="C305" t="s">
        <v>65</v>
      </c>
      <c r="D305">
        <v>0</v>
      </c>
      <c r="E305">
        <v>0</v>
      </c>
      <c r="F305">
        <v>0</v>
      </c>
      <c r="G305" t="s">
        <v>64</v>
      </c>
      <c r="H305">
        <v>10</v>
      </c>
      <c r="I305">
        <v>0</v>
      </c>
      <c r="J305">
        <v>0</v>
      </c>
      <c r="K305" t="b">
        <f t="shared" si="20"/>
        <v>1</v>
      </c>
      <c r="L305">
        <f t="shared" si="21"/>
        <v>0</v>
      </c>
      <c r="M305">
        <f t="shared" si="22"/>
        <v>0</v>
      </c>
      <c r="N305">
        <f t="shared" si="23"/>
        <v>0</v>
      </c>
      <c r="O305" s="21">
        <f t="shared" si="24"/>
        <v>0</v>
      </c>
    </row>
    <row r="306" spans="1:15" x14ac:dyDescent="0.35">
      <c r="A306" t="s">
        <v>64</v>
      </c>
      <c r="B306">
        <v>10</v>
      </c>
      <c r="C306" t="s">
        <v>65</v>
      </c>
      <c r="D306">
        <v>1</v>
      </c>
      <c r="E306">
        <v>0.101231781634869</v>
      </c>
      <c r="F306" s="15">
        <v>4.0196713292441999E-4</v>
      </c>
      <c r="G306" t="s">
        <v>64</v>
      </c>
      <c r="H306">
        <v>10</v>
      </c>
      <c r="I306">
        <v>1</v>
      </c>
      <c r="J306">
        <v>1.36830073860814E-3</v>
      </c>
      <c r="K306" t="b">
        <f t="shared" si="20"/>
        <v>1</v>
      </c>
      <c r="L306">
        <f t="shared" si="21"/>
        <v>0.10300204950640156</v>
      </c>
      <c r="M306">
        <f t="shared" si="22"/>
        <v>0.20600409901280312</v>
      </c>
      <c r="N306">
        <f t="shared" si="23"/>
        <v>0.51244800749453512</v>
      </c>
      <c r="O306" s="21">
        <f t="shared" si="24"/>
        <v>0.49048595003048362</v>
      </c>
    </row>
    <row r="307" spans="1:15" x14ac:dyDescent="0.35">
      <c r="A307" t="s">
        <v>64</v>
      </c>
      <c r="B307">
        <v>10</v>
      </c>
      <c r="C307" t="s">
        <v>65</v>
      </c>
      <c r="D307">
        <v>2</v>
      </c>
      <c r="E307">
        <v>0.227771508678458</v>
      </c>
      <c r="F307">
        <v>1.2943341680166499E-3</v>
      </c>
      <c r="G307" t="s">
        <v>64</v>
      </c>
      <c r="H307">
        <v>10</v>
      </c>
      <c r="I307">
        <v>2</v>
      </c>
      <c r="J307">
        <v>3.9578832195849203E-3</v>
      </c>
      <c r="K307" t="b">
        <f t="shared" si="20"/>
        <v>1</v>
      </c>
      <c r="L307">
        <f t="shared" si="21"/>
        <v>0.23302372606605956</v>
      </c>
      <c r="M307">
        <f t="shared" si="22"/>
        <v>0.46604745213211912</v>
      </c>
      <c r="N307">
        <f t="shared" si="23"/>
        <v>1.1593220202291519</v>
      </c>
      <c r="O307" s="21">
        <f t="shared" si="24"/>
        <v>1.1096367907907598</v>
      </c>
    </row>
    <row r="308" spans="1:15" x14ac:dyDescent="0.35">
      <c r="A308" t="s">
        <v>64</v>
      </c>
      <c r="B308">
        <v>10</v>
      </c>
      <c r="C308" t="s">
        <v>65</v>
      </c>
      <c r="D308">
        <v>3</v>
      </c>
      <c r="E308">
        <v>0.38594616748294103</v>
      </c>
      <c r="F308">
        <v>2.7880038372505201E-3</v>
      </c>
      <c r="G308" t="s">
        <v>64</v>
      </c>
      <c r="H308">
        <v>10</v>
      </c>
      <c r="I308">
        <v>3</v>
      </c>
      <c r="J308">
        <v>7.7737767878741102E-3</v>
      </c>
      <c r="K308" t="b">
        <f t="shared" si="20"/>
        <v>1</v>
      </c>
      <c r="L308">
        <f t="shared" si="21"/>
        <v>0.39650794810806567</v>
      </c>
      <c r="M308">
        <f t="shared" si="22"/>
        <v>0.79301589621613133</v>
      </c>
      <c r="N308">
        <f t="shared" si="23"/>
        <v>1.9726763587465952</v>
      </c>
      <c r="O308" s="21">
        <f t="shared" si="24"/>
        <v>1.8881330862288841</v>
      </c>
    </row>
    <row r="309" spans="1:15" x14ac:dyDescent="0.35">
      <c r="A309" t="s">
        <v>64</v>
      </c>
      <c r="B309">
        <v>10</v>
      </c>
      <c r="C309" t="s">
        <v>65</v>
      </c>
      <c r="D309">
        <v>4</v>
      </c>
      <c r="E309">
        <v>0.583664490988547</v>
      </c>
      <c r="F309">
        <v>5.0219554729004001E-3</v>
      </c>
      <c r="G309" t="s">
        <v>64</v>
      </c>
      <c r="H309">
        <v>10</v>
      </c>
      <c r="I309">
        <v>4</v>
      </c>
      <c r="J309">
        <v>1.2934473683006599E-2</v>
      </c>
      <c r="K309" t="b">
        <f t="shared" si="20"/>
        <v>1</v>
      </c>
      <c r="L309">
        <f t="shared" si="21"/>
        <v>0.60162092014445401</v>
      </c>
      <c r="M309">
        <f t="shared" si="22"/>
        <v>1.203241840288908</v>
      </c>
      <c r="N309">
        <f t="shared" si="23"/>
        <v>2.9931389061913132</v>
      </c>
      <c r="O309" s="21">
        <f t="shared" si="24"/>
        <v>2.8648615244974001</v>
      </c>
    </row>
    <row r="310" spans="1:15" x14ac:dyDescent="0.35">
      <c r="A310" t="s">
        <v>64</v>
      </c>
      <c r="B310">
        <v>10</v>
      </c>
      <c r="C310" t="s">
        <v>65</v>
      </c>
      <c r="D310">
        <v>5</v>
      </c>
      <c r="E310">
        <v>0.83081239537055296</v>
      </c>
      <c r="F310">
        <v>8.1702536300970498E-3</v>
      </c>
      <c r="G310" t="s">
        <v>64</v>
      </c>
      <c r="H310">
        <v>10</v>
      </c>
      <c r="I310">
        <v>5</v>
      </c>
      <c r="J310">
        <v>1.9655686957098101E-2</v>
      </c>
      <c r="K310" t="b">
        <f t="shared" si="20"/>
        <v>1</v>
      </c>
      <c r="L310">
        <f t="shared" si="21"/>
        <v>0.85863833595774808</v>
      </c>
      <c r="M310">
        <f t="shared" si="22"/>
        <v>1.7172766719154962</v>
      </c>
      <c r="N310">
        <f t="shared" si="23"/>
        <v>4.2718325172027267</v>
      </c>
      <c r="O310" s="21">
        <f t="shared" si="24"/>
        <v>4.0887539807511812</v>
      </c>
    </row>
    <row r="311" spans="1:15" x14ac:dyDescent="0.35">
      <c r="A311" t="s">
        <v>64</v>
      </c>
      <c r="B311">
        <v>10</v>
      </c>
      <c r="C311" t="s">
        <v>65</v>
      </c>
      <c r="D311">
        <v>6</v>
      </c>
      <c r="E311">
        <v>1.13974727584806</v>
      </c>
      <c r="F311">
        <v>1.2450809180848101E-2</v>
      </c>
      <c r="G311" t="s">
        <v>64</v>
      </c>
      <c r="H311">
        <v>10</v>
      </c>
      <c r="I311">
        <v>6</v>
      </c>
      <c r="J311">
        <v>2.82484635888204E-2</v>
      </c>
      <c r="K311" t="b">
        <f t="shared" si="20"/>
        <v>1</v>
      </c>
      <c r="L311">
        <f t="shared" si="21"/>
        <v>1.1804465486177287</v>
      </c>
      <c r="M311">
        <f t="shared" si="22"/>
        <v>2.3608930972354574</v>
      </c>
      <c r="N311">
        <f t="shared" si="23"/>
        <v>5.8728684010832266</v>
      </c>
      <c r="O311" s="21">
        <f t="shared" si="24"/>
        <v>5.6211740410368032</v>
      </c>
    </row>
    <row r="312" spans="1:15" x14ac:dyDescent="0.35">
      <c r="A312" t="s">
        <v>64</v>
      </c>
      <c r="B312">
        <v>10</v>
      </c>
      <c r="C312" t="s">
        <v>65</v>
      </c>
      <c r="D312">
        <v>7</v>
      </c>
      <c r="E312">
        <v>1.5259158764449401</v>
      </c>
      <c r="F312">
        <v>1.81363309879146E-2</v>
      </c>
      <c r="G312" t="s">
        <v>64</v>
      </c>
      <c r="H312">
        <v>10</v>
      </c>
      <c r="I312">
        <v>7</v>
      </c>
      <c r="J312">
        <v>3.9127476038432599E-2</v>
      </c>
      <c r="K312" t="b">
        <f t="shared" si="20"/>
        <v>1</v>
      </c>
      <c r="L312">
        <f t="shared" si="21"/>
        <v>1.5831796834712872</v>
      </c>
      <c r="M312">
        <f t="shared" si="22"/>
        <v>3.1663593669425745</v>
      </c>
      <c r="N312">
        <f t="shared" si="23"/>
        <v>7.8765158381656075</v>
      </c>
      <c r="O312" s="21">
        <f t="shared" si="24"/>
        <v>7.538950873672797</v>
      </c>
    </row>
    <row r="313" spans="1:15" x14ac:dyDescent="0.35">
      <c r="A313" t="s">
        <v>64</v>
      </c>
      <c r="B313">
        <v>10</v>
      </c>
      <c r="C313" t="s">
        <v>65</v>
      </c>
      <c r="D313">
        <v>8</v>
      </c>
      <c r="E313">
        <v>2.0086266271910498</v>
      </c>
      <c r="F313">
        <v>2.5568015794316501E-2</v>
      </c>
      <c r="G313" t="s">
        <v>64</v>
      </c>
      <c r="H313">
        <v>10</v>
      </c>
      <c r="I313">
        <v>8</v>
      </c>
      <c r="J313">
        <v>5.2827583362221701E-2</v>
      </c>
      <c r="K313" t="b">
        <f t="shared" si="20"/>
        <v>1</v>
      </c>
      <c r="L313">
        <f t="shared" si="21"/>
        <v>2.0870222263475879</v>
      </c>
      <c r="M313">
        <f t="shared" si="22"/>
        <v>4.1740444526951759</v>
      </c>
      <c r="N313">
        <f t="shared" si="23"/>
        <v>10.383195155958148</v>
      </c>
      <c r="O313" s="21">
        <f t="shared" si="24"/>
        <v>9.9382010778456564</v>
      </c>
    </row>
    <row r="314" spans="1:15" x14ac:dyDescent="0.35">
      <c r="A314" t="s">
        <v>64</v>
      </c>
      <c r="B314">
        <v>10</v>
      </c>
      <c r="C314" t="s">
        <v>65</v>
      </c>
      <c r="D314">
        <v>9</v>
      </c>
      <c r="E314">
        <v>2.61201506562369</v>
      </c>
      <c r="F314">
        <v>3.5172660873460597E-2</v>
      </c>
      <c r="G314" t="s">
        <v>64</v>
      </c>
      <c r="H314">
        <v>10</v>
      </c>
      <c r="I314">
        <v>9</v>
      </c>
      <c r="J314">
        <v>7.00281667868837E-2</v>
      </c>
      <c r="K314" t="b">
        <f t="shared" si="20"/>
        <v>1</v>
      </c>
      <c r="L314">
        <f t="shared" si="21"/>
        <v>2.7172158932840342</v>
      </c>
      <c r="M314">
        <f t="shared" si="22"/>
        <v>5.4344317865680685</v>
      </c>
      <c r="N314">
        <f t="shared" si="23"/>
        <v>13.518487031263851</v>
      </c>
      <c r="O314" s="21">
        <f t="shared" si="24"/>
        <v>12.939123301352545</v>
      </c>
    </row>
    <row r="315" spans="1:15" x14ac:dyDescent="0.35">
      <c r="A315" t="s">
        <v>64</v>
      </c>
      <c r="B315">
        <v>10</v>
      </c>
      <c r="C315" t="s">
        <v>65</v>
      </c>
      <c r="D315">
        <v>10</v>
      </c>
      <c r="E315">
        <v>3.3662506136644801</v>
      </c>
      <c r="F315">
        <v>4.7484055121398201E-2</v>
      </c>
      <c r="G315" t="s">
        <v>64</v>
      </c>
      <c r="H315">
        <v>10</v>
      </c>
      <c r="I315">
        <v>10</v>
      </c>
      <c r="J315">
        <v>9.1585702406685995E-2</v>
      </c>
      <c r="K315" t="b">
        <f t="shared" si="20"/>
        <v>1</v>
      </c>
      <c r="L315">
        <f t="shared" si="21"/>
        <v>3.5053203711925645</v>
      </c>
      <c r="M315">
        <f t="shared" si="22"/>
        <v>7.0106407423851289</v>
      </c>
      <c r="N315">
        <f t="shared" si="23"/>
        <v>17.439404831803802</v>
      </c>
      <c r="O315" s="21">
        <f t="shared" si="24"/>
        <v>16.692001767583641</v>
      </c>
    </row>
    <row r="316" spans="1:15" x14ac:dyDescent="0.35">
      <c r="A316" t="s">
        <v>64</v>
      </c>
      <c r="B316">
        <v>10</v>
      </c>
      <c r="C316" t="s">
        <v>65</v>
      </c>
      <c r="D316">
        <v>11</v>
      </c>
      <c r="E316">
        <v>4.3090450487154701</v>
      </c>
      <c r="F316">
        <v>6.3169718193357496E-2</v>
      </c>
      <c r="G316" t="s">
        <v>64</v>
      </c>
      <c r="H316">
        <v>10</v>
      </c>
      <c r="I316">
        <v>11</v>
      </c>
      <c r="J316">
        <v>0.11857576936432</v>
      </c>
      <c r="K316" t="b">
        <f t="shared" si="20"/>
        <v>1</v>
      </c>
      <c r="L316">
        <f t="shared" si="21"/>
        <v>4.4907905362731473</v>
      </c>
      <c r="M316">
        <f t="shared" si="22"/>
        <v>8.9815810725462946</v>
      </c>
      <c r="N316">
        <f t="shared" si="23"/>
        <v>22.342241473995756</v>
      </c>
      <c r="O316" s="21">
        <f t="shared" si="24"/>
        <v>21.384716839395939</v>
      </c>
    </row>
    <row r="317" spans="1:15" x14ac:dyDescent="0.35">
      <c r="A317" t="s">
        <v>64</v>
      </c>
      <c r="B317">
        <v>10</v>
      </c>
      <c r="C317" t="s">
        <v>65</v>
      </c>
      <c r="D317">
        <v>12</v>
      </c>
      <c r="E317">
        <v>5.4875380925292099</v>
      </c>
      <c r="F317">
        <v>8.3064324687482705E-2</v>
      </c>
      <c r="G317" t="s">
        <v>64</v>
      </c>
      <c r="H317">
        <v>10</v>
      </c>
      <c r="I317">
        <v>12</v>
      </c>
      <c r="J317">
        <v>0.15234634805481501</v>
      </c>
      <c r="K317" t="b">
        <f t="shared" si="20"/>
        <v>1</v>
      </c>
      <c r="L317">
        <f t="shared" si="21"/>
        <v>5.7229487652715072</v>
      </c>
      <c r="M317">
        <f t="shared" si="22"/>
        <v>11.445897530543014</v>
      </c>
      <c r="N317">
        <f t="shared" si="23"/>
        <v>28.472381916773667</v>
      </c>
      <c r="O317" s="21">
        <f t="shared" si="24"/>
        <v>27.252136977483367</v>
      </c>
    </row>
    <row r="318" spans="1:15" x14ac:dyDescent="0.35">
      <c r="A318" t="s">
        <v>64</v>
      </c>
      <c r="B318">
        <v>10</v>
      </c>
      <c r="C318" t="s">
        <v>65</v>
      </c>
      <c r="D318">
        <v>13</v>
      </c>
      <c r="E318">
        <v>6.9606543972963903</v>
      </c>
      <c r="F318">
        <v>0.10821148462969001</v>
      </c>
      <c r="G318" t="s">
        <v>64</v>
      </c>
      <c r="H318">
        <v>10</v>
      </c>
      <c r="I318">
        <v>13</v>
      </c>
      <c r="J318">
        <v>0.19458493247949099</v>
      </c>
      <c r="K318" t="b">
        <f t="shared" si="20"/>
        <v>1</v>
      </c>
      <c r="L318">
        <f t="shared" si="21"/>
        <v>7.2634508144055712</v>
      </c>
      <c r="M318">
        <f t="shared" si="22"/>
        <v>14.526901628811142</v>
      </c>
      <c r="N318">
        <f t="shared" si="23"/>
        <v>36.136571215948116</v>
      </c>
      <c r="O318" s="21">
        <f t="shared" si="24"/>
        <v>34.587861020978913</v>
      </c>
    </row>
    <row r="319" spans="1:15" x14ac:dyDescent="0.35">
      <c r="A319" t="s">
        <v>64</v>
      </c>
      <c r="B319">
        <v>10</v>
      </c>
      <c r="C319" t="s">
        <v>65</v>
      </c>
      <c r="D319">
        <v>14</v>
      </c>
      <c r="E319">
        <v>8.8020497782553502</v>
      </c>
      <c r="F319">
        <v>0.13991596932726399</v>
      </c>
      <c r="G319" t="s">
        <v>64</v>
      </c>
      <c r="H319">
        <v>10</v>
      </c>
      <c r="I319">
        <v>14</v>
      </c>
      <c r="J319">
        <v>0.247402731533644</v>
      </c>
      <c r="K319" t="b">
        <f t="shared" si="20"/>
        <v>1</v>
      </c>
      <c r="L319">
        <f t="shared" si="21"/>
        <v>9.1893684791162578</v>
      </c>
      <c r="M319">
        <f t="shared" si="22"/>
        <v>18.378736958232516</v>
      </c>
      <c r="N319">
        <f t="shared" si="23"/>
        <v>45.718251139881879</v>
      </c>
      <c r="O319" s="21">
        <f t="shared" si="24"/>
        <v>43.758897519601227</v>
      </c>
    </row>
    <row r="320" spans="1:15" x14ac:dyDescent="0.35">
      <c r="A320" t="s">
        <v>64</v>
      </c>
      <c r="B320">
        <v>10</v>
      </c>
      <c r="C320" t="s">
        <v>65</v>
      </c>
      <c r="D320">
        <v>15</v>
      </c>
      <c r="E320">
        <v>11.081227500000001</v>
      </c>
      <c r="F320">
        <v>0.179719387747446</v>
      </c>
      <c r="G320" t="s">
        <v>64</v>
      </c>
      <c r="H320">
        <v>10</v>
      </c>
      <c r="I320">
        <v>15</v>
      </c>
      <c r="J320">
        <v>0.313135102246201</v>
      </c>
      <c r="K320" t="b">
        <f t="shared" si="20"/>
        <v>1</v>
      </c>
      <c r="L320">
        <f t="shared" si="21"/>
        <v>11.574081989993648</v>
      </c>
      <c r="M320">
        <f t="shared" si="22"/>
        <v>23.148163979987295</v>
      </c>
      <c r="N320">
        <f t="shared" si="23"/>
        <v>57.582497462654956</v>
      </c>
      <c r="O320" s="21">
        <f t="shared" si="24"/>
        <v>55.114676142826895</v>
      </c>
    </row>
    <row r="321" spans="1:15" x14ac:dyDescent="0.35">
      <c r="A321" t="s">
        <v>64</v>
      </c>
      <c r="B321">
        <v>10</v>
      </c>
      <c r="C321" t="s">
        <v>65</v>
      </c>
      <c r="D321">
        <v>16</v>
      </c>
      <c r="E321">
        <v>13.49019</v>
      </c>
      <c r="F321">
        <v>0.227894116115022</v>
      </c>
      <c r="G321" t="s">
        <v>64</v>
      </c>
      <c r="H321">
        <v>10</v>
      </c>
      <c r="I321">
        <v>16</v>
      </c>
      <c r="J321">
        <v>0.38916891948853</v>
      </c>
      <c r="K321" t="b">
        <f t="shared" si="20"/>
        <v>1</v>
      </c>
      <c r="L321">
        <f t="shared" si="21"/>
        <v>14.107253035603552</v>
      </c>
      <c r="M321">
        <f t="shared" si="22"/>
        <v>28.214506071207104</v>
      </c>
      <c r="N321">
        <f t="shared" si="23"/>
        <v>70.18533848558981</v>
      </c>
      <c r="O321" s="21">
        <f t="shared" si="24"/>
        <v>67.17739540763597</v>
      </c>
    </row>
    <row r="322" spans="1:15" x14ac:dyDescent="0.35">
      <c r="A322" t="s">
        <v>64</v>
      </c>
      <c r="B322">
        <v>10</v>
      </c>
      <c r="C322" t="s">
        <v>65</v>
      </c>
      <c r="D322">
        <v>17</v>
      </c>
      <c r="E322">
        <v>15.8991525</v>
      </c>
      <c r="F322">
        <v>0.28418901513157202</v>
      </c>
      <c r="G322" t="s">
        <v>64</v>
      </c>
      <c r="H322">
        <v>10</v>
      </c>
      <c r="I322">
        <v>17</v>
      </c>
      <c r="J322">
        <v>0.47212954509299898</v>
      </c>
      <c r="K322" t="b">
        <f t="shared" ref="K322:K385" si="25">H322=B322</f>
        <v>1</v>
      </c>
      <c r="L322">
        <f t="shared" ref="L322:L385" si="26">E322+F322+J322</f>
        <v>16.655471060224571</v>
      </c>
      <c r="M322">
        <f t="shared" ref="M322:M385" si="27">L322*2</f>
        <v>33.310942120449141</v>
      </c>
      <c r="N322">
        <f t="shared" ref="N322:N385" si="28">M322/(1-0.598)</f>
        <v>82.863040100619756</v>
      </c>
      <c r="O322" s="21">
        <f t="shared" ref="O322:O385" si="29">M322/0.42</f>
        <v>79.311766953450345</v>
      </c>
    </row>
    <row r="323" spans="1:15" x14ac:dyDescent="0.35">
      <c r="A323" t="s">
        <v>64</v>
      </c>
      <c r="B323">
        <v>10</v>
      </c>
      <c r="C323" t="s">
        <v>65</v>
      </c>
      <c r="D323">
        <v>18</v>
      </c>
      <c r="E323">
        <v>18.308115000000001</v>
      </c>
      <c r="F323">
        <v>0.34836047967762401</v>
      </c>
      <c r="G323" t="s">
        <v>64</v>
      </c>
      <c r="H323">
        <v>10</v>
      </c>
      <c r="I323">
        <v>18</v>
      </c>
      <c r="J323">
        <v>0.55986330201249301</v>
      </c>
      <c r="K323" t="b">
        <f t="shared" si="25"/>
        <v>1</v>
      </c>
      <c r="L323">
        <f t="shared" si="26"/>
        <v>19.216338781690116</v>
      </c>
      <c r="M323">
        <f t="shared" si="27"/>
        <v>38.432677563380231</v>
      </c>
      <c r="N323">
        <f t="shared" si="28"/>
        <v>95.603675530796593</v>
      </c>
      <c r="O323" s="21">
        <f t="shared" si="29"/>
        <v>91.506375150905313</v>
      </c>
    </row>
    <row r="324" spans="1:15" x14ac:dyDescent="0.35">
      <c r="A324" t="s">
        <v>64</v>
      </c>
      <c r="B324">
        <v>10</v>
      </c>
      <c r="C324" t="s">
        <v>65</v>
      </c>
      <c r="D324">
        <v>19</v>
      </c>
      <c r="E324">
        <v>20.717077499999998</v>
      </c>
      <c r="F324">
        <v>0.420172212787296</v>
      </c>
      <c r="G324" t="s">
        <v>64</v>
      </c>
      <c r="H324">
        <v>10</v>
      </c>
      <c r="I324">
        <v>19</v>
      </c>
      <c r="J324">
        <v>0.65096224272952197</v>
      </c>
      <c r="K324" t="b">
        <f t="shared" si="25"/>
        <v>1</v>
      </c>
      <c r="L324">
        <f t="shared" si="26"/>
        <v>21.788211955516818</v>
      </c>
      <c r="M324">
        <f t="shared" si="27"/>
        <v>43.576423911033636</v>
      </c>
      <c r="N324">
        <f t="shared" si="28"/>
        <v>108.39906445530755</v>
      </c>
      <c r="O324" s="21">
        <f t="shared" si="29"/>
        <v>103.75339026436581</v>
      </c>
    </row>
    <row r="325" spans="1:15" x14ac:dyDescent="0.35">
      <c r="A325" t="s">
        <v>64</v>
      </c>
      <c r="B325">
        <v>10</v>
      </c>
      <c r="C325" t="s">
        <v>65</v>
      </c>
      <c r="D325">
        <v>20</v>
      </c>
      <c r="E325">
        <v>23.12604</v>
      </c>
      <c r="F325">
        <v>0.49939500640367701</v>
      </c>
      <c r="G325" t="s">
        <v>64</v>
      </c>
      <c r="H325">
        <v>10</v>
      </c>
      <c r="I325">
        <v>20</v>
      </c>
      <c r="J325">
        <v>0.74448268126108996</v>
      </c>
      <c r="K325" t="b">
        <f t="shared" si="25"/>
        <v>1</v>
      </c>
      <c r="L325">
        <f t="shared" si="26"/>
        <v>24.369917687664767</v>
      </c>
      <c r="M325">
        <f t="shared" si="27"/>
        <v>48.739835375329534</v>
      </c>
      <c r="N325">
        <f t="shared" si="28"/>
        <v>121.24337158042172</v>
      </c>
      <c r="O325" s="21">
        <f t="shared" si="29"/>
        <v>116.04722708411794</v>
      </c>
    </row>
    <row r="326" spans="1:15" x14ac:dyDescent="0.35">
      <c r="A326" t="s">
        <v>64</v>
      </c>
      <c r="B326">
        <v>10</v>
      </c>
      <c r="C326" t="s">
        <v>65</v>
      </c>
      <c r="D326">
        <v>21</v>
      </c>
      <c r="E326">
        <v>26.551853999999999</v>
      </c>
      <c r="F326">
        <v>0.58984420221156697</v>
      </c>
      <c r="G326" t="s">
        <v>64</v>
      </c>
      <c r="H326">
        <v>10</v>
      </c>
      <c r="I326">
        <v>21</v>
      </c>
      <c r="J326">
        <v>0.853520628291489</v>
      </c>
      <c r="K326" t="b">
        <f t="shared" si="25"/>
        <v>1</v>
      </c>
      <c r="L326">
        <f t="shared" si="26"/>
        <v>27.995218830503052</v>
      </c>
      <c r="M326">
        <f t="shared" si="27"/>
        <v>55.990437661006105</v>
      </c>
      <c r="N326">
        <f t="shared" si="28"/>
        <v>139.27969567414453</v>
      </c>
      <c r="O326" s="21">
        <f t="shared" si="29"/>
        <v>133.31056585953834</v>
      </c>
    </row>
    <row r="327" spans="1:15" x14ac:dyDescent="0.35">
      <c r="A327" t="s">
        <v>64</v>
      </c>
      <c r="B327">
        <v>10</v>
      </c>
      <c r="C327" t="s">
        <v>65</v>
      </c>
      <c r="D327">
        <v>22</v>
      </c>
      <c r="E327">
        <v>29.977667999999898</v>
      </c>
      <c r="F327">
        <v>0.69118300814522005</v>
      </c>
      <c r="G327" t="s">
        <v>64</v>
      </c>
      <c r="H327">
        <v>10</v>
      </c>
      <c r="I327">
        <v>22</v>
      </c>
      <c r="J327">
        <v>0.97270747210950903</v>
      </c>
      <c r="K327" t="b">
        <f t="shared" si="25"/>
        <v>1</v>
      </c>
      <c r="L327">
        <f t="shared" si="26"/>
        <v>31.641558480254627</v>
      </c>
      <c r="M327">
        <f t="shared" si="27"/>
        <v>63.283116960509254</v>
      </c>
      <c r="N327">
        <f t="shared" si="28"/>
        <v>157.42068895649066</v>
      </c>
      <c r="O327" s="21">
        <f t="shared" si="29"/>
        <v>150.67408800121251</v>
      </c>
    </row>
    <row r="328" spans="1:15" x14ac:dyDescent="0.35">
      <c r="A328" t="s">
        <v>64</v>
      </c>
      <c r="B328">
        <v>10</v>
      </c>
      <c r="C328" t="s">
        <v>65</v>
      </c>
      <c r="D328">
        <v>23</v>
      </c>
      <c r="E328">
        <v>33.403481999999997</v>
      </c>
      <c r="F328">
        <v>0.80308473590086304</v>
      </c>
      <c r="G328" t="s">
        <v>64</v>
      </c>
      <c r="H328">
        <v>10</v>
      </c>
      <c r="I328">
        <v>23</v>
      </c>
      <c r="J328">
        <v>1.0986997047539699</v>
      </c>
      <c r="K328" t="b">
        <f t="shared" si="25"/>
        <v>1</v>
      </c>
      <c r="L328">
        <f t="shared" si="26"/>
        <v>35.305266440654826</v>
      </c>
      <c r="M328">
        <f t="shared" si="27"/>
        <v>70.610532881309652</v>
      </c>
      <c r="N328">
        <f t="shared" si="28"/>
        <v>175.64809174455135</v>
      </c>
      <c r="O328" s="21">
        <f t="shared" si="29"/>
        <v>168.12031638407061</v>
      </c>
    </row>
    <row r="329" spans="1:15" x14ac:dyDescent="0.35">
      <c r="A329" t="s">
        <v>64</v>
      </c>
      <c r="B329">
        <v>10</v>
      </c>
      <c r="C329" t="s">
        <v>65</v>
      </c>
      <c r="D329">
        <v>24</v>
      </c>
      <c r="E329">
        <v>36.829295999999999</v>
      </c>
      <c r="F329">
        <v>0.92523249782383699</v>
      </c>
      <c r="G329" t="s">
        <v>64</v>
      </c>
      <c r="H329">
        <v>10</v>
      </c>
      <c r="I329">
        <v>24</v>
      </c>
      <c r="J329">
        <v>1.22936898026115</v>
      </c>
      <c r="K329" t="b">
        <f t="shared" si="25"/>
        <v>1</v>
      </c>
      <c r="L329">
        <f t="shared" si="26"/>
        <v>38.983897478084984</v>
      </c>
      <c r="M329">
        <f t="shared" si="27"/>
        <v>77.967794956169968</v>
      </c>
      <c r="N329">
        <f t="shared" si="28"/>
        <v>193.94973869694022</v>
      </c>
      <c r="O329" s="21">
        <f t="shared" si="29"/>
        <v>185.63760703849994</v>
      </c>
    </row>
    <row r="330" spans="1:15" x14ac:dyDescent="0.35">
      <c r="A330" t="s">
        <v>64</v>
      </c>
      <c r="B330">
        <v>10</v>
      </c>
      <c r="C330" t="s">
        <v>65</v>
      </c>
      <c r="D330">
        <v>25</v>
      </c>
      <c r="E330">
        <v>40.255110000000002</v>
      </c>
      <c r="F330">
        <v>1.0573189128891201</v>
      </c>
      <c r="G330" t="s">
        <v>64</v>
      </c>
      <c r="H330">
        <v>10</v>
      </c>
      <c r="I330">
        <v>25</v>
      </c>
      <c r="J330">
        <v>1.3633277057273701</v>
      </c>
      <c r="K330" t="b">
        <f t="shared" si="25"/>
        <v>1</v>
      </c>
      <c r="L330">
        <f t="shared" si="26"/>
        <v>42.675756618616496</v>
      </c>
      <c r="M330">
        <f t="shared" si="27"/>
        <v>85.351513237232993</v>
      </c>
      <c r="N330">
        <f t="shared" si="28"/>
        <v>212.31719710754476</v>
      </c>
      <c r="O330" s="21">
        <f t="shared" si="29"/>
        <v>203.21788866007856</v>
      </c>
    </row>
    <row r="331" spans="1:15" x14ac:dyDescent="0.35">
      <c r="A331" t="s">
        <v>64</v>
      </c>
      <c r="B331">
        <v>10</v>
      </c>
      <c r="C331" t="s">
        <v>65</v>
      </c>
      <c r="D331">
        <v>26</v>
      </c>
      <c r="E331">
        <v>44.499671999999997</v>
      </c>
      <c r="F331">
        <v>1.20229687350245</v>
      </c>
      <c r="G331" t="s">
        <v>64</v>
      </c>
      <c r="H331">
        <v>10</v>
      </c>
      <c r="I331">
        <v>26</v>
      </c>
      <c r="J331">
        <v>1.5107150290010101</v>
      </c>
      <c r="K331" t="b">
        <f t="shared" si="25"/>
        <v>1</v>
      </c>
      <c r="L331">
        <f t="shared" si="26"/>
        <v>47.212683902503457</v>
      </c>
      <c r="M331">
        <f t="shared" si="27"/>
        <v>94.425367805006914</v>
      </c>
      <c r="N331">
        <f t="shared" si="28"/>
        <v>234.88897463932068</v>
      </c>
      <c r="O331" s="21">
        <f t="shared" si="29"/>
        <v>224.82230429763553</v>
      </c>
    </row>
    <row r="332" spans="1:15" x14ac:dyDescent="0.35">
      <c r="A332" t="s">
        <v>64</v>
      </c>
      <c r="B332">
        <v>10</v>
      </c>
      <c r="C332" t="s">
        <v>65</v>
      </c>
      <c r="D332">
        <v>27</v>
      </c>
      <c r="E332">
        <v>48.744233999999999</v>
      </c>
      <c r="F332">
        <v>1.3597796332973799</v>
      </c>
      <c r="G332" t="s">
        <v>64</v>
      </c>
      <c r="H332">
        <v>10</v>
      </c>
      <c r="I332">
        <v>27</v>
      </c>
      <c r="J332">
        <v>1.66693979145543</v>
      </c>
      <c r="K332" t="b">
        <f t="shared" si="25"/>
        <v>1</v>
      </c>
      <c r="L332">
        <f t="shared" si="26"/>
        <v>51.770953424752804</v>
      </c>
      <c r="M332">
        <f t="shared" si="27"/>
        <v>103.54190684950561</v>
      </c>
      <c r="N332">
        <f t="shared" si="28"/>
        <v>257.5669324614567</v>
      </c>
      <c r="O332" s="21">
        <f t="shared" si="29"/>
        <v>246.52834964168002</v>
      </c>
    </row>
    <row r="333" spans="1:15" x14ac:dyDescent="0.35">
      <c r="A333" t="s">
        <v>64</v>
      </c>
      <c r="B333">
        <v>10</v>
      </c>
      <c r="C333" t="s">
        <v>65</v>
      </c>
      <c r="D333">
        <v>28</v>
      </c>
      <c r="E333">
        <v>52.768406006478997</v>
      </c>
      <c r="F333">
        <v>1.72688081494879</v>
      </c>
      <c r="G333" t="s">
        <v>64</v>
      </c>
      <c r="H333">
        <v>10</v>
      </c>
      <c r="I333">
        <v>28</v>
      </c>
      <c r="J333">
        <v>1.82614873726808</v>
      </c>
      <c r="K333" t="b">
        <f t="shared" si="25"/>
        <v>1</v>
      </c>
      <c r="L333">
        <f t="shared" si="26"/>
        <v>56.321435558695867</v>
      </c>
      <c r="M333">
        <f t="shared" si="27"/>
        <v>112.64287111739173</v>
      </c>
      <c r="N333">
        <f t="shared" si="28"/>
        <v>280.20614705818838</v>
      </c>
      <c r="O333" s="21">
        <f t="shared" si="29"/>
        <v>268.19731218426602</v>
      </c>
    </row>
    <row r="334" spans="1:15" x14ac:dyDescent="0.35">
      <c r="A334" t="s">
        <v>64</v>
      </c>
      <c r="B334">
        <v>10</v>
      </c>
      <c r="C334" t="s">
        <v>65</v>
      </c>
      <c r="D334">
        <v>29</v>
      </c>
      <c r="E334">
        <v>56.691227495081598</v>
      </c>
      <c r="F334">
        <v>2.1869964679754901</v>
      </c>
      <c r="G334" t="s">
        <v>64</v>
      </c>
      <c r="H334">
        <v>10</v>
      </c>
      <c r="I334">
        <v>29</v>
      </c>
      <c r="J334">
        <v>1.98619636216588</v>
      </c>
      <c r="K334" t="b">
        <f t="shared" si="25"/>
        <v>1</v>
      </c>
      <c r="L334">
        <f t="shared" si="26"/>
        <v>60.864420325222966</v>
      </c>
      <c r="M334">
        <f t="shared" si="27"/>
        <v>121.72884065044593</v>
      </c>
      <c r="N334">
        <f t="shared" si="28"/>
        <v>302.80806131951721</v>
      </c>
      <c r="O334" s="21">
        <f t="shared" si="29"/>
        <v>289.83057297725225</v>
      </c>
    </row>
    <row r="335" spans="1:15" x14ac:dyDescent="0.35">
      <c r="A335" t="s">
        <v>64</v>
      </c>
      <c r="B335">
        <v>10</v>
      </c>
      <c r="C335" t="s">
        <v>65</v>
      </c>
      <c r="D335">
        <v>30</v>
      </c>
      <c r="E335">
        <v>60.536409665175199</v>
      </c>
      <c r="F335">
        <v>2.7145476585752499</v>
      </c>
      <c r="G335" t="s">
        <v>64</v>
      </c>
      <c r="H335">
        <v>10</v>
      </c>
      <c r="I335">
        <v>30</v>
      </c>
      <c r="J335">
        <v>2.1459693687563002</v>
      </c>
      <c r="K335" t="b">
        <f t="shared" si="25"/>
        <v>1</v>
      </c>
      <c r="L335">
        <f t="shared" si="26"/>
        <v>65.396926692506753</v>
      </c>
      <c r="M335">
        <f t="shared" si="27"/>
        <v>130.79385338501351</v>
      </c>
      <c r="N335">
        <f t="shared" si="28"/>
        <v>325.35784424132709</v>
      </c>
      <c r="O335" s="21">
        <f t="shared" si="29"/>
        <v>311.41393663098455</v>
      </c>
    </row>
    <row r="336" spans="1:15" x14ac:dyDescent="0.35">
      <c r="A336" t="s">
        <v>64</v>
      </c>
      <c r="B336">
        <v>10</v>
      </c>
      <c r="C336" t="s">
        <v>65</v>
      </c>
      <c r="D336">
        <v>31</v>
      </c>
      <c r="E336">
        <v>64.8342660175677</v>
      </c>
      <c r="F336">
        <v>3.2901701459996602</v>
      </c>
      <c r="G336" t="s">
        <v>64</v>
      </c>
      <c r="H336">
        <v>10</v>
      </c>
      <c r="I336">
        <v>31</v>
      </c>
      <c r="J336">
        <v>2.3118595303046101</v>
      </c>
      <c r="K336" t="b">
        <f t="shared" si="25"/>
        <v>1</v>
      </c>
      <c r="L336">
        <f t="shared" si="26"/>
        <v>70.436295693871983</v>
      </c>
      <c r="M336">
        <f t="shared" si="27"/>
        <v>140.87259138774397</v>
      </c>
      <c r="N336">
        <f t="shared" si="28"/>
        <v>350.42933181030833</v>
      </c>
      <c r="O336" s="21">
        <f t="shared" si="29"/>
        <v>335.4109318755809</v>
      </c>
    </row>
    <row r="337" spans="1:15" x14ac:dyDescent="0.35">
      <c r="A337" t="s">
        <v>64</v>
      </c>
      <c r="B337">
        <v>10</v>
      </c>
      <c r="C337" t="s">
        <v>65</v>
      </c>
      <c r="D337">
        <v>32</v>
      </c>
      <c r="E337">
        <v>69.073323430870104</v>
      </c>
      <c r="F337">
        <v>3.9130939634756601</v>
      </c>
      <c r="G337" t="s">
        <v>64</v>
      </c>
      <c r="H337">
        <v>10</v>
      </c>
      <c r="I337">
        <v>32</v>
      </c>
      <c r="J337">
        <v>2.48100624772131</v>
      </c>
      <c r="K337" t="b">
        <f t="shared" si="25"/>
        <v>1</v>
      </c>
      <c r="L337">
        <f t="shared" si="26"/>
        <v>75.467423642067075</v>
      </c>
      <c r="M337">
        <f t="shared" si="27"/>
        <v>150.93484728413415</v>
      </c>
      <c r="N337">
        <f t="shared" si="28"/>
        <v>375.45981911476156</v>
      </c>
      <c r="O337" s="21">
        <f t="shared" si="29"/>
        <v>359.36868400984321</v>
      </c>
    </row>
    <row r="338" spans="1:15" x14ac:dyDescent="0.35">
      <c r="A338" t="s">
        <v>64</v>
      </c>
      <c r="B338">
        <v>10</v>
      </c>
      <c r="C338" t="s">
        <v>65</v>
      </c>
      <c r="D338">
        <v>33</v>
      </c>
      <c r="E338">
        <v>73.251603118211705</v>
      </c>
      <c r="F338">
        <v>4.5829537187900797</v>
      </c>
      <c r="G338" t="s">
        <v>64</v>
      </c>
      <c r="H338">
        <v>10</v>
      </c>
      <c r="I338">
        <v>33</v>
      </c>
      <c r="J338">
        <v>2.6515716486997798</v>
      </c>
      <c r="K338" t="b">
        <f t="shared" si="25"/>
        <v>1</v>
      </c>
      <c r="L338">
        <f t="shared" si="26"/>
        <v>80.48612848570157</v>
      </c>
      <c r="M338">
        <f t="shared" si="27"/>
        <v>160.97225697140314</v>
      </c>
      <c r="N338">
        <f t="shared" si="28"/>
        <v>400.42849992886352</v>
      </c>
      <c r="O338" s="21">
        <f t="shared" si="29"/>
        <v>383.26727850334083</v>
      </c>
    </row>
    <row r="339" spans="1:15" x14ac:dyDescent="0.35">
      <c r="A339" t="s">
        <v>64</v>
      </c>
      <c r="B339">
        <v>10</v>
      </c>
      <c r="C339" t="s">
        <v>65</v>
      </c>
      <c r="D339">
        <v>34</v>
      </c>
      <c r="E339">
        <v>77.367073875042905</v>
      </c>
      <c r="F339">
        <v>5.2994329093763204</v>
      </c>
      <c r="G339" t="s">
        <v>64</v>
      </c>
      <c r="H339">
        <v>10</v>
      </c>
      <c r="I339">
        <v>34</v>
      </c>
      <c r="J339">
        <v>2.8223371505600099</v>
      </c>
      <c r="K339" t="b">
        <f t="shared" si="25"/>
        <v>1</v>
      </c>
      <c r="L339">
        <f t="shared" si="26"/>
        <v>85.488843934979229</v>
      </c>
      <c r="M339">
        <f t="shared" si="27"/>
        <v>170.97768786995846</v>
      </c>
      <c r="N339">
        <f t="shared" si="28"/>
        <v>425.31763151730956</v>
      </c>
      <c r="O339" s="21">
        <f t="shared" si="29"/>
        <v>407.08973302371061</v>
      </c>
    </row>
    <row r="340" spans="1:15" x14ac:dyDescent="0.35">
      <c r="A340" t="s">
        <v>64</v>
      </c>
      <c r="B340">
        <v>10</v>
      </c>
      <c r="C340" t="s">
        <v>65</v>
      </c>
      <c r="D340">
        <v>35</v>
      </c>
      <c r="E340">
        <v>81.417828361262707</v>
      </c>
      <c r="F340">
        <v>6.0621036792248901</v>
      </c>
      <c r="G340" t="s">
        <v>64</v>
      </c>
      <c r="H340">
        <v>10</v>
      </c>
      <c r="I340">
        <v>35</v>
      </c>
      <c r="J340">
        <v>2.99246799754322</v>
      </c>
      <c r="K340" t="b">
        <f t="shared" si="25"/>
        <v>1</v>
      </c>
      <c r="L340">
        <f t="shared" si="26"/>
        <v>90.472400038030813</v>
      </c>
      <c r="M340">
        <f t="shared" si="27"/>
        <v>180.94480007606163</v>
      </c>
      <c r="N340">
        <f t="shared" si="28"/>
        <v>450.11144297527767</v>
      </c>
      <c r="O340" s="21">
        <f t="shared" si="29"/>
        <v>430.8209525620515</v>
      </c>
    </row>
    <row r="341" spans="1:15" x14ac:dyDescent="0.35">
      <c r="A341" t="s">
        <v>64</v>
      </c>
      <c r="B341">
        <v>10</v>
      </c>
      <c r="C341" t="s">
        <v>65</v>
      </c>
      <c r="D341">
        <v>36</v>
      </c>
      <c r="E341">
        <v>85.754182927711099</v>
      </c>
      <c r="F341">
        <v>6.8005603224351896</v>
      </c>
      <c r="G341" t="s">
        <v>64</v>
      </c>
      <c r="H341">
        <v>10</v>
      </c>
      <c r="I341">
        <v>36</v>
      </c>
      <c r="J341">
        <v>3.16613209461747</v>
      </c>
      <c r="K341" t="b">
        <f t="shared" si="25"/>
        <v>1</v>
      </c>
      <c r="L341">
        <f t="shared" si="26"/>
        <v>95.720875344763755</v>
      </c>
      <c r="M341">
        <f t="shared" si="27"/>
        <v>191.44175068952751</v>
      </c>
      <c r="N341">
        <f t="shared" si="28"/>
        <v>476.22326042171022</v>
      </c>
      <c r="O341" s="21">
        <f t="shared" si="29"/>
        <v>455.81369211792264</v>
      </c>
    </row>
    <row r="342" spans="1:15" x14ac:dyDescent="0.35">
      <c r="A342" t="s">
        <v>64</v>
      </c>
      <c r="B342">
        <v>10</v>
      </c>
      <c r="C342" t="s">
        <v>65</v>
      </c>
      <c r="D342">
        <v>37</v>
      </c>
      <c r="E342">
        <v>90.061311667538902</v>
      </c>
      <c r="F342">
        <v>7.55364222955708</v>
      </c>
      <c r="G342" t="s">
        <v>64</v>
      </c>
      <c r="H342">
        <v>10</v>
      </c>
      <c r="I342">
        <v>37</v>
      </c>
      <c r="J342">
        <v>3.34172195046443</v>
      </c>
      <c r="K342" t="b">
        <f t="shared" si="25"/>
        <v>1</v>
      </c>
      <c r="L342">
        <f t="shared" si="26"/>
        <v>100.95667584756042</v>
      </c>
      <c r="M342">
        <f t="shared" si="27"/>
        <v>201.91335169512084</v>
      </c>
      <c r="N342">
        <f t="shared" si="28"/>
        <v>502.27201914209161</v>
      </c>
      <c r="O342" s="21">
        <f t="shared" si="29"/>
        <v>480.74607546457344</v>
      </c>
    </row>
    <row r="343" spans="1:15" x14ac:dyDescent="0.35">
      <c r="A343" t="s">
        <v>64</v>
      </c>
      <c r="B343">
        <v>10</v>
      </c>
      <c r="C343" t="s">
        <v>65</v>
      </c>
      <c r="D343">
        <v>38</v>
      </c>
      <c r="E343">
        <v>94.320275576031307</v>
      </c>
      <c r="F343">
        <v>8.3377215596887808</v>
      </c>
      <c r="G343" t="s">
        <v>64</v>
      </c>
      <c r="H343">
        <v>10</v>
      </c>
      <c r="I343">
        <v>38</v>
      </c>
      <c r="J343">
        <v>3.5179699112984899</v>
      </c>
      <c r="K343" t="b">
        <f t="shared" si="25"/>
        <v>1</v>
      </c>
      <c r="L343">
        <f t="shared" si="26"/>
        <v>106.17596704701857</v>
      </c>
      <c r="M343">
        <f t="shared" si="27"/>
        <v>212.35193409403715</v>
      </c>
      <c r="N343">
        <f t="shared" si="28"/>
        <v>528.23864202496804</v>
      </c>
      <c r="O343" s="21">
        <f t="shared" si="29"/>
        <v>505.59984308104083</v>
      </c>
    </row>
    <row r="344" spans="1:15" x14ac:dyDescent="0.35">
      <c r="A344" t="s">
        <v>64</v>
      </c>
      <c r="B344">
        <v>10</v>
      </c>
      <c r="C344" t="s">
        <v>65</v>
      </c>
      <c r="D344">
        <v>39</v>
      </c>
      <c r="E344">
        <v>98.522308423376103</v>
      </c>
      <c r="F344">
        <v>9.1592524274016096</v>
      </c>
      <c r="G344" t="s">
        <v>64</v>
      </c>
      <c r="H344">
        <v>10</v>
      </c>
      <c r="I344">
        <v>39</v>
      </c>
      <c r="J344">
        <v>3.6939415160364599</v>
      </c>
      <c r="K344" t="b">
        <f t="shared" si="25"/>
        <v>1</v>
      </c>
      <c r="L344">
        <f t="shared" si="26"/>
        <v>111.37550236681417</v>
      </c>
      <c r="M344">
        <f t="shared" si="27"/>
        <v>222.75100473362835</v>
      </c>
      <c r="N344">
        <f t="shared" si="28"/>
        <v>554.10697694932423</v>
      </c>
      <c r="O344" s="21">
        <f t="shared" si="29"/>
        <v>530.35953508006753</v>
      </c>
    </row>
    <row r="345" spans="1:15" x14ac:dyDescent="0.35">
      <c r="A345" t="s">
        <v>64</v>
      </c>
      <c r="B345">
        <v>10</v>
      </c>
      <c r="C345" t="s">
        <v>65</v>
      </c>
      <c r="D345">
        <v>40</v>
      </c>
      <c r="E345">
        <v>102.663097046286</v>
      </c>
      <c r="F345">
        <v>10.0203736043083</v>
      </c>
      <c r="G345" t="s">
        <v>64</v>
      </c>
      <c r="H345">
        <v>10</v>
      </c>
      <c r="I345">
        <v>40</v>
      </c>
      <c r="J345">
        <v>3.86896406060547</v>
      </c>
      <c r="K345" t="b">
        <f t="shared" si="25"/>
        <v>1</v>
      </c>
      <c r="L345">
        <f t="shared" si="26"/>
        <v>116.55243471119977</v>
      </c>
      <c r="M345">
        <f t="shared" si="27"/>
        <v>233.10486942239953</v>
      </c>
      <c r="N345">
        <f t="shared" si="28"/>
        <v>579.86285925970026</v>
      </c>
      <c r="O345" s="21">
        <f t="shared" si="29"/>
        <v>555.0115938628561</v>
      </c>
    </row>
    <row r="346" spans="1:15" x14ac:dyDescent="0.35">
      <c r="A346" t="s">
        <v>64</v>
      </c>
      <c r="B346">
        <v>10</v>
      </c>
      <c r="C346" t="s">
        <v>65</v>
      </c>
      <c r="D346">
        <v>41</v>
      </c>
      <c r="E346">
        <v>106.94391866823899</v>
      </c>
      <c r="F346">
        <v>10.8229145329882</v>
      </c>
      <c r="G346" t="s">
        <v>64</v>
      </c>
      <c r="H346">
        <v>10</v>
      </c>
      <c r="I346">
        <v>41</v>
      </c>
      <c r="J346">
        <v>4.0453064628051196</v>
      </c>
      <c r="K346" t="b">
        <f t="shared" si="25"/>
        <v>1</v>
      </c>
      <c r="L346">
        <f t="shared" si="26"/>
        <v>121.81213966403232</v>
      </c>
      <c r="M346">
        <f t="shared" si="27"/>
        <v>243.62427932806463</v>
      </c>
      <c r="N346">
        <f t="shared" si="28"/>
        <v>606.0305455922005</v>
      </c>
      <c r="O346" s="21">
        <f t="shared" si="29"/>
        <v>580.05780792396342</v>
      </c>
    </row>
    <row r="347" spans="1:15" x14ac:dyDescent="0.35">
      <c r="A347" t="s">
        <v>64</v>
      </c>
      <c r="B347">
        <v>10</v>
      </c>
      <c r="C347" t="s">
        <v>65</v>
      </c>
      <c r="D347">
        <v>42</v>
      </c>
      <c r="E347">
        <v>111.211065792733</v>
      </c>
      <c r="F347">
        <v>11.623853342262301</v>
      </c>
      <c r="G347" t="s">
        <v>64</v>
      </c>
      <c r="H347">
        <v>10</v>
      </c>
      <c r="I347">
        <v>42</v>
      </c>
      <c r="J347">
        <v>4.22232847218954</v>
      </c>
      <c r="K347" t="b">
        <f t="shared" si="25"/>
        <v>1</v>
      </c>
      <c r="L347">
        <f t="shared" si="26"/>
        <v>127.05724760718483</v>
      </c>
      <c r="M347">
        <f t="shared" si="27"/>
        <v>254.11449521436967</v>
      </c>
      <c r="N347">
        <f t="shared" si="28"/>
        <v>632.12560998599417</v>
      </c>
      <c r="O347" s="21">
        <f t="shared" si="29"/>
        <v>605.03451241516586</v>
      </c>
    </row>
    <row r="348" spans="1:15" x14ac:dyDescent="0.35">
      <c r="A348" t="s">
        <v>64</v>
      </c>
      <c r="B348">
        <v>10</v>
      </c>
      <c r="C348" t="s">
        <v>65</v>
      </c>
      <c r="D348">
        <v>43</v>
      </c>
      <c r="E348">
        <v>115.439384768777</v>
      </c>
      <c r="F348">
        <v>12.445882137964899</v>
      </c>
      <c r="G348" t="s">
        <v>64</v>
      </c>
      <c r="H348">
        <v>10</v>
      </c>
      <c r="I348">
        <v>43</v>
      </c>
      <c r="J348">
        <v>4.3992873721320596</v>
      </c>
      <c r="K348" t="b">
        <f t="shared" si="25"/>
        <v>1</v>
      </c>
      <c r="L348">
        <f t="shared" si="26"/>
        <v>132.28455427887397</v>
      </c>
      <c r="M348">
        <f t="shared" si="27"/>
        <v>264.56910855774794</v>
      </c>
      <c r="N348">
        <f t="shared" si="28"/>
        <v>658.13211084016893</v>
      </c>
      <c r="O348" s="21">
        <f t="shared" si="29"/>
        <v>629.92644894701891</v>
      </c>
    </row>
    <row r="349" spans="1:15" x14ac:dyDescent="0.35">
      <c r="A349" t="s">
        <v>64</v>
      </c>
      <c r="B349">
        <v>10</v>
      </c>
      <c r="C349" t="s">
        <v>65</v>
      </c>
      <c r="D349">
        <v>44</v>
      </c>
      <c r="E349">
        <v>119.61830859516699</v>
      </c>
      <c r="F349">
        <v>13.2975174833055</v>
      </c>
      <c r="G349" t="s">
        <v>64</v>
      </c>
      <c r="H349">
        <v>10</v>
      </c>
      <c r="I349">
        <v>44</v>
      </c>
      <c r="J349">
        <v>4.57556267475782</v>
      </c>
      <c r="K349" t="b">
        <f t="shared" si="25"/>
        <v>1</v>
      </c>
      <c r="L349">
        <f t="shared" si="26"/>
        <v>137.49138875323032</v>
      </c>
      <c r="M349">
        <f t="shared" si="27"/>
        <v>274.98277750646065</v>
      </c>
      <c r="N349">
        <f t="shared" si="28"/>
        <v>684.03675996632001</v>
      </c>
      <c r="O349" s="21">
        <f t="shared" si="29"/>
        <v>654.72089882490639</v>
      </c>
    </row>
    <row r="350" spans="1:15" x14ac:dyDescent="0.35">
      <c r="A350" t="s">
        <v>64</v>
      </c>
      <c r="B350">
        <v>10</v>
      </c>
      <c r="C350" t="s">
        <v>65</v>
      </c>
      <c r="D350">
        <v>45</v>
      </c>
      <c r="E350">
        <v>123.743248527384</v>
      </c>
      <c r="F350">
        <v>14.181496652186301</v>
      </c>
      <c r="G350" t="s">
        <v>64</v>
      </c>
      <c r="H350">
        <v>10</v>
      </c>
      <c r="I350">
        <v>45</v>
      </c>
      <c r="J350">
        <v>4.7506857732242302</v>
      </c>
      <c r="K350" t="b">
        <f t="shared" si="25"/>
        <v>1</v>
      </c>
      <c r="L350">
        <f t="shared" si="26"/>
        <v>142.67543095279453</v>
      </c>
      <c r="M350">
        <f t="shared" si="27"/>
        <v>285.35086190558906</v>
      </c>
      <c r="N350">
        <f t="shared" si="28"/>
        <v>709.82801469052004</v>
      </c>
      <c r="O350" s="21">
        <f t="shared" si="29"/>
        <v>679.40681406092631</v>
      </c>
    </row>
    <row r="351" spans="1:15" x14ac:dyDescent="0.35">
      <c r="A351" t="s">
        <v>64</v>
      </c>
      <c r="B351">
        <v>10</v>
      </c>
      <c r="C351" t="s">
        <v>65</v>
      </c>
      <c r="D351">
        <v>46</v>
      </c>
      <c r="E351">
        <v>127.89586216823599</v>
      </c>
      <c r="F351">
        <v>14.9908076416413</v>
      </c>
      <c r="G351" t="s">
        <v>64</v>
      </c>
      <c r="H351">
        <v>10</v>
      </c>
      <c r="I351">
        <v>46</v>
      </c>
      <c r="J351">
        <v>4.92544738473027</v>
      </c>
      <c r="K351" t="b">
        <f t="shared" si="25"/>
        <v>1</v>
      </c>
      <c r="L351">
        <f t="shared" si="26"/>
        <v>147.81211719460757</v>
      </c>
      <c r="M351">
        <f t="shared" si="27"/>
        <v>295.62423438921513</v>
      </c>
      <c r="N351">
        <f t="shared" si="28"/>
        <v>735.38366763486351</v>
      </c>
      <c r="O351" s="21">
        <f t="shared" si="29"/>
        <v>703.86722473622649</v>
      </c>
    </row>
    <row r="352" spans="1:15" x14ac:dyDescent="0.35">
      <c r="A352" t="s">
        <v>64</v>
      </c>
      <c r="B352">
        <v>10</v>
      </c>
      <c r="C352" t="s">
        <v>65</v>
      </c>
      <c r="D352">
        <v>47</v>
      </c>
      <c r="E352">
        <v>132.04400002768801</v>
      </c>
      <c r="F352">
        <v>15.7900905681452</v>
      </c>
      <c r="G352" t="s">
        <v>64</v>
      </c>
      <c r="H352">
        <v>10</v>
      </c>
      <c r="I352">
        <v>47</v>
      </c>
      <c r="J352">
        <v>5.0999078510285303</v>
      </c>
      <c r="K352" t="b">
        <f t="shared" si="25"/>
        <v>1</v>
      </c>
      <c r="L352">
        <f t="shared" si="26"/>
        <v>152.93399844686172</v>
      </c>
      <c r="M352">
        <f t="shared" si="27"/>
        <v>305.86799689372344</v>
      </c>
      <c r="N352">
        <f t="shared" si="28"/>
        <v>760.86566391473491</v>
      </c>
      <c r="O352" s="21">
        <f t="shared" si="29"/>
        <v>728.25713546124632</v>
      </c>
    </row>
    <row r="353" spans="1:15" x14ac:dyDescent="0.35">
      <c r="A353" t="s">
        <v>64</v>
      </c>
      <c r="B353">
        <v>10</v>
      </c>
      <c r="C353" t="s">
        <v>65</v>
      </c>
      <c r="D353">
        <v>48</v>
      </c>
      <c r="E353">
        <v>136.16075062878099</v>
      </c>
      <c r="F353">
        <v>16.6039915965255</v>
      </c>
      <c r="G353" t="s">
        <v>64</v>
      </c>
      <c r="H353">
        <v>10</v>
      </c>
      <c r="I353">
        <v>48</v>
      </c>
      <c r="J353">
        <v>5.2737409672807596</v>
      </c>
      <c r="K353" t="b">
        <f t="shared" si="25"/>
        <v>1</v>
      </c>
      <c r="L353">
        <f t="shared" si="26"/>
        <v>158.03848319258725</v>
      </c>
      <c r="M353">
        <f t="shared" si="27"/>
        <v>316.0769663851745</v>
      </c>
      <c r="N353">
        <f t="shared" si="28"/>
        <v>786.26111041088177</v>
      </c>
      <c r="O353" s="21">
        <f t="shared" si="29"/>
        <v>752.56420567898692</v>
      </c>
    </row>
    <row r="354" spans="1:15" x14ac:dyDescent="0.35">
      <c r="A354" t="s">
        <v>64</v>
      </c>
      <c r="B354">
        <v>10</v>
      </c>
      <c r="C354" t="s">
        <v>65</v>
      </c>
      <c r="D354">
        <v>49</v>
      </c>
      <c r="E354">
        <v>140.23544890355501</v>
      </c>
      <c r="F354">
        <v>17.441401998751299</v>
      </c>
      <c r="G354" t="s">
        <v>64</v>
      </c>
      <c r="H354">
        <v>10</v>
      </c>
      <c r="I354">
        <v>49</v>
      </c>
      <c r="J354">
        <v>5.4465927245073802</v>
      </c>
      <c r="K354" t="b">
        <f t="shared" si="25"/>
        <v>1</v>
      </c>
      <c r="L354">
        <f t="shared" si="26"/>
        <v>163.1234436268137</v>
      </c>
      <c r="M354">
        <f t="shared" si="27"/>
        <v>326.24688725362739</v>
      </c>
      <c r="N354">
        <f t="shared" si="28"/>
        <v>811.55942102892379</v>
      </c>
      <c r="O354" s="21">
        <f t="shared" si="29"/>
        <v>776.77830298482718</v>
      </c>
    </row>
    <row r="355" spans="1:15" x14ac:dyDescent="0.35">
      <c r="A355" t="s">
        <v>64</v>
      </c>
      <c r="B355">
        <v>10</v>
      </c>
      <c r="C355" t="s">
        <v>65</v>
      </c>
      <c r="D355">
        <v>50</v>
      </c>
      <c r="E355">
        <v>144.26378766170001</v>
      </c>
      <c r="F355">
        <v>18.305077651427901</v>
      </c>
      <c r="G355" t="s">
        <v>64</v>
      </c>
      <c r="H355">
        <v>10</v>
      </c>
      <c r="I355">
        <v>50</v>
      </c>
      <c r="J355">
        <v>5.61817392569509</v>
      </c>
      <c r="K355" t="b">
        <f t="shared" si="25"/>
        <v>1</v>
      </c>
      <c r="L355">
        <f t="shared" si="26"/>
        <v>168.18703923882299</v>
      </c>
      <c r="M355">
        <f t="shared" si="27"/>
        <v>336.37407847764598</v>
      </c>
      <c r="N355">
        <f t="shared" si="28"/>
        <v>836.75143899911927</v>
      </c>
      <c r="O355" s="21">
        <f t="shared" si="29"/>
        <v>800.89066304201424</v>
      </c>
    </row>
    <row r="356" spans="1:15" x14ac:dyDescent="0.35">
      <c r="A356" t="s">
        <v>64</v>
      </c>
      <c r="B356">
        <v>10</v>
      </c>
      <c r="C356" t="s">
        <v>65</v>
      </c>
      <c r="D356">
        <v>51</v>
      </c>
      <c r="E356">
        <v>148.205342098514</v>
      </c>
      <c r="F356">
        <v>19.094247718134501</v>
      </c>
      <c r="G356" t="s">
        <v>64</v>
      </c>
      <c r="H356">
        <v>10</v>
      </c>
      <c r="I356">
        <v>51</v>
      </c>
      <c r="J356">
        <v>5.7877462511345703</v>
      </c>
      <c r="K356" t="b">
        <f t="shared" si="25"/>
        <v>1</v>
      </c>
      <c r="L356">
        <f t="shared" si="26"/>
        <v>173.08733606778307</v>
      </c>
      <c r="M356">
        <f t="shared" si="27"/>
        <v>346.17467213556614</v>
      </c>
      <c r="N356">
        <f t="shared" si="28"/>
        <v>861.131025212851</v>
      </c>
      <c r="O356" s="21">
        <f t="shared" si="29"/>
        <v>824.2254098465861</v>
      </c>
    </row>
    <row r="357" spans="1:15" x14ac:dyDescent="0.35">
      <c r="A357" t="s">
        <v>64</v>
      </c>
      <c r="B357">
        <v>10</v>
      </c>
      <c r="C357" t="s">
        <v>65</v>
      </c>
      <c r="D357">
        <v>52</v>
      </c>
      <c r="E357">
        <v>152.14488463936601</v>
      </c>
      <c r="F357">
        <v>19.871714658821901</v>
      </c>
      <c r="G357" t="s">
        <v>64</v>
      </c>
      <c r="H357">
        <v>10</v>
      </c>
      <c r="I357">
        <v>52</v>
      </c>
      <c r="J357">
        <v>5.9559738646491001</v>
      </c>
      <c r="K357" t="b">
        <f t="shared" si="25"/>
        <v>1</v>
      </c>
      <c r="L357">
        <f t="shared" si="26"/>
        <v>177.97257316283702</v>
      </c>
      <c r="M357">
        <f t="shared" si="27"/>
        <v>355.94514632567405</v>
      </c>
      <c r="N357">
        <f t="shared" si="28"/>
        <v>885.43568737729856</v>
      </c>
      <c r="O357" s="21">
        <f t="shared" si="29"/>
        <v>847.48844363255728</v>
      </c>
    </row>
    <row r="358" spans="1:15" x14ac:dyDescent="0.35">
      <c r="A358" t="s">
        <v>64</v>
      </c>
      <c r="B358">
        <v>10</v>
      </c>
      <c r="C358" t="s">
        <v>65</v>
      </c>
      <c r="D358">
        <v>53</v>
      </c>
      <c r="E358">
        <v>156.057286354583</v>
      </c>
      <c r="F358">
        <v>20.660580751787101</v>
      </c>
      <c r="G358" t="s">
        <v>64</v>
      </c>
      <c r="H358">
        <v>10</v>
      </c>
      <c r="I358">
        <v>53</v>
      </c>
      <c r="J358">
        <v>6.12293121028919</v>
      </c>
      <c r="K358" t="b">
        <f t="shared" si="25"/>
        <v>1</v>
      </c>
      <c r="L358">
        <f t="shared" si="26"/>
        <v>182.84079831665929</v>
      </c>
      <c r="M358">
        <f t="shared" si="27"/>
        <v>365.68159663331858</v>
      </c>
      <c r="N358">
        <f t="shared" si="28"/>
        <v>909.65571301820535</v>
      </c>
      <c r="O358" s="21">
        <f t="shared" si="29"/>
        <v>870.6704681745681</v>
      </c>
    </row>
    <row r="359" spans="1:15" x14ac:dyDescent="0.35">
      <c r="A359" t="s">
        <v>64</v>
      </c>
      <c r="B359">
        <v>10</v>
      </c>
      <c r="C359" t="s">
        <v>65</v>
      </c>
      <c r="D359">
        <v>54</v>
      </c>
      <c r="E359">
        <v>159.93297441175901</v>
      </c>
      <c r="F359">
        <v>21.4688881008768</v>
      </c>
      <c r="G359" t="s">
        <v>64</v>
      </c>
      <c r="H359">
        <v>10</v>
      </c>
      <c r="I359">
        <v>54</v>
      </c>
      <c r="J359">
        <v>6.2885345811653401</v>
      </c>
      <c r="K359" t="b">
        <f t="shared" si="25"/>
        <v>1</v>
      </c>
      <c r="L359">
        <f t="shared" si="26"/>
        <v>187.69039709380115</v>
      </c>
      <c r="M359">
        <f t="shared" si="27"/>
        <v>375.38079418760231</v>
      </c>
      <c r="N359">
        <f t="shared" si="28"/>
        <v>933.78307011841366</v>
      </c>
      <c r="O359" s="21">
        <f t="shared" si="29"/>
        <v>893.76379568476739</v>
      </c>
    </row>
    <row r="360" spans="1:15" x14ac:dyDescent="0.35">
      <c r="A360" t="s">
        <v>64</v>
      </c>
      <c r="B360">
        <v>10</v>
      </c>
      <c r="C360" t="s">
        <v>65</v>
      </c>
      <c r="D360">
        <v>55</v>
      </c>
      <c r="E360">
        <v>163.76825144447599</v>
      </c>
      <c r="F360">
        <v>22.2990184645173</v>
      </c>
      <c r="G360" t="s">
        <v>64</v>
      </c>
      <c r="H360">
        <v>10</v>
      </c>
      <c r="I360">
        <v>55</v>
      </c>
      <c r="J360">
        <v>6.4526794590037504</v>
      </c>
      <c r="K360" t="b">
        <f t="shared" si="25"/>
        <v>1</v>
      </c>
      <c r="L360">
        <f t="shared" si="26"/>
        <v>192.51994936799704</v>
      </c>
      <c r="M360">
        <f t="shared" si="27"/>
        <v>385.03989873599409</v>
      </c>
      <c r="N360">
        <f t="shared" si="28"/>
        <v>957.81069337311953</v>
      </c>
      <c r="O360" s="21">
        <f t="shared" si="29"/>
        <v>916.76166365712879</v>
      </c>
    </row>
    <row r="361" spans="1:15" x14ac:dyDescent="0.35">
      <c r="A361" t="s">
        <v>64</v>
      </c>
      <c r="B361">
        <v>10</v>
      </c>
      <c r="C361" t="s">
        <v>65</v>
      </c>
      <c r="D361">
        <v>56</v>
      </c>
      <c r="E361">
        <v>167.44670481323499</v>
      </c>
      <c r="F361">
        <v>23.034450151791301</v>
      </c>
      <c r="G361" t="s">
        <v>64</v>
      </c>
      <c r="H361">
        <v>10</v>
      </c>
      <c r="I361">
        <v>56</v>
      </c>
      <c r="J361">
        <v>6.6137238031607204</v>
      </c>
      <c r="K361" t="b">
        <f t="shared" si="25"/>
        <v>1</v>
      </c>
      <c r="L361">
        <f t="shared" si="26"/>
        <v>197.09487876818702</v>
      </c>
      <c r="M361">
        <f t="shared" si="27"/>
        <v>394.18975753637403</v>
      </c>
      <c r="N361">
        <f t="shared" si="28"/>
        <v>980.57153616013431</v>
      </c>
      <c r="O361" s="21">
        <f t="shared" si="29"/>
        <v>938.54704175327151</v>
      </c>
    </row>
    <row r="362" spans="1:15" x14ac:dyDescent="0.35">
      <c r="A362" t="s">
        <v>64</v>
      </c>
      <c r="B362">
        <v>10</v>
      </c>
      <c r="C362" t="s">
        <v>65</v>
      </c>
      <c r="D362">
        <v>57</v>
      </c>
      <c r="E362">
        <v>171.133842617852</v>
      </c>
      <c r="F362">
        <v>23.748834668858301</v>
      </c>
      <c r="G362" t="s">
        <v>64</v>
      </c>
      <c r="H362">
        <v>10</v>
      </c>
      <c r="I362">
        <v>57</v>
      </c>
      <c r="J362">
        <v>6.7728689683340804</v>
      </c>
      <c r="K362" t="b">
        <f t="shared" si="25"/>
        <v>1</v>
      </c>
      <c r="L362">
        <f t="shared" si="26"/>
        <v>201.65554625504438</v>
      </c>
      <c r="M362">
        <f t="shared" si="27"/>
        <v>403.31109251008877</v>
      </c>
      <c r="N362">
        <f t="shared" si="28"/>
        <v>1003.2614241544496</v>
      </c>
      <c r="O362" s="21">
        <f t="shared" si="29"/>
        <v>960.26450597640189</v>
      </c>
    </row>
    <row r="363" spans="1:15" x14ac:dyDescent="0.35">
      <c r="A363" t="s">
        <v>64</v>
      </c>
      <c r="B363">
        <v>10</v>
      </c>
      <c r="C363" t="s">
        <v>65</v>
      </c>
      <c r="D363">
        <v>58</v>
      </c>
      <c r="E363">
        <v>174.76151179537101</v>
      </c>
      <c r="F363">
        <v>24.4686264618095</v>
      </c>
      <c r="G363" t="s">
        <v>64</v>
      </c>
      <c r="H363">
        <v>10</v>
      </c>
      <c r="I363">
        <v>58</v>
      </c>
      <c r="J363">
        <v>6.9304849365508998</v>
      </c>
      <c r="K363" t="b">
        <f t="shared" si="25"/>
        <v>1</v>
      </c>
      <c r="L363">
        <f t="shared" si="26"/>
        <v>206.1606231937314</v>
      </c>
      <c r="M363">
        <f t="shared" si="27"/>
        <v>412.32124638746279</v>
      </c>
      <c r="N363">
        <f t="shared" si="28"/>
        <v>1025.6747422573701</v>
      </c>
      <c r="O363" s="21">
        <f t="shared" si="29"/>
        <v>981.71725330348283</v>
      </c>
    </row>
    <row r="364" spans="1:15" x14ac:dyDescent="0.35">
      <c r="A364" t="s">
        <v>64</v>
      </c>
      <c r="B364">
        <v>10</v>
      </c>
      <c r="C364" t="s">
        <v>65</v>
      </c>
      <c r="D364">
        <v>59</v>
      </c>
      <c r="E364">
        <v>178.36096710864399</v>
      </c>
      <c r="F364">
        <v>25.202902911403601</v>
      </c>
      <c r="G364" t="s">
        <v>64</v>
      </c>
      <c r="H364">
        <v>10</v>
      </c>
      <c r="I364">
        <v>59</v>
      </c>
      <c r="J364">
        <v>7.0866679308070903</v>
      </c>
      <c r="K364" t="b">
        <f t="shared" si="25"/>
        <v>1</v>
      </c>
      <c r="L364">
        <f t="shared" si="26"/>
        <v>210.6505379508547</v>
      </c>
      <c r="M364">
        <f t="shared" si="27"/>
        <v>421.3010759017094</v>
      </c>
      <c r="N364">
        <f t="shared" si="28"/>
        <v>1048.0126266211676</v>
      </c>
      <c r="O364" s="21">
        <f t="shared" si="29"/>
        <v>1003.0977997659747</v>
      </c>
    </row>
    <row r="365" spans="1:15" x14ac:dyDescent="0.35">
      <c r="A365" t="s">
        <v>64</v>
      </c>
      <c r="B365">
        <v>10</v>
      </c>
      <c r="C365" t="s">
        <v>65</v>
      </c>
      <c r="D365">
        <v>60</v>
      </c>
      <c r="E365">
        <v>181.92841167083</v>
      </c>
      <c r="F365">
        <v>25.954397967282901</v>
      </c>
      <c r="G365" t="s">
        <v>64</v>
      </c>
      <c r="H365">
        <v>10</v>
      </c>
      <c r="I365">
        <v>60</v>
      </c>
      <c r="J365">
        <v>7.24143121862679</v>
      </c>
      <c r="K365" t="b">
        <f t="shared" si="25"/>
        <v>1</v>
      </c>
      <c r="L365">
        <f t="shared" si="26"/>
        <v>215.1242408567397</v>
      </c>
      <c r="M365">
        <f t="shared" si="27"/>
        <v>430.24848171347941</v>
      </c>
      <c r="N365">
        <f t="shared" si="28"/>
        <v>1070.2698550086552</v>
      </c>
      <c r="O365" s="21">
        <f t="shared" si="29"/>
        <v>1024.4011469368559</v>
      </c>
    </row>
    <row r="366" spans="1:15" x14ac:dyDescent="0.35">
      <c r="A366" t="s">
        <v>64</v>
      </c>
      <c r="B366">
        <v>10</v>
      </c>
      <c r="C366" t="s">
        <v>65</v>
      </c>
      <c r="D366">
        <v>61</v>
      </c>
      <c r="E366">
        <v>185.25363147203001</v>
      </c>
      <c r="F366">
        <v>26.6155105618592</v>
      </c>
      <c r="G366" t="s">
        <v>64</v>
      </c>
      <c r="H366">
        <v>10</v>
      </c>
      <c r="I366">
        <v>61</v>
      </c>
      <c r="J366">
        <v>7.3919116981134998</v>
      </c>
      <c r="K366" t="b">
        <f t="shared" si="25"/>
        <v>1</v>
      </c>
      <c r="L366">
        <f t="shared" si="26"/>
        <v>219.26105373200269</v>
      </c>
      <c r="M366">
        <f t="shared" si="27"/>
        <v>438.52210746400539</v>
      </c>
      <c r="N366">
        <f t="shared" si="28"/>
        <v>1090.8510135920531</v>
      </c>
      <c r="O366" s="21">
        <f t="shared" si="29"/>
        <v>1044.1002558666796</v>
      </c>
    </row>
    <row r="367" spans="1:15" x14ac:dyDescent="0.35">
      <c r="A367" t="s">
        <v>64</v>
      </c>
      <c r="B367">
        <v>10</v>
      </c>
      <c r="C367" t="s">
        <v>65</v>
      </c>
      <c r="D367">
        <v>62</v>
      </c>
      <c r="E367">
        <v>188.59127227910699</v>
      </c>
      <c r="F367">
        <v>27.255735559233599</v>
      </c>
      <c r="G367" t="s">
        <v>64</v>
      </c>
      <c r="H367">
        <v>10</v>
      </c>
      <c r="I367">
        <v>62</v>
      </c>
      <c r="J367">
        <v>7.5397548345513403</v>
      </c>
      <c r="K367" t="b">
        <f t="shared" si="25"/>
        <v>1</v>
      </c>
      <c r="L367">
        <f t="shared" si="26"/>
        <v>223.3867626728919</v>
      </c>
      <c r="M367">
        <f t="shared" si="27"/>
        <v>446.77352534578381</v>
      </c>
      <c r="N367">
        <f t="shared" si="28"/>
        <v>1111.3769287208552</v>
      </c>
      <c r="O367" s="21">
        <f t="shared" si="29"/>
        <v>1063.746488918533</v>
      </c>
    </row>
    <row r="368" spans="1:15" x14ac:dyDescent="0.35">
      <c r="A368" t="s">
        <v>64</v>
      </c>
      <c r="B368">
        <v>10</v>
      </c>
      <c r="C368" t="s">
        <v>65</v>
      </c>
      <c r="D368">
        <v>63</v>
      </c>
      <c r="E368">
        <v>191.915546477421</v>
      </c>
      <c r="F368">
        <v>27.899441799145201</v>
      </c>
      <c r="G368" t="s">
        <v>64</v>
      </c>
      <c r="H368">
        <v>10</v>
      </c>
      <c r="I368">
        <v>63</v>
      </c>
      <c r="J368">
        <v>7.6856377638087503</v>
      </c>
      <c r="K368" t="b">
        <f t="shared" si="25"/>
        <v>1</v>
      </c>
      <c r="L368">
        <f t="shared" si="26"/>
        <v>227.50062604037495</v>
      </c>
      <c r="M368">
        <f t="shared" si="27"/>
        <v>455.00125208074991</v>
      </c>
      <c r="N368">
        <f t="shared" si="28"/>
        <v>1131.8439106486314</v>
      </c>
      <c r="O368" s="21">
        <f t="shared" si="29"/>
        <v>1083.336314477976</v>
      </c>
    </row>
    <row r="369" spans="1:15" x14ac:dyDescent="0.35">
      <c r="A369" t="s">
        <v>64</v>
      </c>
      <c r="B369">
        <v>10</v>
      </c>
      <c r="C369" t="s">
        <v>65</v>
      </c>
      <c r="D369">
        <v>64</v>
      </c>
      <c r="E369">
        <v>195.217228678899</v>
      </c>
      <c r="F369">
        <v>28.554803426656399</v>
      </c>
      <c r="G369" t="s">
        <v>64</v>
      </c>
      <c r="H369">
        <v>10</v>
      </c>
      <c r="I369">
        <v>64</v>
      </c>
      <c r="J369">
        <v>7.8298668286960904</v>
      </c>
      <c r="K369" t="b">
        <f t="shared" si="25"/>
        <v>1</v>
      </c>
      <c r="L369">
        <f t="shared" si="26"/>
        <v>231.60189893425149</v>
      </c>
      <c r="M369">
        <f t="shared" si="27"/>
        <v>463.20379786850299</v>
      </c>
      <c r="N369">
        <f t="shared" si="28"/>
        <v>1152.2482534042363</v>
      </c>
      <c r="O369" s="21">
        <f t="shared" si="29"/>
        <v>1102.8661854011975</v>
      </c>
    </row>
    <row r="370" spans="1:15" x14ac:dyDescent="0.35">
      <c r="A370" t="s">
        <v>64</v>
      </c>
      <c r="B370">
        <v>10</v>
      </c>
      <c r="C370" t="s">
        <v>65</v>
      </c>
      <c r="D370">
        <v>65</v>
      </c>
      <c r="E370">
        <v>198.49301732599699</v>
      </c>
      <c r="F370">
        <v>29.224225454581202</v>
      </c>
      <c r="G370" t="s">
        <v>64</v>
      </c>
      <c r="H370">
        <v>10</v>
      </c>
      <c r="I370">
        <v>65</v>
      </c>
      <c r="J370">
        <v>7.97259881222136</v>
      </c>
      <c r="K370" t="b">
        <f t="shared" si="25"/>
        <v>1</v>
      </c>
      <c r="L370">
        <f t="shared" si="26"/>
        <v>235.68984159279955</v>
      </c>
      <c r="M370">
        <f t="shared" si="27"/>
        <v>471.37968318559911</v>
      </c>
      <c r="N370">
        <f t="shared" si="28"/>
        <v>1172.5862765810923</v>
      </c>
      <c r="O370" s="21">
        <f t="shared" si="29"/>
        <v>1122.3325790133313</v>
      </c>
    </row>
    <row r="371" spans="1:15" x14ac:dyDescent="0.35">
      <c r="A371" t="s">
        <v>64</v>
      </c>
      <c r="B371">
        <v>10</v>
      </c>
      <c r="C371" t="s">
        <v>65</v>
      </c>
      <c r="D371">
        <v>66</v>
      </c>
      <c r="E371">
        <v>201.48062675224099</v>
      </c>
      <c r="F371">
        <v>29.795743749442298</v>
      </c>
      <c r="G371" t="s">
        <v>64</v>
      </c>
      <c r="H371">
        <v>10</v>
      </c>
      <c r="I371">
        <v>66</v>
      </c>
      <c r="J371">
        <v>8.1103540381583006</v>
      </c>
      <c r="K371" t="b">
        <f t="shared" si="25"/>
        <v>1</v>
      </c>
      <c r="L371">
        <f t="shared" si="26"/>
        <v>239.38672453984159</v>
      </c>
      <c r="M371">
        <f t="shared" si="27"/>
        <v>478.77344907968319</v>
      </c>
      <c r="N371">
        <f t="shared" si="28"/>
        <v>1190.9787290539382</v>
      </c>
      <c r="O371" s="21">
        <f t="shared" si="29"/>
        <v>1139.9367835230553</v>
      </c>
    </row>
    <row r="372" spans="1:15" x14ac:dyDescent="0.35">
      <c r="A372" t="s">
        <v>64</v>
      </c>
      <c r="B372">
        <v>10</v>
      </c>
      <c r="C372" t="s">
        <v>65</v>
      </c>
      <c r="D372">
        <v>67</v>
      </c>
      <c r="E372">
        <v>204.48757709922199</v>
      </c>
      <c r="F372">
        <v>30.342744602290001</v>
      </c>
      <c r="G372" t="s">
        <v>64</v>
      </c>
      <c r="H372">
        <v>10</v>
      </c>
      <c r="I372">
        <v>67</v>
      </c>
      <c r="J372">
        <v>8.2451087659564894</v>
      </c>
      <c r="K372" t="b">
        <f t="shared" si="25"/>
        <v>1</v>
      </c>
      <c r="L372">
        <f t="shared" si="26"/>
        <v>243.07543046746849</v>
      </c>
      <c r="M372">
        <f t="shared" si="27"/>
        <v>486.15086093493699</v>
      </c>
      <c r="N372">
        <f t="shared" si="28"/>
        <v>1209.3304998381516</v>
      </c>
      <c r="O372" s="21">
        <f t="shared" si="29"/>
        <v>1157.5020498450881</v>
      </c>
    </row>
    <row r="373" spans="1:15" x14ac:dyDescent="0.35">
      <c r="A373" t="s">
        <v>64</v>
      </c>
      <c r="B373">
        <v>10</v>
      </c>
      <c r="C373" t="s">
        <v>65</v>
      </c>
      <c r="D373">
        <v>68</v>
      </c>
      <c r="E373">
        <v>207.48725117544399</v>
      </c>
      <c r="F373">
        <v>30.890509672425502</v>
      </c>
      <c r="G373" t="s">
        <v>64</v>
      </c>
      <c r="H373">
        <v>10</v>
      </c>
      <c r="I373">
        <v>68</v>
      </c>
      <c r="J373">
        <v>8.3777377507595006</v>
      </c>
      <c r="K373" t="b">
        <f t="shared" si="25"/>
        <v>1</v>
      </c>
      <c r="L373">
        <f t="shared" si="26"/>
        <v>246.755498598629</v>
      </c>
      <c r="M373">
        <f t="shared" si="27"/>
        <v>493.51099719725801</v>
      </c>
      <c r="N373">
        <f t="shared" si="28"/>
        <v>1227.639296510592</v>
      </c>
      <c r="O373" s="21">
        <f t="shared" si="29"/>
        <v>1175.0261838029953</v>
      </c>
    </row>
    <row r="374" spans="1:15" x14ac:dyDescent="0.35">
      <c r="A374" t="s">
        <v>64</v>
      </c>
      <c r="B374">
        <v>10</v>
      </c>
      <c r="C374" t="s">
        <v>65</v>
      </c>
      <c r="D374">
        <v>69</v>
      </c>
      <c r="E374">
        <v>210.470330188519</v>
      </c>
      <c r="F374">
        <v>31.447416014417001</v>
      </c>
      <c r="G374" t="s">
        <v>64</v>
      </c>
      <c r="H374">
        <v>10</v>
      </c>
      <c r="I374">
        <v>69</v>
      </c>
      <c r="J374">
        <v>8.5086738862251394</v>
      </c>
      <c r="K374" t="b">
        <f t="shared" si="25"/>
        <v>1</v>
      </c>
      <c r="L374">
        <f t="shared" si="26"/>
        <v>250.42642008916113</v>
      </c>
      <c r="M374">
        <f t="shared" si="27"/>
        <v>500.85284017832225</v>
      </c>
      <c r="N374">
        <f t="shared" si="28"/>
        <v>1245.9025875082643</v>
      </c>
      <c r="O374" s="21">
        <f t="shared" si="29"/>
        <v>1192.5067623293387</v>
      </c>
    </row>
    <row r="375" spans="1:15" x14ac:dyDescent="0.35">
      <c r="A375" t="s">
        <v>64</v>
      </c>
      <c r="B375">
        <v>10</v>
      </c>
      <c r="C375" t="s">
        <v>65</v>
      </c>
      <c r="D375">
        <v>70</v>
      </c>
      <c r="E375">
        <v>213.433555999486</v>
      </c>
      <c r="F375">
        <v>32.015939256768597</v>
      </c>
      <c r="G375" t="s">
        <v>64</v>
      </c>
      <c r="H375">
        <v>10</v>
      </c>
      <c r="I375">
        <v>70</v>
      </c>
      <c r="J375">
        <v>8.6381584816212396</v>
      </c>
      <c r="K375" t="b">
        <f t="shared" si="25"/>
        <v>1</v>
      </c>
      <c r="L375">
        <f t="shared" si="26"/>
        <v>254.08765373787585</v>
      </c>
      <c r="M375">
        <f t="shared" si="27"/>
        <v>508.17530747575171</v>
      </c>
      <c r="N375">
        <f t="shared" si="28"/>
        <v>1264.1176802879395</v>
      </c>
      <c r="O375" s="21">
        <f t="shared" si="29"/>
        <v>1209.9412082755994</v>
      </c>
    </row>
    <row r="376" spans="1:15" x14ac:dyDescent="0.35">
      <c r="A376" t="s">
        <v>64</v>
      </c>
      <c r="B376">
        <v>10</v>
      </c>
      <c r="C376" t="s">
        <v>65</v>
      </c>
      <c r="D376">
        <v>71</v>
      </c>
      <c r="E376">
        <v>216.08509004356</v>
      </c>
      <c r="F376">
        <v>32.491626082248303</v>
      </c>
      <c r="G376" t="s">
        <v>64</v>
      </c>
      <c r="H376">
        <v>10</v>
      </c>
      <c r="I376">
        <v>71</v>
      </c>
      <c r="J376">
        <v>8.7623651333572603</v>
      </c>
      <c r="K376" t="b">
        <f t="shared" si="25"/>
        <v>1</v>
      </c>
      <c r="L376">
        <f t="shared" si="26"/>
        <v>257.33908125916554</v>
      </c>
      <c r="M376">
        <f t="shared" si="27"/>
        <v>514.67816251833108</v>
      </c>
      <c r="N376">
        <f t="shared" si="28"/>
        <v>1280.2939366127639</v>
      </c>
      <c r="O376" s="21">
        <f t="shared" si="29"/>
        <v>1225.4241964722169</v>
      </c>
    </row>
    <row r="377" spans="1:15" x14ac:dyDescent="0.35">
      <c r="A377" t="s">
        <v>64</v>
      </c>
      <c r="B377">
        <v>10</v>
      </c>
      <c r="C377" t="s">
        <v>65</v>
      </c>
      <c r="D377">
        <v>72</v>
      </c>
      <c r="E377">
        <v>218.75780381276201</v>
      </c>
      <c r="F377">
        <v>32.943928044783704</v>
      </c>
      <c r="G377" t="s">
        <v>64</v>
      </c>
      <c r="H377">
        <v>10</v>
      </c>
      <c r="I377">
        <v>72</v>
      </c>
      <c r="J377">
        <v>8.8833971058810697</v>
      </c>
      <c r="K377" t="b">
        <f t="shared" si="25"/>
        <v>1</v>
      </c>
      <c r="L377">
        <f t="shared" si="26"/>
        <v>260.58512896342677</v>
      </c>
      <c r="M377">
        <f t="shared" si="27"/>
        <v>521.17025792685354</v>
      </c>
      <c r="N377">
        <f t="shared" si="28"/>
        <v>1296.4434276787401</v>
      </c>
      <c r="O377" s="21">
        <f t="shared" si="29"/>
        <v>1240.8815664925085</v>
      </c>
    </row>
    <row r="378" spans="1:15" x14ac:dyDescent="0.35">
      <c r="A378" t="s">
        <v>64</v>
      </c>
      <c r="B378">
        <v>10</v>
      </c>
      <c r="C378" t="s">
        <v>65</v>
      </c>
      <c r="D378">
        <v>73</v>
      </c>
      <c r="E378">
        <v>221.42694595445599</v>
      </c>
      <c r="F378">
        <v>33.396369695704102</v>
      </c>
      <c r="G378" t="s">
        <v>64</v>
      </c>
      <c r="H378">
        <v>10</v>
      </c>
      <c r="I378">
        <v>73</v>
      </c>
      <c r="J378">
        <v>9.0022349105733408</v>
      </c>
      <c r="K378" t="b">
        <f t="shared" si="25"/>
        <v>1</v>
      </c>
      <c r="L378">
        <f t="shared" si="26"/>
        <v>263.8255505607334</v>
      </c>
      <c r="M378">
        <f t="shared" si="27"/>
        <v>527.65110112146681</v>
      </c>
      <c r="N378">
        <f t="shared" si="28"/>
        <v>1312.5649281628528</v>
      </c>
      <c r="O378" s="21">
        <f t="shared" si="29"/>
        <v>1256.3121455273019</v>
      </c>
    </row>
    <row r="379" spans="1:15" x14ac:dyDescent="0.35">
      <c r="A379" t="s">
        <v>64</v>
      </c>
      <c r="B379">
        <v>10</v>
      </c>
      <c r="C379" t="s">
        <v>65</v>
      </c>
      <c r="D379">
        <v>74</v>
      </c>
      <c r="E379">
        <v>224.08399983343699</v>
      </c>
      <c r="F379">
        <v>33.856621258250101</v>
      </c>
      <c r="G379" t="s">
        <v>64</v>
      </c>
      <c r="H379">
        <v>10</v>
      </c>
      <c r="I379">
        <v>74</v>
      </c>
      <c r="J379">
        <v>9.1193906969326193</v>
      </c>
      <c r="K379" t="b">
        <f t="shared" si="25"/>
        <v>1</v>
      </c>
      <c r="L379">
        <f t="shared" si="26"/>
        <v>267.0600117886197</v>
      </c>
      <c r="M379">
        <f t="shared" si="27"/>
        <v>534.12002357723941</v>
      </c>
      <c r="N379">
        <f t="shared" si="28"/>
        <v>1328.6567750677596</v>
      </c>
      <c r="O379" s="21">
        <f t="shared" si="29"/>
        <v>1271.71434185057</v>
      </c>
    </row>
    <row r="380" spans="1:15" x14ac:dyDescent="0.35">
      <c r="A380" t="s">
        <v>64</v>
      </c>
      <c r="B380">
        <v>10</v>
      </c>
      <c r="C380" t="s">
        <v>65</v>
      </c>
      <c r="D380">
        <v>75</v>
      </c>
      <c r="E380">
        <v>226.726040303834</v>
      </c>
      <c r="F380">
        <v>34.326912197558102</v>
      </c>
      <c r="G380" t="s">
        <v>64</v>
      </c>
      <c r="H380">
        <v>10</v>
      </c>
      <c r="I380">
        <v>75</v>
      </c>
      <c r="J380">
        <v>9.2351625685516208</v>
      </c>
      <c r="K380" t="b">
        <f t="shared" si="25"/>
        <v>1</v>
      </c>
      <c r="L380">
        <f t="shared" si="26"/>
        <v>270.28811506994373</v>
      </c>
      <c r="M380">
        <f t="shared" si="27"/>
        <v>540.57623013988746</v>
      </c>
      <c r="N380">
        <f t="shared" si="28"/>
        <v>1344.7169903977299</v>
      </c>
      <c r="O380" s="21">
        <f t="shared" si="29"/>
        <v>1287.0862622378272</v>
      </c>
    </row>
    <row r="381" spans="1:15" x14ac:dyDescent="0.35">
      <c r="A381" t="s">
        <v>64</v>
      </c>
      <c r="B381">
        <v>10</v>
      </c>
      <c r="C381" t="s">
        <v>65</v>
      </c>
      <c r="D381">
        <v>76</v>
      </c>
      <c r="E381">
        <v>229.073954987044</v>
      </c>
      <c r="F381">
        <v>34.717176177610703</v>
      </c>
      <c r="G381" t="s">
        <v>64</v>
      </c>
      <c r="H381">
        <v>10</v>
      </c>
      <c r="I381">
        <v>76</v>
      </c>
      <c r="J381">
        <v>9.3459364014992303</v>
      </c>
      <c r="K381" t="b">
        <f t="shared" si="25"/>
        <v>1</v>
      </c>
      <c r="L381">
        <f t="shared" si="26"/>
        <v>273.13706756615392</v>
      </c>
      <c r="M381">
        <f t="shared" si="27"/>
        <v>546.27413513230783</v>
      </c>
      <c r="N381">
        <f t="shared" si="28"/>
        <v>1358.890883413701</v>
      </c>
      <c r="O381" s="21">
        <f t="shared" si="29"/>
        <v>1300.6527026959711</v>
      </c>
    </row>
    <row r="382" spans="1:15" x14ac:dyDescent="0.35">
      <c r="A382" t="s">
        <v>64</v>
      </c>
      <c r="B382">
        <v>10</v>
      </c>
      <c r="C382" t="s">
        <v>65</v>
      </c>
      <c r="D382">
        <v>77</v>
      </c>
      <c r="E382">
        <v>231.44137388339999</v>
      </c>
      <c r="F382">
        <v>35.087942986777897</v>
      </c>
      <c r="G382" t="s">
        <v>64</v>
      </c>
      <c r="H382">
        <v>10</v>
      </c>
      <c r="I382">
        <v>77</v>
      </c>
      <c r="J382">
        <v>9.4536905114570899</v>
      </c>
      <c r="K382" t="b">
        <f t="shared" si="25"/>
        <v>1</v>
      </c>
      <c r="L382">
        <f t="shared" si="26"/>
        <v>275.98300738163493</v>
      </c>
      <c r="M382">
        <f t="shared" si="27"/>
        <v>551.96601476326987</v>
      </c>
      <c r="N382">
        <f t="shared" si="28"/>
        <v>1373.049787968333</v>
      </c>
      <c r="O382" s="21">
        <f t="shared" si="29"/>
        <v>1314.2047970554045</v>
      </c>
    </row>
    <row r="383" spans="1:15" x14ac:dyDescent="0.35">
      <c r="A383" t="s">
        <v>64</v>
      </c>
      <c r="B383">
        <v>10</v>
      </c>
      <c r="C383" t="s">
        <v>65</v>
      </c>
      <c r="D383">
        <v>78</v>
      </c>
      <c r="E383">
        <v>233.80701509756801</v>
      </c>
      <c r="F383">
        <v>35.459396825813599</v>
      </c>
      <c r="G383" t="s">
        <v>64</v>
      </c>
      <c r="H383">
        <v>10</v>
      </c>
      <c r="I383">
        <v>78</v>
      </c>
      <c r="J383">
        <v>9.5593760164258992</v>
      </c>
      <c r="K383" t="b">
        <f t="shared" si="25"/>
        <v>1</v>
      </c>
      <c r="L383">
        <f t="shared" si="26"/>
        <v>278.82578793980753</v>
      </c>
      <c r="M383">
        <f t="shared" si="27"/>
        <v>557.65157587961505</v>
      </c>
      <c r="N383">
        <f t="shared" si="28"/>
        <v>1387.1929748249129</v>
      </c>
      <c r="O383" s="21">
        <f t="shared" si="29"/>
        <v>1327.7418473324169</v>
      </c>
    </row>
    <row r="384" spans="1:15" x14ac:dyDescent="0.35">
      <c r="A384" t="s">
        <v>64</v>
      </c>
      <c r="B384">
        <v>10</v>
      </c>
      <c r="C384" t="s">
        <v>65</v>
      </c>
      <c r="D384">
        <v>79</v>
      </c>
      <c r="E384">
        <v>236.16365846699901</v>
      </c>
      <c r="F384">
        <v>35.837999560216403</v>
      </c>
      <c r="G384" t="s">
        <v>64</v>
      </c>
      <c r="H384">
        <v>10</v>
      </c>
      <c r="I384">
        <v>79</v>
      </c>
      <c r="J384">
        <v>9.6635050634300104</v>
      </c>
      <c r="K384" t="b">
        <f t="shared" si="25"/>
        <v>1</v>
      </c>
      <c r="L384">
        <f t="shared" si="26"/>
        <v>281.66516309064542</v>
      </c>
      <c r="M384">
        <f t="shared" si="27"/>
        <v>563.33032618129084</v>
      </c>
      <c r="N384">
        <f t="shared" si="28"/>
        <v>1401.3192193564448</v>
      </c>
      <c r="O384" s="21">
        <f t="shared" si="29"/>
        <v>1341.2626813840259</v>
      </c>
    </row>
    <row r="385" spans="1:15" x14ac:dyDescent="0.35">
      <c r="A385" t="s">
        <v>64</v>
      </c>
      <c r="B385">
        <v>10</v>
      </c>
      <c r="C385" t="s">
        <v>65</v>
      </c>
      <c r="D385">
        <v>80</v>
      </c>
      <c r="E385">
        <v>238.508859290251</v>
      </c>
      <c r="F385">
        <v>36.2255712922952</v>
      </c>
      <c r="G385" t="s">
        <v>64</v>
      </c>
      <c r="H385">
        <v>10</v>
      </c>
      <c r="I385">
        <v>80</v>
      </c>
      <c r="J385">
        <v>9.7663828387507206</v>
      </c>
      <c r="K385" t="b">
        <f t="shared" si="25"/>
        <v>1</v>
      </c>
      <c r="L385">
        <f t="shared" si="26"/>
        <v>284.50081342129693</v>
      </c>
      <c r="M385">
        <f t="shared" si="27"/>
        <v>569.00162684259385</v>
      </c>
      <c r="N385">
        <f t="shared" si="28"/>
        <v>1415.4269324442632</v>
      </c>
      <c r="O385" s="21">
        <f t="shared" si="29"/>
        <v>1354.765778196652</v>
      </c>
    </row>
    <row r="386" spans="1:15" x14ac:dyDescent="0.35">
      <c r="A386" t="s">
        <v>64</v>
      </c>
      <c r="B386">
        <v>10</v>
      </c>
      <c r="C386" t="s">
        <v>65</v>
      </c>
      <c r="D386">
        <v>81</v>
      </c>
      <c r="E386">
        <v>240.542413423829</v>
      </c>
      <c r="F386">
        <v>36.557680517570702</v>
      </c>
      <c r="G386" t="s">
        <v>64</v>
      </c>
      <c r="H386">
        <v>10</v>
      </c>
      <c r="I386">
        <v>81</v>
      </c>
      <c r="J386">
        <v>9.8641116708623002</v>
      </c>
      <c r="K386" t="b">
        <f t="shared" ref="K386:K449" si="30">H386=B386</f>
        <v>1</v>
      </c>
      <c r="L386">
        <f t="shared" ref="L386:L449" si="31">E386+F386+J386</f>
        <v>286.96420561226199</v>
      </c>
      <c r="M386">
        <f t="shared" ref="M386:M449" si="32">L386*2</f>
        <v>573.92841122452398</v>
      </c>
      <c r="N386">
        <f t="shared" ref="N386:N449" si="33">M386/(1-0.598)</f>
        <v>1427.682614986378</v>
      </c>
      <c r="O386" s="21">
        <f t="shared" ref="O386:O449" si="34">M386/0.42</f>
        <v>1366.4962172012476</v>
      </c>
    </row>
    <row r="387" spans="1:15" x14ac:dyDescent="0.35">
      <c r="A387" t="s">
        <v>64</v>
      </c>
      <c r="B387">
        <v>10</v>
      </c>
      <c r="C387" t="s">
        <v>65</v>
      </c>
      <c r="D387">
        <v>82</v>
      </c>
      <c r="E387">
        <v>242.588266019343</v>
      </c>
      <c r="F387">
        <v>36.877874642580501</v>
      </c>
      <c r="G387" t="s">
        <v>64</v>
      </c>
      <c r="H387">
        <v>10</v>
      </c>
      <c r="I387">
        <v>82</v>
      </c>
      <c r="J387">
        <v>9.9586290838448406</v>
      </c>
      <c r="K387" t="b">
        <f t="shared" si="30"/>
        <v>1</v>
      </c>
      <c r="L387">
        <f t="shared" si="31"/>
        <v>289.42476974576834</v>
      </c>
      <c r="M387">
        <f t="shared" si="32"/>
        <v>578.84953949153669</v>
      </c>
      <c r="N387">
        <f t="shared" si="33"/>
        <v>1439.9242275908873</v>
      </c>
      <c r="O387" s="21">
        <f t="shared" si="34"/>
        <v>1378.2131892655636</v>
      </c>
    </row>
    <row r="388" spans="1:15" x14ac:dyDescent="0.35">
      <c r="A388" t="s">
        <v>64</v>
      </c>
      <c r="B388">
        <v>10</v>
      </c>
      <c r="C388" t="s">
        <v>65</v>
      </c>
      <c r="D388">
        <v>83</v>
      </c>
      <c r="E388">
        <v>244.63123838525399</v>
      </c>
      <c r="F388">
        <v>37.200428544050801</v>
      </c>
      <c r="G388" t="s">
        <v>64</v>
      </c>
      <c r="H388">
        <v>10</v>
      </c>
      <c r="I388">
        <v>83</v>
      </c>
      <c r="J388">
        <v>10.0509407900652</v>
      </c>
      <c r="K388" t="b">
        <f t="shared" si="30"/>
        <v>1</v>
      </c>
      <c r="L388">
        <f t="shared" si="31"/>
        <v>291.88260771937001</v>
      </c>
      <c r="M388">
        <f t="shared" si="32"/>
        <v>583.76521543874003</v>
      </c>
      <c r="N388">
        <f t="shared" si="33"/>
        <v>1452.152277210796</v>
      </c>
      <c r="O388" s="21">
        <f t="shared" si="34"/>
        <v>1389.9171796160476</v>
      </c>
    </row>
    <row r="389" spans="1:15" x14ac:dyDescent="0.35">
      <c r="A389" t="s">
        <v>64</v>
      </c>
      <c r="B389">
        <v>10</v>
      </c>
      <c r="C389" t="s">
        <v>65</v>
      </c>
      <c r="D389">
        <v>84</v>
      </c>
      <c r="E389">
        <v>246.66623454307501</v>
      </c>
      <c r="F389">
        <v>37.529787760574898</v>
      </c>
      <c r="G389" t="s">
        <v>64</v>
      </c>
      <c r="H389">
        <v>10</v>
      </c>
      <c r="I389">
        <v>84</v>
      </c>
      <c r="J389">
        <v>10.1416207702606</v>
      </c>
      <c r="K389" t="b">
        <f t="shared" si="30"/>
        <v>1</v>
      </c>
      <c r="L389">
        <f t="shared" si="31"/>
        <v>294.3376430739105</v>
      </c>
      <c r="M389">
        <f t="shared" si="32"/>
        <v>588.675286147821</v>
      </c>
      <c r="N389">
        <f t="shared" si="33"/>
        <v>1464.3663834522908</v>
      </c>
      <c r="O389" s="21">
        <f t="shared" si="34"/>
        <v>1401.6078241614787</v>
      </c>
    </row>
    <row r="390" spans="1:15" x14ac:dyDescent="0.35">
      <c r="A390" t="s">
        <v>64</v>
      </c>
      <c r="B390">
        <v>10</v>
      </c>
      <c r="C390" t="s">
        <v>65</v>
      </c>
      <c r="D390">
        <v>85</v>
      </c>
      <c r="E390">
        <v>248.69154260396999</v>
      </c>
      <c r="F390">
        <v>37.867115399247702</v>
      </c>
      <c r="G390" t="s">
        <v>64</v>
      </c>
      <c r="H390">
        <v>10</v>
      </c>
      <c r="I390">
        <v>85</v>
      </c>
      <c r="J390">
        <v>10.2310229009524</v>
      </c>
      <c r="K390" t="b">
        <f t="shared" si="30"/>
        <v>1</v>
      </c>
      <c r="L390">
        <f t="shared" si="31"/>
        <v>296.7896809041701</v>
      </c>
      <c r="M390">
        <f t="shared" si="32"/>
        <v>593.5793618083402</v>
      </c>
      <c r="N390">
        <f t="shared" si="33"/>
        <v>1476.5655766376622</v>
      </c>
      <c r="O390" s="21">
        <f t="shared" si="34"/>
        <v>1413.2841947817624</v>
      </c>
    </row>
    <row r="391" spans="1:15" x14ac:dyDescent="0.35">
      <c r="A391" t="s">
        <v>64</v>
      </c>
      <c r="B391">
        <v>10</v>
      </c>
      <c r="C391" t="s">
        <v>65</v>
      </c>
      <c r="D391">
        <v>86</v>
      </c>
      <c r="E391">
        <v>250.462102117809</v>
      </c>
      <c r="F391">
        <v>38.123878226551497</v>
      </c>
      <c r="G391" t="s">
        <v>64</v>
      </c>
      <c r="H391">
        <v>10</v>
      </c>
      <c r="I391">
        <v>86</v>
      </c>
      <c r="J391">
        <v>10.316034849063</v>
      </c>
      <c r="K391" t="b">
        <f t="shared" si="30"/>
        <v>1</v>
      </c>
      <c r="L391">
        <f t="shared" si="31"/>
        <v>298.90201519342349</v>
      </c>
      <c r="M391">
        <f t="shared" si="32"/>
        <v>597.80403038684699</v>
      </c>
      <c r="N391">
        <f t="shared" si="33"/>
        <v>1487.0747024548432</v>
      </c>
      <c r="O391" s="21">
        <f t="shared" si="34"/>
        <v>1423.3429294924929</v>
      </c>
    </row>
    <row r="392" spans="1:15" x14ac:dyDescent="0.35">
      <c r="A392" t="s">
        <v>64</v>
      </c>
      <c r="B392">
        <v>10</v>
      </c>
      <c r="C392" t="s">
        <v>65</v>
      </c>
      <c r="D392">
        <v>87</v>
      </c>
      <c r="E392">
        <v>252.256346307288</v>
      </c>
      <c r="F392">
        <v>38.360356579189101</v>
      </c>
      <c r="G392" t="s">
        <v>64</v>
      </c>
      <c r="H392">
        <v>10</v>
      </c>
      <c r="I392">
        <v>87</v>
      </c>
      <c r="J392">
        <v>10.398476731633901</v>
      </c>
      <c r="K392" t="b">
        <f t="shared" si="30"/>
        <v>1</v>
      </c>
      <c r="L392">
        <f t="shared" si="31"/>
        <v>301.01517961811101</v>
      </c>
      <c r="M392">
        <f t="shared" si="32"/>
        <v>602.03035923622201</v>
      </c>
      <c r="N392">
        <f t="shared" si="33"/>
        <v>1497.5879582990597</v>
      </c>
      <c r="O392" s="21">
        <f t="shared" si="34"/>
        <v>1433.4056172291</v>
      </c>
    </row>
    <row r="393" spans="1:15" x14ac:dyDescent="0.35">
      <c r="A393" t="s">
        <v>64</v>
      </c>
      <c r="B393">
        <v>10</v>
      </c>
      <c r="C393" t="s">
        <v>65</v>
      </c>
      <c r="D393">
        <v>88</v>
      </c>
      <c r="E393">
        <v>254.053561539951</v>
      </c>
      <c r="F393">
        <v>38.596248970297701</v>
      </c>
      <c r="G393" t="s">
        <v>64</v>
      </c>
      <c r="H393">
        <v>10</v>
      </c>
      <c r="I393">
        <v>88</v>
      </c>
      <c r="J393">
        <v>10.4792114368556</v>
      </c>
      <c r="K393" t="b">
        <f t="shared" si="30"/>
        <v>1</v>
      </c>
      <c r="L393">
        <f t="shared" si="31"/>
        <v>303.12902194710432</v>
      </c>
      <c r="M393">
        <f t="shared" si="32"/>
        <v>606.25804389420864</v>
      </c>
      <c r="N393">
        <f t="shared" si="33"/>
        <v>1508.104586801514</v>
      </c>
      <c r="O393" s="21">
        <f t="shared" si="34"/>
        <v>1443.4715330814493</v>
      </c>
    </row>
    <row r="394" spans="1:15" x14ac:dyDescent="0.35">
      <c r="A394" t="s">
        <v>64</v>
      </c>
      <c r="B394">
        <v>10</v>
      </c>
      <c r="C394" t="s">
        <v>65</v>
      </c>
      <c r="D394">
        <v>89</v>
      </c>
      <c r="E394">
        <v>255.84687271802099</v>
      </c>
      <c r="F394">
        <v>38.837758562489199</v>
      </c>
      <c r="G394" t="s">
        <v>64</v>
      </c>
      <c r="H394">
        <v>10</v>
      </c>
      <c r="I394">
        <v>89</v>
      </c>
      <c r="J394">
        <v>10.5587015092174</v>
      </c>
      <c r="K394" t="b">
        <f t="shared" si="30"/>
        <v>1</v>
      </c>
      <c r="L394">
        <f t="shared" si="31"/>
        <v>305.24333278972756</v>
      </c>
      <c r="M394">
        <f t="shared" si="32"/>
        <v>610.48666557945512</v>
      </c>
      <c r="N394">
        <f t="shared" si="33"/>
        <v>1518.62354621755</v>
      </c>
      <c r="O394" s="21">
        <f t="shared" si="34"/>
        <v>1453.5396799510836</v>
      </c>
    </row>
    <row r="395" spans="1:15" x14ac:dyDescent="0.35">
      <c r="A395" t="s">
        <v>64</v>
      </c>
      <c r="B395">
        <v>10</v>
      </c>
      <c r="C395" t="s">
        <v>65</v>
      </c>
      <c r="D395">
        <v>90</v>
      </c>
      <c r="E395">
        <v>257.63400239485799</v>
      </c>
      <c r="F395">
        <v>39.0866216625082</v>
      </c>
      <c r="G395" t="s">
        <v>64</v>
      </c>
      <c r="H395">
        <v>10</v>
      </c>
      <c r="I395">
        <v>90</v>
      </c>
      <c r="J395">
        <v>10.637223321698499</v>
      </c>
      <c r="K395" t="b">
        <f t="shared" si="30"/>
        <v>1</v>
      </c>
      <c r="L395">
        <f t="shared" si="31"/>
        <v>307.35784737906471</v>
      </c>
      <c r="M395">
        <f t="shared" si="32"/>
        <v>614.71569475812942</v>
      </c>
      <c r="N395">
        <f t="shared" si="33"/>
        <v>1529.1435192988292</v>
      </c>
      <c r="O395" s="21">
        <f t="shared" si="34"/>
        <v>1463.6087970431654</v>
      </c>
    </row>
    <row r="396" spans="1:15" x14ac:dyDescent="0.35">
      <c r="A396" t="s">
        <v>64</v>
      </c>
      <c r="B396">
        <v>10</v>
      </c>
      <c r="C396" t="s">
        <v>65</v>
      </c>
      <c r="D396">
        <v>91</v>
      </c>
      <c r="E396">
        <v>259.15425797034402</v>
      </c>
      <c r="F396">
        <v>39.281440369805701</v>
      </c>
      <c r="G396" t="s">
        <v>64</v>
      </c>
      <c r="H396">
        <v>10</v>
      </c>
      <c r="I396">
        <v>91</v>
      </c>
      <c r="J396">
        <v>10.711401104931699</v>
      </c>
      <c r="K396" t="b">
        <f t="shared" si="30"/>
        <v>1</v>
      </c>
      <c r="L396">
        <f t="shared" si="31"/>
        <v>309.14709944508144</v>
      </c>
      <c r="M396">
        <f t="shared" si="32"/>
        <v>618.29419889016287</v>
      </c>
      <c r="N396">
        <f t="shared" si="33"/>
        <v>1538.0452708710518</v>
      </c>
      <c r="O396" s="21">
        <f t="shared" si="34"/>
        <v>1472.1290449765784</v>
      </c>
    </row>
    <row r="397" spans="1:15" x14ac:dyDescent="0.35">
      <c r="A397" t="s">
        <v>64</v>
      </c>
      <c r="B397">
        <v>10</v>
      </c>
      <c r="C397" t="s">
        <v>65</v>
      </c>
      <c r="D397">
        <v>92</v>
      </c>
      <c r="E397">
        <v>260.69048428987003</v>
      </c>
      <c r="F397">
        <v>39.464343636727001</v>
      </c>
      <c r="G397" t="s">
        <v>64</v>
      </c>
      <c r="H397">
        <v>10</v>
      </c>
      <c r="I397">
        <v>92</v>
      </c>
      <c r="J397">
        <v>10.7829453581839</v>
      </c>
      <c r="K397" t="b">
        <f t="shared" si="30"/>
        <v>1</v>
      </c>
      <c r="L397">
        <f t="shared" si="31"/>
        <v>310.93777328478092</v>
      </c>
      <c r="M397">
        <f t="shared" si="32"/>
        <v>621.87554656956183</v>
      </c>
      <c r="N397">
        <f t="shared" si="33"/>
        <v>1546.9540959441836</v>
      </c>
      <c r="O397" s="21">
        <f t="shared" si="34"/>
        <v>1480.6560632608616</v>
      </c>
    </row>
    <row r="398" spans="1:15" x14ac:dyDescent="0.35">
      <c r="A398" t="s">
        <v>64</v>
      </c>
      <c r="B398">
        <v>10</v>
      </c>
      <c r="C398" t="s">
        <v>65</v>
      </c>
      <c r="D398">
        <v>93</v>
      </c>
      <c r="E398">
        <v>262.22828546547697</v>
      </c>
      <c r="F398">
        <v>39.648896206927297</v>
      </c>
      <c r="G398" t="s">
        <v>64</v>
      </c>
      <c r="H398">
        <v>10</v>
      </c>
      <c r="I398">
        <v>93</v>
      </c>
      <c r="J398">
        <v>10.852731766865601</v>
      </c>
      <c r="K398" t="b">
        <f t="shared" si="30"/>
        <v>1</v>
      </c>
      <c r="L398">
        <f t="shared" si="31"/>
        <v>312.72991343926986</v>
      </c>
      <c r="M398">
        <f t="shared" si="32"/>
        <v>625.45982687853973</v>
      </c>
      <c r="N398">
        <f t="shared" si="33"/>
        <v>1555.8702161157703</v>
      </c>
      <c r="O398" s="21">
        <f t="shared" si="34"/>
        <v>1489.1900639965231</v>
      </c>
    </row>
    <row r="399" spans="1:15" x14ac:dyDescent="0.35">
      <c r="A399" t="s">
        <v>64</v>
      </c>
      <c r="B399">
        <v>10</v>
      </c>
      <c r="C399" t="s">
        <v>65</v>
      </c>
      <c r="D399">
        <v>94</v>
      </c>
      <c r="E399">
        <v>263.762923688098</v>
      </c>
      <c r="F399">
        <v>39.839253643516798</v>
      </c>
      <c r="G399" t="s">
        <v>64</v>
      </c>
      <c r="H399">
        <v>10</v>
      </c>
      <c r="I399">
        <v>94</v>
      </c>
      <c r="J399">
        <v>10.9212569707539</v>
      </c>
      <c r="K399" t="b">
        <f t="shared" si="30"/>
        <v>1</v>
      </c>
      <c r="L399">
        <f t="shared" si="31"/>
        <v>314.52343430236874</v>
      </c>
      <c r="M399">
        <f t="shared" si="32"/>
        <v>629.04686860473748</v>
      </c>
      <c r="N399">
        <f t="shared" si="33"/>
        <v>1564.7932054844216</v>
      </c>
      <c r="O399" s="21">
        <f t="shared" si="34"/>
        <v>1497.7306395350893</v>
      </c>
    </row>
    <row r="400" spans="1:15" x14ac:dyDescent="0.35">
      <c r="A400" t="s">
        <v>64</v>
      </c>
      <c r="B400">
        <v>10</v>
      </c>
      <c r="C400" t="s">
        <v>65</v>
      </c>
      <c r="D400">
        <v>95</v>
      </c>
      <c r="E400">
        <v>265.29284271306</v>
      </c>
      <c r="F400">
        <v>40.0364876167909</v>
      </c>
      <c r="G400" t="s">
        <v>64</v>
      </c>
      <c r="H400">
        <v>10</v>
      </c>
      <c r="I400">
        <v>95</v>
      </c>
      <c r="J400">
        <v>10.988826875323699</v>
      </c>
      <c r="K400" t="b">
        <f t="shared" si="30"/>
        <v>1</v>
      </c>
      <c r="L400">
        <f t="shared" si="31"/>
        <v>316.3181572051746</v>
      </c>
      <c r="M400">
        <f t="shared" si="32"/>
        <v>632.6363144103492</v>
      </c>
      <c r="N400">
        <f t="shared" si="33"/>
        <v>1573.7221751501222</v>
      </c>
      <c r="O400" s="21">
        <f t="shared" si="34"/>
        <v>1506.2769390722601</v>
      </c>
    </row>
    <row r="401" spans="1:15" x14ac:dyDescent="0.35">
      <c r="A401" t="s">
        <v>64</v>
      </c>
      <c r="B401">
        <v>10</v>
      </c>
      <c r="C401" t="s">
        <v>65</v>
      </c>
      <c r="D401">
        <v>96</v>
      </c>
      <c r="E401">
        <v>266.565067002452</v>
      </c>
      <c r="F401">
        <v>40.172224898594997</v>
      </c>
      <c r="G401" t="s">
        <v>64</v>
      </c>
      <c r="H401">
        <v>10</v>
      </c>
      <c r="I401">
        <v>96</v>
      </c>
      <c r="J401">
        <v>11.052188997869001</v>
      </c>
      <c r="K401" t="b">
        <f t="shared" si="30"/>
        <v>1</v>
      </c>
      <c r="L401">
        <f t="shared" si="31"/>
        <v>317.789480898916</v>
      </c>
      <c r="M401">
        <f t="shared" si="32"/>
        <v>635.57896179783199</v>
      </c>
      <c r="N401">
        <f t="shared" si="33"/>
        <v>1581.0421935269451</v>
      </c>
      <c r="O401" s="21">
        <f t="shared" si="34"/>
        <v>1513.2832423757905</v>
      </c>
    </row>
    <row r="402" spans="1:15" x14ac:dyDescent="0.35">
      <c r="A402" t="s">
        <v>64</v>
      </c>
      <c r="B402">
        <v>10</v>
      </c>
      <c r="C402" t="s">
        <v>65</v>
      </c>
      <c r="D402">
        <v>97</v>
      </c>
      <c r="E402">
        <v>267.857236678162</v>
      </c>
      <c r="F402">
        <v>40.293673544177203</v>
      </c>
      <c r="G402" t="s">
        <v>64</v>
      </c>
      <c r="H402">
        <v>10</v>
      </c>
      <c r="I402">
        <v>97</v>
      </c>
      <c r="J402">
        <v>11.1130613061763</v>
      </c>
      <c r="K402" t="b">
        <f t="shared" si="30"/>
        <v>1</v>
      </c>
      <c r="L402">
        <f t="shared" si="31"/>
        <v>319.26397152851547</v>
      </c>
      <c r="M402">
        <f t="shared" si="32"/>
        <v>638.52794305703094</v>
      </c>
      <c r="N402">
        <f t="shared" si="33"/>
        <v>1588.3779678035594</v>
      </c>
      <c r="O402" s="21">
        <f t="shared" si="34"/>
        <v>1520.3046263262643</v>
      </c>
    </row>
    <row r="403" spans="1:15" x14ac:dyDescent="0.35">
      <c r="A403" t="s">
        <v>64</v>
      </c>
      <c r="B403">
        <v>10</v>
      </c>
      <c r="C403" t="s">
        <v>65</v>
      </c>
      <c r="D403">
        <v>98</v>
      </c>
      <c r="E403">
        <v>269.15335665506501</v>
      </c>
      <c r="F403">
        <v>40.415963945412003</v>
      </c>
      <c r="G403" t="s">
        <v>64</v>
      </c>
      <c r="H403">
        <v>10</v>
      </c>
      <c r="I403">
        <v>98</v>
      </c>
      <c r="J403">
        <v>11.1723032721841</v>
      </c>
      <c r="K403" t="b">
        <f t="shared" si="30"/>
        <v>1</v>
      </c>
      <c r="L403">
        <f t="shared" si="31"/>
        <v>320.74162387266108</v>
      </c>
      <c r="M403">
        <f t="shared" si="32"/>
        <v>641.48324774532216</v>
      </c>
      <c r="N403">
        <f t="shared" si="33"/>
        <v>1595.7294720032889</v>
      </c>
      <c r="O403" s="21">
        <f t="shared" si="34"/>
        <v>1527.3410660602908</v>
      </c>
    </row>
    <row r="404" spans="1:15" x14ac:dyDescent="0.35">
      <c r="A404" t="s">
        <v>64</v>
      </c>
      <c r="B404">
        <v>10</v>
      </c>
      <c r="C404" t="s">
        <v>65</v>
      </c>
      <c r="D404">
        <v>99</v>
      </c>
      <c r="E404">
        <v>270.44819958798701</v>
      </c>
      <c r="F404">
        <v>40.543736063109002</v>
      </c>
      <c r="G404" t="s">
        <v>64</v>
      </c>
      <c r="H404">
        <v>10</v>
      </c>
      <c r="I404">
        <v>99</v>
      </c>
      <c r="J404">
        <v>11.230395104974001</v>
      </c>
      <c r="K404" t="b">
        <f t="shared" si="30"/>
        <v>1</v>
      </c>
      <c r="L404">
        <f t="shared" si="31"/>
        <v>322.22233075606999</v>
      </c>
      <c r="M404">
        <f t="shared" si="32"/>
        <v>644.44466151213999</v>
      </c>
      <c r="N404">
        <f t="shared" si="33"/>
        <v>1603.0961729157709</v>
      </c>
      <c r="O404" s="21">
        <f t="shared" si="34"/>
        <v>1534.3920512193811</v>
      </c>
    </row>
    <row r="405" spans="1:15" x14ac:dyDescent="0.35">
      <c r="A405" t="s">
        <v>64</v>
      </c>
      <c r="B405">
        <v>10</v>
      </c>
      <c r="C405" t="s">
        <v>65</v>
      </c>
      <c r="D405">
        <v>100</v>
      </c>
      <c r="E405">
        <v>271.74005962620703</v>
      </c>
      <c r="F405">
        <v>40.678214695993702</v>
      </c>
      <c r="G405" t="s">
        <v>64</v>
      </c>
      <c r="H405">
        <v>10</v>
      </c>
      <c r="I405">
        <v>100</v>
      </c>
      <c r="J405">
        <v>11.287630422296701</v>
      </c>
      <c r="K405" t="b">
        <f t="shared" si="30"/>
        <v>1</v>
      </c>
      <c r="L405">
        <f t="shared" si="31"/>
        <v>323.70590474449739</v>
      </c>
      <c r="M405">
        <f t="shared" si="32"/>
        <v>647.41180948899478</v>
      </c>
      <c r="N405">
        <f t="shared" si="33"/>
        <v>1610.4771380323252</v>
      </c>
      <c r="O405" s="21">
        <f t="shared" si="34"/>
        <v>1541.4566892595114</v>
      </c>
    </row>
    <row r="406" spans="1:15" x14ac:dyDescent="0.35">
      <c r="A406" t="s">
        <v>64</v>
      </c>
      <c r="B406">
        <v>12</v>
      </c>
      <c r="C406" t="s">
        <v>65</v>
      </c>
      <c r="D406">
        <v>0</v>
      </c>
      <c r="E406">
        <v>0</v>
      </c>
      <c r="F406">
        <v>0</v>
      </c>
      <c r="G406" t="s">
        <v>64</v>
      </c>
      <c r="H406">
        <v>12</v>
      </c>
      <c r="I406">
        <v>0</v>
      </c>
      <c r="J406">
        <v>0</v>
      </c>
      <c r="K406" t="b">
        <f t="shared" si="30"/>
        <v>1</v>
      </c>
      <c r="L406">
        <f t="shared" si="31"/>
        <v>0</v>
      </c>
      <c r="M406">
        <f t="shared" si="32"/>
        <v>0</v>
      </c>
      <c r="N406">
        <f t="shared" si="33"/>
        <v>0</v>
      </c>
      <c r="O406" s="21">
        <f t="shared" si="34"/>
        <v>0</v>
      </c>
    </row>
    <row r="407" spans="1:15" x14ac:dyDescent="0.35">
      <c r="A407" t="s">
        <v>64</v>
      </c>
      <c r="B407">
        <v>12</v>
      </c>
      <c r="C407" t="s">
        <v>65</v>
      </c>
      <c r="D407">
        <v>1</v>
      </c>
      <c r="E407">
        <v>0.14943111761057601</v>
      </c>
      <c r="F407" s="15">
        <v>5.9335513951802002E-4</v>
      </c>
      <c r="G407" t="s">
        <v>64</v>
      </c>
      <c r="H407">
        <v>12</v>
      </c>
      <c r="I407">
        <v>1</v>
      </c>
      <c r="J407">
        <v>2.01978771187765E-3</v>
      </c>
      <c r="K407" t="b">
        <f t="shared" si="30"/>
        <v>1</v>
      </c>
      <c r="L407">
        <f t="shared" si="31"/>
        <v>0.1520442604619717</v>
      </c>
      <c r="M407">
        <f t="shared" si="32"/>
        <v>0.3040885209239434</v>
      </c>
      <c r="N407">
        <f t="shared" si="33"/>
        <v>0.75643910677597859</v>
      </c>
      <c r="O407" s="21">
        <f t="shared" si="34"/>
        <v>0.72402028791415096</v>
      </c>
    </row>
    <row r="408" spans="1:15" x14ac:dyDescent="0.35">
      <c r="A408" t="s">
        <v>64</v>
      </c>
      <c r="B408">
        <v>12</v>
      </c>
      <c r="C408" t="s">
        <v>65</v>
      </c>
      <c r="D408">
        <v>2</v>
      </c>
      <c r="E408">
        <v>0.33622001462379703</v>
      </c>
      <c r="F408">
        <v>1.91060354924802E-3</v>
      </c>
      <c r="G408" t="s">
        <v>64</v>
      </c>
      <c r="H408">
        <v>12</v>
      </c>
      <c r="I408">
        <v>2</v>
      </c>
      <c r="J408">
        <v>5.8423442057745903E-3</v>
      </c>
      <c r="K408" t="b">
        <f t="shared" si="30"/>
        <v>1</v>
      </c>
      <c r="L408">
        <f t="shared" si="31"/>
        <v>0.34397296237881964</v>
      </c>
      <c r="M408">
        <f t="shared" si="32"/>
        <v>0.68794592475763927</v>
      </c>
      <c r="N408">
        <f t="shared" si="33"/>
        <v>1.7113082705413911</v>
      </c>
      <c r="O408" s="21">
        <f t="shared" si="34"/>
        <v>1.6379664875181887</v>
      </c>
    </row>
    <row r="409" spans="1:15" x14ac:dyDescent="0.35">
      <c r="A409" t="s">
        <v>64</v>
      </c>
      <c r="B409">
        <v>12</v>
      </c>
      <c r="C409" t="s">
        <v>65</v>
      </c>
      <c r="D409">
        <v>3</v>
      </c>
      <c r="E409">
        <v>0.56970613589032304</v>
      </c>
      <c r="F409">
        <v>4.11545191218304E-3</v>
      </c>
      <c r="G409" t="s">
        <v>64</v>
      </c>
      <c r="H409">
        <v>12</v>
      </c>
      <c r="I409">
        <v>3</v>
      </c>
      <c r="J409">
        <v>1.1475093441080501E-2</v>
      </c>
      <c r="K409" t="b">
        <f t="shared" si="30"/>
        <v>1</v>
      </c>
      <c r="L409">
        <f t="shared" si="31"/>
        <v>0.58529668124358658</v>
      </c>
      <c r="M409">
        <f t="shared" si="32"/>
        <v>1.1705933624871732</v>
      </c>
      <c r="N409">
        <f t="shared" si="33"/>
        <v>2.9119237872815251</v>
      </c>
      <c r="O409" s="21">
        <f t="shared" si="34"/>
        <v>2.7871270535408885</v>
      </c>
    </row>
    <row r="410" spans="1:15" x14ac:dyDescent="0.35">
      <c r="A410" t="s">
        <v>64</v>
      </c>
      <c r="B410">
        <v>12</v>
      </c>
      <c r="C410" t="s">
        <v>65</v>
      </c>
      <c r="D410">
        <v>4</v>
      </c>
      <c r="E410">
        <v>0.86156378747348095</v>
      </c>
      <c r="F410">
        <v>7.4130515811011303E-3</v>
      </c>
      <c r="G410" t="s">
        <v>64</v>
      </c>
      <c r="H410">
        <v>12</v>
      </c>
      <c r="I410">
        <v>4</v>
      </c>
      <c r="J410">
        <v>1.90929451891667E-2</v>
      </c>
      <c r="K410" t="b">
        <f t="shared" si="30"/>
        <v>1</v>
      </c>
      <c r="L410">
        <f t="shared" si="31"/>
        <v>0.88806978424374883</v>
      </c>
      <c r="M410">
        <f t="shared" si="32"/>
        <v>1.7761395684874977</v>
      </c>
      <c r="N410">
        <f t="shared" si="33"/>
        <v>4.4182576330534769</v>
      </c>
      <c r="O410" s="21">
        <f t="shared" si="34"/>
        <v>4.2289037344940423</v>
      </c>
    </row>
    <row r="411" spans="1:15" x14ac:dyDescent="0.35">
      <c r="A411" t="s">
        <v>64</v>
      </c>
      <c r="B411">
        <v>12</v>
      </c>
      <c r="C411" t="s">
        <v>65</v>
      </c>
      <c r="D411">
        <v>5</v>
      </c>
      <c r="E411">
        <v>1.22638585195242</v>
      </c>
      <c r="F411">
        <v>1.20603442060406E-2</v>
      </c>
      <c r="G411" t="s">
        <v>64</v>
      </c>
      <c r="H411">
        <v>12</v>
      </c>
      <c r="I411">
        <v>5</v>
      </c>
      <c r="J411">
        <v>2.9014319633302501E-2</v>
      </c>
      <c r="K411" t="b">
        <f t="shared" si="30"/>
        <v>1</v>
      </c>
      <c r="L411">
        <f t="shared" si="31"/>
        <v>1.2674605157917631</v>
      </c>
      <c r="M411">
        <f t="shared" si="32"/>
        <v>2.5349210315835262</v>
      </c>
      <c r="N411">
        <f t="shared" si="33"/>
        <v>6.3057737104067817</v>
      </c>
      <c r="O411" s="21">
        <f t="shared" si="34"/>
        <v>6.0355262656750623</v>
      </c>
    </row>
    <row r="412" spans="1:15" x14ac:dyDescent="0.35">
      <c r="A412" t="s">
        <v>64</v>
      </c>
      <c r="B412">
        <v>12</v>
      </c>
      <c r="C412" t="s">
        <v>65</v>
      </c>
      <c r="D412">
        <v>6</v>
      </c>
      <c r="E412">
        <v>1.68241343255111</v>
      </c>
      <c r="F412">
        <v>1.8378994234842998E-2</v>
      </c>
      <c r="G412" t="s">
        <v>64</v>
      </c>
      <c r="H412">
        <v>12</v>
      </c>
      <c r="I412">
        <v>6</v>
      </c>
      <c r="J412">
        <v>4.1698362082418297E-2</v>
      </c>
      <c r="K412" t="b">
        <f t="shared" si="30"/>
        <v>1</v>
      </c>
      <c r="L412">
        <f t="shared" si="31"/>
        <v>1.7424907888683712</v>
      </c>
      <c r="M412">
        <f t="shared" si="32"/>
        <v>3.4849815777367423</v>
      </c>
      <c r="N412">
        <f t="shared" si="33"/>
        <v>8.6691084023302043</v>
      </c>
      <c r="O412" s="21">
        <f t="shared" si="34"/>
        <v>8.2975751850874815</v>
      </c>
    </row>
    <row r="413" spans="1:15" x14ac:dyDescent="0.35">
      <c r="A413" t="s">
        <v>64</v>
      </c>
      <c r="B413">
        <v>12</v>
      </c>
      <c r="C413" t="s">
        <v>65</v>
      </c>
      <c r="D413">
        <v>7</v>
      </c>
      <c r="E413">
        <v>2.2524479082994602</v>
      </c>
      <c r="F413">
        <v>2.6771554991045301E-2</v>
      </c>
      <c r="G413" t="s">
        <v>64</v>
      </c>
      <c r="H413">
        <v>12</v>
      </c>
      <c r="I413">
        <v>7</v>
      </c>
      <c r="J413">
        <v>5.7757182371766497E-2</v>
      </c>
      <c r="K413" t="b">
        <f t="shared" si="30"/>
        <v>1</v>
      </c>
      <c r="L413">
        <f t="shared" si="31"/>
        <v>2.336976645662272</v>
      </c>
      <c r="M413">
        <f t="shared" si="32"/>
        <v>4.6739532913245441</v>
      </c>
      <c r="N413">
        <f t="shared" si="33"/>
        <v>11.626749480906826</v>
      </c>
      <c r="O413" s="21">
        <f t="shared" si="34"/>
        <v>11.128460217439391</v>
      </c>
    </row>
    <row r="414" spans="1:15" x14ac:dyDescent="0.35">
      <c r="A414" t="s">
        <v>64</v>
      </c>
      <c r="B414">
        <v>12</v>
      </c>
      <c r="C414" t="s">
        <v>65</v>
      </c>
      <c r="D414">
        <v>8</v>
      </c>
      <c r="E414">
        <v>2.96499100298491</v>
      </c>
      <c r="F414">
        <v>3.7741676709891502E-2</v>
      </c>
      <c r="G414" t="s">
        <v>64</v>
      </c>
      <c r="H414">
        <v>12</v>
      </c>
      <c r="I414">
        <v>8</v>
      </c>
      <c r="J414">
        <v>7.79803011958798E-2</v>
      </c>
      <c r="K414" t="b">
        <f t="shared" si="30"/>
        <v>1</v>
      </c>
      <c r="L414">
        <f t="shared" si="31"/>
        <v>3.0807129808906817</v>
      </c>
      <c r="M414">
        <f t="shared" si="32"/>
        <v>6.1614259617813634</v>
      </c>
      <c r="N414">
        <f t="shared" si="33"/>
        <v>15.32693025318747</v>
      </c>
      <c r="O414" s="21">
        <f t="shared" si="34"/>
        <v>14.670061813765152</v>
      </c>
    </row>
    <row r="415" spans="1:15" x14ac:dyDescent="0.35">
      <c r="A415" t="s">
        <v>64</v>
      </c>
      <c r="B415">
        <v>12</v>
      </c>
      <c r="C415" t="s">
        <v>65</v>
      </c>
      <c r="D415">
        <v>9</v>
      </c>
      <c r="E415">
        <v>3.8556698713416999</v>
      </c>
      <c r="F415">
        <v>5.1919367008834601E-2</v>
      </c>
      <c r="G415" t="s">
        <v>64</v>
      </c>
      <c r="H415">
        <v>12</v>
      </c>
      <c r="I415">
        <v>9</v>
      </c>
      <c r="J415">
        <v>0.10337057254338899</v>
      </c>
      <c r="K415" t="b">
        <f t="shared" si="30"/>
        <v>1</v>
      </c>
      <c r="L415">
        <f t="shared" si="31"/>
        <v>4.0109598108939233</v>
      </c>
      <c r="M415">
        <f t="shared" si="32"/>
        <v>8.0219196217878466</v>
      </c>
      <c r="N415">
        <f t="shared" si="33"/>
        <v>19.955023934795637</v>
      </c>
      <c r="O415" s="21">
        <f t="shared" si="34"/>
        <v>19.099808623304398</v>
      </c>
    </row>
    <row r="416" spans="1:15" x14ac:dyDescent="0.35">
      <c r="A416" t="s">
        <v>64</v>
      </c>
      <c r="B416">
        <v>12</v>
      </c>
      <c r="C416" t="s">
        <v>65</v>
      </c>
      <c r="D416">
        <v>10</v>
      </c>
      <c r="E416">
        <v>4.96901845678771</v>
      </c>
      <c r="F416">
        <v>7.0092566888387497E-2</v>
      </c>
      <c r="G416" t="s">
        <v>64</v>
      </c>
      <c r="H416">
        <v>12</v>
      </c>
      <c r="I416">
        <v>10</v>
      </c>
      <c r="J416">
        <v>0.13519226518351199</v>
      </c>
      <c r="K416" t="b">
        <f t="shared" si="30"/>
        <v>1</v>
      </c>
      <c r="L416">
        <f t="shared" si="31"/>
        <v>5.1743032888596092</v>
      </c>
      <c r="M416">
        <f t="shared" si="32"/>
        <v>10.348606577719218</v>
      </c>
      <c r="N416">
        <f t="shared" si="33"/>
        <v>25.742802432137356</v>
      </c>
      <c r="O416" s="21">
        <f t="shared" si="34"/>
        <v>24.639539470760045</v>
      </c>
    </row>
    <row r="417" spans="1:15" x14ac:dyDescent="0.35">
      <c r="A417" t="s">
        <v>64</v>
      </c>
      <c r="B417">
        <v>12</v>
      </c>
      <c r="C417" t="s">
        <v>65</v>
      </c>
      <c r="D417">
        <v>11</v>
      </c>
      <c r="E417">
        <v>6.3607041885952098</v>
      </c>
      <c r="F417">
        <v>9.3246621133526206E-2</v>
      </c>
      <c r="G417" t="s">
        <v>64</v>
      </c>
      <c r="H417">
        <v>12</v>
      </c>
      <c r="I417">
        <v>11</v>
      </c>
      <c r="J417">
        <v>0.175033072138887</v>
      </c>
      <c r="K417" t="b">
        <f t="shared" si="30"/>
        <v>1</v>
      </c>
      <c r="L417">
        <f t="shared" si="31"/>
        <v>6.6289838818676232</v>
      </c>
      <c r="M417">
        <f t="shared" si="32"/>
        <v>13.257967763735246</v>
      </c>
      <c r="N417">
        <f t="shared" si="33"/>
        <v>32.980019312774246</v>
      </c>
      <c r="O417" s="21">
        <f t="shared" si="34"/>
        <v>31.566589913655349</v>
      </c>
    </row>
    <row r="418" spans="1:15" x14ac:dyDescent="0.35">
      <c r="A418" t="s">
        <v>64</v>
      </c>
      <c r="B418">
        <v>12</v>
      </c>
      <c r="C418" t="s">
        <v>65</v>
      </c>
      <c r="D418">
        <v>12</v>
      </c>
      <c r="E418">
        <v>8.1003113533546092</v>
      </c>
      <c r="F418">
        <v>0.122613616703776</v>
      </c>
      <c r="G418" t="s">
        <v>64</v>
      </c>
      <c r="H418">
        <v>12</v>
      </c>
      <c r="I418">
        <v>12</v>
      </c>
      <c r="J418">
        <v>0.22488278568317899</v>
      </c>
      <c r="K418" t="b">
        <f t="shared" si="30"/>
        <v>1</v>
      </c>
      <c r="L418">
        <f t="shared" si="31"/>
        <v>8.4478077557415645</v>
      </c>
      <c r="M418">
        <f t="shared" si="32"/>
        <v>16.895615511483129</v>
      </c>
      <c r="N418">
        <f t="shared" si="33"/>
        <v>42.02889430717196</v>
      </c>
      <c r="O418" s="21">
        <f t="shared" si="34"/>
        <v>40.227655979721739</v>
      </c>
    </row>
    <row r="419" spans="1:15" x14ac:dyDescent="0.35">
      <c r="A419" t="s">
        <v>64</v>
      </c>
      <c r="B419">
        <v>12</v>
      </c>
      <c r="C419" t="s">
        <v>65</v>
      </c>
      <c r="D419">
        <v>13</v>
      </c>
      <c r="E419">
        <v>10.2748203093038</v>
      </c>
      <c r="F419">
        <v>0.15973405609750099</v>
      </c>
      <c r="G419" t="s">
        <v>64</v>
      </c>
      <c r="H419">
        <v>12</v>
      </c>
      <c r="I419">
        <v>13</v>
      </c>
      <c r="J419">
        <v>0.28723236379920802</v>
      </c>
      <c r="K419" t="b">
        <f t="shared" si="30"/>
        <v>1</v>
      </c>
      <c r="L419">
        <f t="shared" si="31"/>
        <v>10.72178672920051</v>
      </c>
      <c r="M419">
        <f t="shared" si="32"/>
        <v>21.443573458401019</v>
      </c>
      <c r="N419">
        <f t="shared" si="33"/>
        <v>53.342222533335864</v>
      </c>
      <c r="O419" s="21">
        <f t="shared" si="34"/>
        <v>51.056127281907187</v>
      </c>
    </row>
    <row r="420" spans="1:15" x14ac:dyDescent="0.35">
      <c r="A420" t="s">
        <v>64</v>
      </c>
      <c r="B420">
        <v>12</v>
      </c>
      <c r="C420" t="s">
        <v>65</v>
      </c>
      <c r="D420">
        <v>14</v>
      </c>
      <c r="E420">
        <v>12.992956504240301</v>
      </c>
      <c r="F420">
        <v>0.206533949422642</v>
      </c>
      <c r="G420" t="s">
        <v>64</v>
      </c>
      <c r="H420">
        <v>12</v>
      </c>
      <c r="I420">
        <v>14</v>
      </c>
      <c r="J420">
        <v>0.36519822209913</v>
      </c>
      <c r="K420" t="b">
        <f t="shared" si="30"/>
        <v>1</v>
      </c>
      <c r="L420">
        <f t="shared" si="31"/>
        <v>13.564688675762072</v>
      </c>
      <c r="M420">
        <f t="shared" si="32"/>
        <v>27.129377351524145</v>
      </c>
      <c r="N420">
        <f t="shared" si="33"/>
        <v>67.486013312249113</v>
      </c>
      <c r="O420" s="21">
        <f t="shared" si="34"/>
        <v>64.59375559886702</v>
      </c>
    </row>
    <row r="421" spans="1:15" x14ac:dyDescent="0.35">
      <c r="A421" t="s">
        <v>64</v>
      </c>
      <c r="B421">
        <v>12</v>
      </c>
      <c r="C421" t="s">
        <v>65</v>
      </c>
      <c r="D421">
        <v>15</v>
      </c>
      <c r="E421">
        <v>16.329722727272699</v>
      </c>
      <c r="F421">
        <v>0.26517934457632603</v>
      </c>
      <c r="G421" t="s">
        <v>64</v>
      </c>
      <c r="H421">
        <v>12</v>
      </c>
      <c r="I421">
        <v>15</v>
      </c>
      <c r="J421">
        <v>0.46185468702271498</v>
      </c>
      <c r="K421" t="b">
        <f t="shared" si="30"/>
        <v>1</v>
      </c>
      <c r="L421">
        <f t="shared" si="31"/>
        <v>17.056756758871739</v>
      </c>
      <c r="M421">
        <f t="shared" si="32"/>
        <v>34.113513517743478</v>
      </c>
      <c r="N421">
        <f t="shared" si="33"/>
        <v>84.859486362545965</v>
      </c>
      <c r="O421" s="21">
        <f t="shared" si="34"/>
        <v>81.222651232722569</v>
      </c>
    </row>
    <row r="422" spans="1:15" x14ac:dyDescent="0.35">
      <c r="A422" t="s">
        <v>64</v>
      </c>
      <c r="B422">
        <v>12</v>
      </c>
      <c r="C422" t="s">
        <v>65</v>
      </c>
      <c r="D422">
        <v>16</v>
      </c>
      <c r="E422">
        <v>19.804131818181698</v>
      </c>
      <c r="F422">
        <v>0.33586142332994501</v>
      </c>
      <c r="G422" t="s">
        <v>64</v>
      </c>
      <c r="H422">
        <v>12</v>
      </c>
      <c r="I422">
        <v>16</v>
      </c>
      <c r="J422">
        <v>0.57274873495093803</v>
      </c>
      <c r="K422" t="b">
        <f t="shared" si="30"/>
        <v>1</v>
      </c>
      <c r="L422">
        <f t="shared" si="31"/>
        <v>20.712741976462581</v>
      </c>
      <c r="M422">
        <f t="shared" si="32"/>
        <v>41.425483952925163</v>
      </c>
      <c r="N422">
        <f t="shared" si="33"/>
        <v>103.04846754458995</v>
      </c>
      <c r="O422" s="21">
        <f t="shared" si="34"/>
        <v>98.632104649821812</v>
      </c>
    </row>
    <row r="423" spans="1:15" x14ac:dyDescent="0.35">
      <c r="A423" t="s">
        <v>64</v>
      </c>
      <c r="B423">
        <v>12</v>
      </c>
      <c r="C423" t="s">
        <v>65</v>
      </c>
      <c r="D423">
        <v>17</v>
      </c>
      <c r="E423">
        <v>23.2785409090908</v>
      </c>
      <c r="F423">
        <v>0.41821908517550099</v>
      </c>
      <c r="G423" t="s">
        <v>64</v>
      </c>
      <c r="H423">
        <v>12</v>
      </c>
      <c r="I423">
        <v>17</v>
      </c>
      <c r="J423">
        <v>0.69324140594323203</v>
      </c>
      <c r="K423" t="b">
        <f t="shared" si="30"/>
        <v>1</v>
      </c>
      <c r="L423">
        <f t="shared" si="31"/>
        <v>24.390001400209535</v>
      </c>
      <c r="M423">
        <f t="shared" si="32"/>
        <v>48.780002800419069</v>
      </c>
      <c r="N423">
        <f t="shared" si="33"/>
        <v>121.34329054830613</v>
      </c>
      <c r="O423" s="21">
        <f t="shared" si="34"/>
        <v>116.1428638105216</v>
      </c>
    </row>
    <row r="424" spans="1:15" x14ac:dyDescent="0.35">
      <c r="A424" t="s">
        <v>64</v>
      </c>
      <c r="B424">
        <v>12</v>
      </c>
      <c r="C424" t="s">
        <v>65</v>
      </c>
      <c r="D424">
        <v>18</v>
      </c>
      <c r="E424">
        <v>26.752949999999998</v>
      </c>
      <c r="F424">
        <v>0.51190206262023596</v>
      </c>
      <c r="G424" t="s">
        <v>64</v>
      </c>
      <c r="H424">
        <v>12</v>
      </c>
      <c r="I424">
        <v>18</v>
      </c>
      <c r="J424">
        <v>0.820364857452341</v>
      </c>
      <c r="K424" t="b">
        <f t="shared" si="30"/>
        <v>1</v>
      </c>
      <c r="L424">
        <f t="shared" si="31"/>
        <v>28.085216920072575</v>
      </c>
      <c r="M424">
        <f t="shared" si="32"/>
        <v>56.170433840145151</v>
      </c>
      <c r="N424">
        <f t="shared" si="33"/>
        <v>139.72744736354514</v>
      </c>
      <c r="O424" s="21">
        <f t="shared" si="34"/>
        <v>133.73912819082179</v>
      </c>
    </row>
    <row r="425" spans="1:15" x14ac:dyDescent="0.35">
      <c r="A425" t="s">
        <v>64</v>
      </c>
      <c r="B425">
        <v>12</v>
      </c>
      <c r="C425" t="s">
        <v>65</v>
      </c>
      <c r="D425">
        <v>19</v>
      </c>
      <c r="E425">
        <v>30.925692000000002</v>
      </c>
      <c r="F425">
        <v>0.61934350874162902</v>
      </c>
      <c r="G425" t="s">
        <v>64</v>
      </c>
      <c r="H425">
        <v>12</v>
      </c>
      <c r="I425">
        <v>19</v>
      </c>
      <c r="J425">
        <v>0.96161285748692704</v>
      </c>
      <c r="K425" t="b">
        <f t="shared" si="30"/>
        <v>1</v>
      </c>
      <c r="L425">
        <f t="shared" si="31"/>
        <v>32.506648366228561</v>
      </c>
      <c r="M425">
        <f t="shared" si="32"/>
        <v>65.013296732457121</v>
      </c>
      <c r="N425">
        <f t="shared" si="33"/>
        <v>161.72461873745553</v>
      </c>
      <c r="O425" s="21">
        <f t="shared" si="34"/>
        <v>154.79356364870745</v>
      </c>
    </row>
    <row r="426" spans="1:15" x14ac:dyDescent="0.35">
      <c r="A426" t="s">
        <v>64</v>
      </c>
      <c r="B426">
        <v>12</v>
      </c>
      <c r="C426" t="s">
        <v>65</v>
      </c>
      <c r="D426">
        <v>20</v>
      </c>
      <c r="E426">
        <v>35.098433999999997</v>
      </c>
      <c r="F426">
        <v>0.74013066947938</v>
      </c>
      <c r="G426" t="s">
        <v>64</v>
      </c>
      <c r="H426">
        <v>12</v>
      </c>
      <c r="I426">
        <v>20</v>
      </c>
      <c r="J426">
        <v>1.1123042095889799</v>
      </c>
      <c r="K426" t="b">
        <f t="shared" si="30"/>
        <v>1</v>
      </c>
      <c r="L426">
        <f t="shared" si="31"/>
        <v>36.950868879068352</v>
      </c>
      <c r="M426">
        <f t="shared" si="32"/>
        <v>73.901737758136704</v>
      </c>
      <c r="N426">
        <f t="shared" si="33"/>
        <v>183.83516855257886</v>
      </c>
      <c r="O426" s="21">
        <f t="shared" si="34"/>
        <v>175.95651847175407</v>
      </c>
    </row>
    <row r="427" spans="1:15" x14ac:dyDescent="0.35">
      <c r="A427" t="s">
        <v>64</v>
      </c>
      <c r="B427">
        <v>12</v>
      </c>
      <c r="C427" t="s">
        <v>65</v>
      </c>
      <c r="D427">
        <v>21</v>
      </c>
      <c r="E427">
        <v>39.271175999999997</v>
      </c>
      <c r="F427">
        <v>0.87386317339499897</v>
      </c>
      <c r="G427" t="s">
        <v>64</v>
      </c>
      <c r="H427">
        <v>12</v>
      </c>
      <c r="I427">
        <v>21</v>
      </c>
      <c r="J427">
        <v>1.26946710035252</v>
      </c>
      <c r="K427" t="b">
        <f t="shared" si="30"/>
        <v>1</v>
      </c>
      <c r="L427">
        <f t="shared" si="31"/>
        <v>41.41450627374752</v>
      </c>
      <c r="M427">
        <f t="shared" si="32"/>
        <v>82.82901254749504</v>
      </c>
      <c r="N427">
        <f t="shared" si="33"/>
        <v>206.04231976988814</v>
      </c>
      <c r="O427" s="21">
        <f t="shared" si="34"/>
        <v>197.21193463689295</v>
      </c>
    </row>
    <row r="428" spans="1:15" x14ac:dyDescent="0.35">
      <c r="A428" t="s">
        <v>64</v>
      </c>
      <c r="B428">
        <v>12</v>
      </c>
      <c r="C428" t="s">
        <v>65</v>
      </c>
      <c r="D428">
        <v>22</v>
      </c>
      <c r="E428">
        <v>43.443917999999996</v>
      </c>
      <c r="F428">
        <v>1.0201526601931501</v>
      </c>
      <c r="G428" t="s">
        <v>64</v>
      </c>
      <c r="H428">
        <v>12</v>
      </c>
      <c r="I428">
        <v>22</v>
      </c>
      <c r="J428">
        <v>1.4311696379997301</v>
      </c>
      <c r="K428" t="b">
        <f t="shared" si="30"/>
        <v>1</v>
      </c>
      <c r="L428">
        <f t="shared" si="31"/>
        <v>45.895240298192874</v>
      </c>
      <c r="M428">
        <f t="shared" si="32"/>
        <v>91.790480596385748</v>
      </c>
      <c r="N428">
        <f t="shared" si="33"/>
        <v>228.33452884673071</v>
      </c>
      <c r="O428" s="21">
        <f t="shared" si="34"/>
        <v>218.54876332472799</v>
      </c>
    </row>
    <row r="429" spans="1:15" x14ac:dyDescent="0.35">
      <c r="A429" t="s">
        <v>64</v>
      </c>
      <c r="B429">
        <v>12</v>
      </c>
      <c r="C429" t="s">
        <v>65</v>
      </c>
      <c r="D429">
        <v>23</v>
      </c>
      <c r="E429">
        <v>47.616660000000003</v>
      </c>
      <c r="F429">
        <v>1.1786224203873501</v>
      </c>
      <c r="G429" t="s">
        <v>64</v>
      </c>
      <c r="H429">
        <v>12</v>
      </c>
      <c r="I429">
        <v>23</v>
      </c>
      <c r="J429">
        <v>1.5961243529365401</v>
      </c>
      <c r="K429" t="b">
        <f t="shared" si="30"/>
        <v>1</v>
      </c>
      <c r="L429">
        <f t="shared" si="31"/>
        <v>50.391406773323894</v>
      </c>
      <c r="M429">
        <f t="shared" si="32"/>
        <v>100.78281354664779</v>
      </c>
      <c r="N429">
        <f t="shared" si="33"/>
        <v>250.70351628519347</v>
      </c>
      <c r="O429" s="21">
        <f t="shared" si="34"/>
        <v>239.95907987297093</v>
      </c>
    </row>
    <row r="430" spans="1:15" x14ac:dyDescent="0.35">
      <c r="A430" t="s">
        <v>64</v>
      </c>
      <c r="B430">
        <v>12</v>
      </c>
      <c r="C430" t="s">
        <v>65</v>
      </c>
      <c r="D430">
        <v>24</v>
      </c>
      <c r="E430">
        <v>52.679969999999997</v>
      </c>
      <c r="F430">
        <v>1.35244327777573</v>
      </c>
      <c r="G430" t="s">
        <v>64</v>
      </c>
      <c r="H430">
        <v>12</v>
      </c>
      <c r="I430">
        <v>24</v>
      </c>
      <c r="J430">
        <v>1.77548906601948</v>
      </c>
      <c r="K430" t="b">
        <f t="shared" si="30"/>
        <v>1</v>
      </c>
      <c r="L430">
        <f t="shared" si="31"/>
        <v>55.807902343795206</v>
      </c>
      <c r="M430">
        <f t="shared" si="32"/>
        <v>111.61580468759041</v>
      </c>
      <c r="N430">
        <f t="shared" si="33"/>
        <v>277.6512554417672</v>
      </c>
      <c r="O430" s="21">
        <f t="shared" si="34"/>
        <v>265.75191592283431</v>
      </c>
    </row>
    <row r="431" spans="1:15" x14ac:dyDescent="0.35">
      <c r="A431" t="s">
        <v>64</v>
      </c>
      <c r="B431">
        <v>12</v>
      </c>
      <c r="C431" t="s">
        <v>65</v>
      </c>
      <c r="D431">
        <v>25</v>
      </c>
      <c r="E431">
        <v>57.7122374277007</v>
      </c>
      <c r="F431">
        <v>1.56897156725524</v>
      </c>
      <c r="G431" t="s">
        <v>64</v>
      </c>
      <c r="H431">
        <v>12</v>
      </c>
      <c r="I431">
        <v>25</v>
      </c>
      <c r="J431">
        <v>1.9639262646323601</v>
      </c>
      <c r="K431" t="b">
        <f t="shared" si="30"/>
        <v>1</v>
      </c>
      <c r="L431">
        <f t="shared" si="31"/>
        <v>61.245135259588302</v>
      </c>
      <c r="M431">
        <f t="shared" si="32"/>
        <v>122.4902705191766</v>
      </c>
      <c r="N431">
        <f t="shared" si="33"/>
        <v>304.70216547058857</v>
      </c>
      <c r="O431" s="21">
        <f t="shared" si="34"/>
        <v>291.6435012361348</v>
      </c>
    </row>
    <row r="432" spans="1:15" x14ac:dyDescent="0.35">
      <c r="A432" t="s">
        <v>64</v>
      </c>
      <c r="B432">
        <v>12</v>
      </c>
      <c r="C432" t="s">
        <v>65</v>
      </c>
      <c r="D432">
        <v>26</v>
      </c>
      <c r="E432">
        <v>62.440869459989401</v>
      </c>
      <c r="F432">
        <v>2.0706796556783602</v>
      </c>
      <c r="G432" t="s">
        <v>64</v>
      </c>
      <c r="H432">
        <v>12</v>
      </c>
      <c r="I432">
        <v>26</v>
      </c>
      <c r="J432">
        <v>2.1544004729118398</v>
      </c>
      <c r="K432" t="b">
        <f t="shared" si="30"/>
        <v>1</v>
      </c>
      <c r="L432">
        <f t="shared" si="31"/>
        <v>66.665949588579608</v>
      </c>
      <c r="M432">
        <f t="shared" si="32"/>
        <v>133.33189917715922</v>
      </c>
      <c r="N432">
        <f t="shared" si="33"/>
        <v>331.6713909879582</v>
      </c>
      <c r="O432" s="21">
        <f t="shared" si="34"/>
        <v>317.45690280276006</v>
      </c>
    </row>
    <row r="433" spans="1:15" x14ac:dyDescent="0.35">
      <c r="A433" t="s">
        <v>64</v>
      </c>
      <c r="B433">
        <v>12</v>
      </c>
      <c r="C433" t="s">
        <v>65</v>
      </c>
      <c r="D433">
        <v>27</v>
      </c>
      <c r="E433">
        <v>67.000238823452804</v>
      </c>
      <c r="F433">
        <v>2.72359886618966</v>
      </c>
      <c r="G433" t="s">
        <v>64</v>
      </c>
      <c r="H433">
        <v>12</v>
      </c>
      <c r="I433">
        <v>27</v>
      </c>
      <c r="J433">
        <v>2.3442082580306698</v>
      </c>
      <c r="K433" t="b">
        <f t="shared" si="30"/>
        <v>1</v>
      </c>
      <c r="L433">
        <f t="shared" si="31"/>
        <v>72.068045947673141</v>
      </c>
      <c r="M433">
        <f t="shared" si="32"/>
        <v>144.13609189534628</v>
      </c>
      <c r="N433">
        <f t="shared" si="33"/>
        <v>358.54749227698079</v>
      </c>
      <c r="O433" s="21">
        <f t="shared" si="34"/>
        <v>343.1811711793959</v>
      </c>
    </row>
    <row r="434" spans="1:15" x14ac:dyDescent="0.35">
      <c r="A434" t="s">
        <v>64</v>
      </c>
      <c r="B434">
        <v>12</v>
      </c>
      <c r="C434" t="s">
        <v>65</v>
      </c>
      <c r="D434">
        <v>28</v>
      </c>
      <c r="E434">
        <v>71.435282323269902</v>
      </c>
      <c r="F434">
        <v>3.4803302218692398</v>
      </c>
      <c r="G434" t="s">
        <v>64</v>
      </c>
      <c r="H434">
        <v>12</v>
      </c>
      <c r="I434">
        <v>28</v>
      </c>
      <c r="J434">
        <v>2.5321487325115499</v>
      </c>
      <c r="K434" t="b">
        <f t="shared" si="30"/>
        <v>1</v>
      </c>
      <c r="L434">
        <f t="shared" si="31"/>
        <v>77.447761277650685</v>
      </c>
      <c r="M434">
        <f t="shared" si="32"/>
        <v>154.89552255530137</v>
      </c>
      <c r="N434">
        <f t="shared" si="33"/>
        <v>385.31224516244117</v>
      </c>
      <c r="O434" s="21">
        <f t="shared" si="34"/>
        <v>368.79886322690805</v>
      </c>
    </row>
    <row r="435" spans="1:15" x14ac:dyDescent="0.35">
      <c r="A435" t="s">
        <v>64</v>
      </c>
      <c r="B435">
        <v>12</v>
      </c>
      <c r="C435" t="s">
        <v>65</v>
      </c>
      <c r="D435">
        <v>29</v>
      </c>
      <c r="E435">
        <v>76.380981323230401</v>
      </c>
      <c r="F435">
        <v>4.2518187405417303</v>
      </c>
      <c r="G435" t="s">
        <v>64</v>
      </c>
      <c r="H435">
        <v>12</v>
      </c>
      <c r="I435">
        <v>29</v>
      </c>
      <c r="J435">
        <v>2.7259551514292899</v>
      </c>
      <c r="K435" t="b">
        <f t="shared" si="30"/>
        <v>1</v>
      </c>
      <c r="L435">
        <f t="shared" si="31"/>
        <v>83.358755215201427</v>
      </c>
      <c r="M435">
        <f t="shared" si="32"/>
        <v>166.71751043040285</v>
      </c>
      <c r="N435">
        <f t="shared" si="33"/>
        <v>414.72017520000708</v>
      </c>
      <c r="O435" s="21">
        <f t="shared" si="34"/>
        <v>396.94645340572112</v>
      </c>
    </row>
    <row r="436" spans="1:15" x14ac:dyDescent="0.35">
      <c r="A436" t="s">
        <v>64</v>
      </c>
      <c r="B436">
        <v>12</v>
      </c>
      <c r="C436" t="s">
        <v>65</v>
      </c>
      <c r="D436">
        <v>30</v>
      </c>
      <c r="E436">
        <v>81.270056957035294</v>
      </c>
      <c r="F436">
        <v>5.0631727276814402</v>
      </c>
      <c r="G436" t="s">
        <v>64</v>
      </c>
      <c r="H436">
        <v>12</v>
      </c>
      <c r="I436">
        <v>30</v>
      </c>
      <c r="J436">
        <v>2.9228617123746199</v>
      </c>
      <c r="K436" t="b">
        <f t="shared" si="30"/>
        <v>1</v>
      </c>
      <c r="L436">
        <f t="shared" si="31"/>
        <v>89.256091397091367</v>
      </c>
      <c r="M436">
        <f t="shared" si="32"/>
        <v>178.51218279418273</v>
      </c>
      <c r="N436">
        <f t="shared" si="33"/>
        <v>444.06015620443463</v>
      </c>
      <c r="O436" s="21">
        <f t="shared" si="34"/>
        <v>425.02900665281607</v>
      </c>
    </row>
    <row r="437" spans="1:15" x14ac:dyDescent="0.35">
      <c r="A437" t="s">
        <v>64</v>
      </c>
      <c r="B437">
        <v>12</v>
      </c>
      <c r="C437" t="s">
        <v>65</v>
      </c>
      <c r="D437">
        <v>31</v>
      </c>
      <c r="E437">
        <v>86.087807240094605</v>
      </c>
      <c r="F437">
        <v>5.9257934949940498</v>
      </c>
      <c r="G437" t="s">
        <v>64</v>
      </c>
      <c r="H437">
        <v>12</v>
      </c>
      <c r="I437">
        <v>31</v>
      </c>
      <c r="J437">
        <v>3.12092409806632</v>
      </c>
      <c r="K437" t="b">
        <f t="shared" si="30"/>
        <v>1</v>
      </c>
      <c r="L437">
        <f t="shared" si="31"/>
        <v>95.134524833154984</v>
      </c>
      <c r="M437">
        <f t="shared" si="32"/>
        <v>190.26904966630997</v>
      </c>
      <c r="N437">
        <f t="shared" si="33"/>
        <v>473.30609369728847</v>
      </c>
      <c r="O437" s="21">
        <f t="shared" si="34"/>
        <v>453.02154682454756</v>
      </c>
    </row>
    <row r="438" spans="1:15" x14ac:dyDescent="0.35">
      <c r="A438" t="s">
        <v>64</v>
      </c>
      <c r="B438">
        <v>12</v>
      </c>
      <c r="C438" t="s">
        <v>65</v>
      </c>
      <c r="D438">
        <v>32</v>
      </c>
      <c r="E438">
        <v>90.826305003023606</v>
      </c>
      <c r="F438">
        <v>6.84444342350913</v>
      </c>
      <c r="G438" t="s">
        <v>64</v>
      </c>
      <c r="H438">
        <v>12</v>
      </c>
      <c r="I438">
        <v>32</v>
      </c>
      <c r="J438">
        <v>3.3187798623925802</v>
      </c>
      <c r="K438" t="b">
        <f t="shared" si="30"/>
        <v>1</v>
      </c>
      <c r="L438">
        <f t="shared" si="31"/>
        <v>100.98952828892531</v>
      </c>
      <c r="M438">
        <f t="shared" si="32"/>
        <v>201.97905657785063</v>
      </c>
      <c r="N438">
        <f t="shared" si="33"/>
        <v>502.4354641240065</v>
      </c>
      <c r="O438" s="21">
        <f t="shared" si="34"/>
        <v>480.90251566154916</v>
      </c>
    </row>
    <row r="439" spans="1:15" x14ac:dyDescent="0.35">
      <c r="A439" t="s">
        <v>64</v>
      </c>
      <c r="B439">
        <v>12</v>
      </c>
      <c r="C439" t="s">
        <v>65</v>
      </c>
      <c r="D439">
        <v>33</v>
      </c>
      <c r="E439">
        <v>95.480918738635395</v>
      </c>
      <c r="F439">
        <v>7.8206830122438102</v>
      </c>
      <c r="G439" t="s">
        <v>64</v>
      </c>
      <c r="H439">
        <v>12</v>
      </c>
      <c r="I439">
        <v>33</v>
      </c>
      <c r="J439">
        <v>3.5154668832031999</v>
      </c>
      <c r="K439" t="b">
        <f t="shared" si="30"/>
        <v>1</v>
      </c>
      <c r="L439">
        <f t="shared" si="31"/>
        <v>106.8170686340824</v>
      </c>
      <c r="M439">
        <f t="shared" si="32"/>
        <v>213.63413726816481</v>
      </c>
      <c r="N439">
        <f t="shared" si="33"/>
        <v>531.42820215961387</v>
      </c>
      <c r="O439" s="21">
        <f t="shared" si="34"/>
        <v>508.65270778134482</v>
      </c>
    </row>
    <row r="440" spans="1:15" x14ac:dyDescent="0.35">
      <c r="A440" t="s">
        <v>64</v>
      </c>
      <c r="B440">
        <v>12</v>
      </c>
      <c r="C440" t="s">
        <v>65</v>
      </c>
      <c r="D440">
        <v>34</v>
      </c>
      <c r="E440">
        <v>100.48262262896201</v>
      </c>
      <c r="F440">
        <v>8.7500630515464</v>
      </c>
      <c r="G440" t="s">
        <v>64</v>
      </c>
      <c r="H440">
        <v>12</v>
      </c>
      <c r="I440">
        <v>34</v>
      </c>
      <c r="J440">
        <v>3.7161613058540199</v>
      </c>
      <c r="K440" t="b">
        <f t="shared" si="30"/>
        <v>1</v>
      </c>
      <c r="L440">
        <f t="shared" si="31"/>
        <v>112.94884698636243</v>
      </c>
      <c r="M440">
        <f t="shared" si="32"/>
        <v>225.89769397272485</v>
      </c>
      <c r="N440">
        <f t="shared" si="33"/>
        <v>561.93456212120611</v>
      </c>
      <c r="O440" s="21">
        <f t="shared" si="34"/>
        <v>537.85165231601161</v>
      </c>
    </row>
    <row r="441" spans="1:15" x14ac:dyDescent="0.35">
      <c r="A441" t="s">
        <v>64</v>
      </c>
      <c r="B441">
        <v>12</v>
      </c>
      <c r="C441" t="s">
        <v>65</v>
      </c>
      <c r="D441">
        <v>35</v>
      </c>
      <c r="E441">
        <v>105.452360651597</v>
      </c>
      <c r="F441">
        <v>9.6914614475839898</v>
      </c>
      <c r="G441" t="s">
        <v>64</v>
      </c>
      <c r="H441">
        <v>12</v>
      </c>
      <c r="I441">
        <v>35</v>
      </c>
      <c r="J441">
        <v>3.91903392562498</v>
      </c>
      <c r="K441" t="b">
        <f t="shared" si="30"/>
        <v>1</v>
      </c>
      <c r="L441">
        <f t="shared" si="31"/>
        <v>119.06285602480597</v>
      </c>
      <c r="M441">
        <f t="shared" si="32"/>
        <v>238.12571204961193</v>
      </c>
      <c r="N441">
        <f t="shared" si="33"/>
        <v>592.35251753634805</v>
      </c>
      <c r="O441" s="21">
        <f t="shared" si="34"/>
        <v>566.96598107050465</v>
      </c>
    </row>
    <row r="442" spans="1:15" x14ac:dyDescent="0.35">
      <c r="A442" t="s">
        <v>64</v>
      </c>
      <c r="B442">
        <v>12</v>
      </c>
      <c r="C442" t="s">
        <v>65</v>
      </c>
      <c r="D442">
        <v>36</v>
      </c>
      <c r="E442">
        <v>110.362259384339</v>
      </c>
      <c r="F442">
        <v>10.6693856362823</v>
      </c>
      <c r="G442" t="s">
        <v>64</v>
      </c>
      <c r="H442">
        <v>12</v>
      </c>
      <c r="I442">
        <v>36</v>
      </c>
      <c r="J442">
        <v>4.1225631795013502</v>
      </c>
      <c r="K442" t="b">
        <f t="shared" si="30"/>
        <v>1</v>
      </c>
      <c r="L442">
        <f t="shared" si="31"/>
        <v>125.15420820012265</v>
      </c>
      <c r="M442">
        <f t="shared" si="32"/>
        <v>250.30841640024531</v>
      </c>
      <c r="N442">
        <f t="shared" si="33"/>
        <v>622.65775223941614</v>
      </c>
      <c r="O442" s="21">
        <f t="shared" si="34"/>
        <v>595.97242000058407</v>
      </c>
    </row>
    <row r="443" spans="1:15" x14ac:dyDescent="0.35">
      <c r="A443" t="s">
        <v>64</v>
      </c>
      <c r="B443">
        <v>12</v>
      </c>
      <c r="C443" t="s">
        <v>65</v>
      </c>
      <c r="D443">
        <v>37</v>
      </c>
      <c r="E443">
        <v>115.199845231065</v>
      </c>
      <c r="F443">
        <v>11.693346227167</v>
      </c>
      <c r="G443" t="s">
        <v>64</v>
      </c>
      <c r="H443">
        <v>12</v>
      </c>
      <c r="I443">
        <v>37</v>
      </c>
      <c r="J443">
        <v>4.3256056543400501</v>
      </c>
      <c r="K443" t="b">
        <f t="shared" si="30"/>
        <v>1</v>
      </c>
      <c r="L443">
        <f t="shared" si="31"/>
        <v>131.21879711257205</v>
      </c>
      <c r="M443">
        <f t="shared" si="32"/>
        <v>262.4375942251441</v>
      </c>
      <c r="N443">
        <f t="shared" si="33"/>
        <v>652.82983638095538</v>
      </c>
      <c r="O443" s="21">
        <f t="shared" si="34"/>
        <v>624.85141482177164</v>
      </c>
    </row>
    <row r="444" spans="1:15" x14ac:dyDescent="0.35">
      <c r="A444" t="s">
        <v>64</v>
      </c>
      <c r="B444">
        <v>12</v>
      </c>
      <c r="C444" t="s">
        <v>65</v>
      </c>
      <c r="D444">
        <v>38</v>
      </c>
      <c r="E444">
        <v>119.959291828975</v>
      </c>
      <c r="F444">
        <v>12.7664218970185</v>
      </c>
      <c r="G444" t="s">
        <v>64</v>
      </c>
      <c r="H444">
        <v>12</v>
      </c>
      <c r="I444">
        <v>38</v>
      </c>
      <c r="J444">
        <v>4.5273343768116501</v>
      </c>
      <c r="K444" t="b">
        <f t="shared" si="30"/>
        <v>1</v>
      </c>
      <c r="L444">
        <f t="shared" si="31"/>
        <v>137.25304810280514</v>
      </c>
      <c r="M444">
        <f t="shared" si="32"/>
        <v>274.50609620561028</v>
      </c>
      <c r="N444">
        <f t="shared" si="33"/>
        <v>682.85098558609513</v>
      </c>
      <c r="O444" s="21">
        <f t="shared" si="34"/>
        <v>653.58594334669112</v>
      </c>
    </row>
    <row r="445" spans="1:15" x14ac:dyDescent="0.35">
      <c r="A445" t="s">
        <v>64</v>
      </c>
      <c r="B445">
        <v>12</v>
      </c>
      <c r="C445" t="s">
        <v>65</v>
      </c>
      <c r="D445">
        <v>39</v>
      </c>
      <c r="E445">
        <v>124.88650164377199</v>
      </c>
      <c r="F445">
        <v>13.7564536405058</v>
      </c>
      <c r="G445" t="s">
        <v>64</v>
      </c>
      <c r="H445">
        <v>12</v>
      </c>
      <c r="I445">
        <v>39</v>
      </c>
      <c r="J445">
        <v>4.7305204968597803</v>
      </c>
      <c r="K445" t="b">
        <f t="shared" si="30"/>
        <v>1</v>
      </c>
      <c r="L445">
        <f t="shared" si="31"/>
        <v>143.37347578113759</v>
      </c>
      <c r="M445">
        <f t="shared" si="32"/>
        <v>286.74695156227517</v>
      </c>
      <c r="N445">
        <f t="shared" si="33"/>
        <v>713.30087453302281</v>
      </c>
      <c r="O445" s="21">
        <f t="shared" si="34"/>
        <v>682.73083705303611</v>
      </c>
    </row>
    <row r="446" spans="1:15" x14ac:dyDescent="0.35">
      <c r="A446" t="s">
        <v>64</v>
      </c>
      <c r="B446">
        <v>12</v>
      </c>
      <c r="C446" t="s">
        <v>65</v>
      </c>
      <c r="D446">
        <v>40</v>
      </c>
      <c r="E446">
        <v>129.79854610822699</v>
      </c>
      <c r="F446">
        <v>14.7413484547736</v>
      </c>
      <c r="G446" t="s">
        <v>64</v>
      </c>
      <c r="H446">
        <v>12</v>
      </c>
      <c r="I446">
        <v>40</v>
      </c>
      <c r="J446">
        <v>4.9344486483266596</v>
      </c>
      <c r="K446" t="b">
        <f t="shared" si="30"/>
        <v>1</v>
      </c>
      <c r="L446">
        <f t="shared" si="31"/>
        <v>149.47434321132724</v>
      </c>
      <c r="M446">
        <f t="shared" si="32"/>
        <v>298.94868642265448</v>
      </c>
      <c r="N446">
        <f t="shared" si="33"/>
        <v>743.65344881257329</v>
      </c>
      <c r="O446" s="21">
        <f t="shared" si="34"/>
        <v>711.78258672060588</v>
      </c>
    </row>
    <row r="447" spans="1:15" x14ac:dyDescent="0.35">
      <c r="A447" t="s">
        <v>64</v>
      </c>
      <c r="B447">
        <v>12</v>
      </c>
      <c r="C447" t="s">
        <v>65</v>
      </c>
      <c r="D447">
        <v>41</v>
      </c>
      <c r="E447">
        <v>134.66172566792801</v>
      </c>
      <c r="F447">
        <v>15.751626014796701</v>
      </c>
      <c r="G447" t="s">
        <v>64</v>
      </c>
      <c r="H447">
        <v>12</v>
      </c>
      <c r="I447">
        <v>41</v>
      </c>
      <c r="J447">
        <v>5.1382154504636102</v>
      </c>
      <c r="K447" t="b">
        <f t="shared" si="30"/>
        <v>1</v>
      </c>
      <c r="L447">
        <f t="shared" si="31"/>
        <v>155.55156713318831</v>
      </c>
      <c r="M447">
        <f t="shared" si="32"/>
        <v>311.10313426637663</v>
      </c>
      <c r="N447">
        <f t="shared" si="33"/>
        <v>773.88839369745426</v>
      </c>
      <c r="O447" s="21">
        <f t="shared" si="34"/>
        <v>740.72174825327772</v>
      </c>
    </row>
    <row r="448" spans="1:15" x14ac:dyDescent="0.35">
      <c r="A448" t="s">
        <v>64</v>
      </c>
      <c r="B448">
        <v>12</v>
      </c>
      <c r="C448" t="s">
        <v>65</v>
      </c>
      <c r="D448">
        <v>42</v>
      </c>
      <c r="E448">
        <v>139.462223173631</v>
      </c>
      <c r="F448">
        <v>16.798505395286298</v>
      </c>
      <c r="G448" t="s">
        <v>64</v>
      </c>
      <c r="H448">
        <v>12</v>
      </c>
      <c r="I448">
        <v>42</v>
      </c>
      <c r="J448">
        <v>5.34105467851965</v>
      </c>
      <c r="K448" t="b">
        <f t="shared" si="30"/>
        <v>1</v>
      </c>
      <c r="L448">
        <f t="shared" si="31"/>
        <v>161.60178324743694</v>
      </c>
      <c r="M448">
        <f t="shared" si="32"/>
        <v>323.20356649487388</v>
      </c>
      <c r="N448">
        <f t="shared" si="33"/>
        <v>803.98897138028326</v>
      </c>
      <c r="O448" s="21">
        <f t="shared" si="34"/>
        <v>769.53230117827115</v>
      </c>
    </row>
    <row r="449" spans="1:15" x14ac:dyDescent="0.35">
      <c r="A449" t="s">
        <v>64</v>
      </c>
      <c r="B449">
        <v>12</v>
      </c>
      <c r="C449" t="s">
        <v>65</v>
      </c>
      <c r="D449">
        <v>43</v>
      </c>
      <c r="E449">
        <v>144.194249474022</v>
      </c>
      <c r="F449">
        <v>17.8854568031777</v>
      </c>
      <c r="G449" t="s">
        <v>64</v>
      </c>
      <c r="H449">
        <v>12</v>
      </c>
      <c r="I449">
        <v>43</v>
      </c>
      <c r="J449">
        <v>5.5423872237716001</v>
      </c>
      <c r="K449" t="b">
        <f t="shared" si="30"/>
        <v>1</v>
      </c>
      <c r="L449">
        <f t="shared" si="31"/>
        <v>167.62209350097132</v>
      </c>
      <c r="M449">
        <f t="shared" si="32"/>
        <v>335.24418700194263</v>
      </c>
      <c r="N449">
        <f t="shared" si="33"/>
        <v>833.94076368642436</v>
      </c>
      <c r="O449" s="21">
        <f t="shared" si="34"/>
        <v>798.20044524272055</v>
      </c>
    </row>
    <row r="450" spans="1:15" x14ac:dyDescent="0.35">
      <c r="A450" t="s">
        <v>64</v>
      </c>
      <c r="B450">
        <v>12</v>
      </c>
      <c r="C450" t="s">
        <v>65</v>
      </c>
      <c r="D450">
        <v>44</v>
      </c>
      <c r="E450">
        <v>148.94431388794999</v>
      </c>
      <c r="F450">
        <v>18.8619546755491</v>
      </c>
      <c r="G450" t="s">
        <v>64</v>
      </c>
      <c r="H450">
        <v>12</v>
      </c>
      <c r="I450">
        <v>44</v>
      </c>
      <c r="J450">
        <v>5.7429964429607097</v>
      </c>
      <c r="K450" t="b">
        <f t="shared" ref="K450:K513" si="35">H450=B450</f>
        <v>1</v>
      </c>
      <c r="L450">
        <f t="shared" ref="L450:L513" si="36">E450+F450+J450</f>
        <v>173.54926500645979</v>
      </c>
      <c r="M450">
        <f t="shared" ref="M450:M513" si="37">L450*2</f>
        <v>347.09853001291958</v>
      </c>
      <c r="N450">
        <f t="shared" ref="N450:N506" si="38">M450/(1-0.598)</f>
        <v>863.42917913661586</v>
      </c>
      <c r="O450" s="21">
        <f t="shared" ref="O450:O506" si="39">M450/0.42</f>
        <v>826.42507145933234</v>
      </c>
    </row>
    <row r="451" spans="1:15" x14ac:dyDescent="0.35">
      <c r="A451" t="s">
        <v>64</v>
      </c>
      <c r="B451">
        <v>12</v>
      </c>
      <c r="C451" t="s">
        <v>65</v>
      </c>
      <c r="D451">
        <v>45</v>
      </c>
      <c r="E451">
        <v>153.69510188118301</v>
      </c>
      <c r="F451">
        <v>19.819682161453098</v>
      </c>
      <c r="G451" t="s">
        <v>64</v>
      </c>
      <c r="H451">
        <v>12</v>
      </c>
      <c r="I451">
        <v>45</v>
      </c>
      <c r="J451">
        <v>5.9431359706408999</v>
      </c>
      <c r="K451" t="b">
        <f t="shared" si="35"/>
        <v>1</v>
      </c>
      <c r="L451">
        <f t="shared" si="36"/>
        <v>179.457920013277</v>
      </c>
      <c r="M451">
        <f t="shared" si="37"/>
        <v>358.91584002655401</v>
      </c>
      <c r="N451">
        <f t="shared" si="38"/>
        <v>892.82547270287057</v>
      </c>
      <c r="O451" s="21">
        <f t="shared" si="39"/>
        <v>854.56152387274767</v>
      </c>
    </row>
    <row r="452" spans="1:15" x14ac:dyDescent="0.35">
      <c r="A452" t="s">
        <v>64</v>
      </c>
      <c r="B452">
        <v>12</v>
      </c>
      <c r="C452" t="s">
        <v>65</v>
      </c>
      <c r="D452">
        <v>46</v>
      </c>
      <c r="E452">
        <v>158.40930177672601</v>
      </c>
      <c r="F452">
        <v>20.793023251850101</v>
      </c>
      <c r="G452" t="s">
        <v>64</v>
      </c>
      <c r="H452">
        <v>12</v>
      </c>
      <c r="I452">
        <v>46</v>
      </c>
      <c r="J452">
        <v>6.1424613929524101</v>
      </c>
      <c r="K452" t="b">
        <f t="shared" si="35"/>
        <v>1</v>
      </c>
      <c r="L452">
        <f t="shared" si="36"/>
        <v>185.34478642152854</v>
      </c>
      <c r="M452">
        <f t="shared" si="37"/>
        <v>370.68957284305708</v>
      </c>
      <c r="N452">
        <f t="shared" si="38"/>
        <v>922.1133652812365</v>
      </c>
      <c r="O452" s="21">
        <f t="shared" si="39"/>
        <v>882.59422105489784</v>
      </c>
    </row>
    <row r="453" spans="1:15" x14ac:dyDescent="0.35">
      <c r="A453" t="s">
        <v>64</v>
      </c>
      <c r="B453">
        <v>12</v>
      </c>
      <c r="C453" t="s">
        <v>65</v>
      </c>
      <c r="D453">
        <v>47</v>
      </c>
      <c r="E453">
        <v>163.07251008133699</v>
      </c>
      <c r="F453">
        <v>21.7941667228638</v>
      </c>
      <c r="G453" t="s">
        <v>64</v>
      </c>
      <c r="H453">
        <v>12</v>
      </c>
      <c r="I453">
        <v>47</v>
      </c>
      <c r="J453">
        <v>6.3405571494761599</v>
      </c>
      <c r="K453" t="b">
        <f t="shared" si="35"/>
        <v>1</v>
      </c>
      <c r="L453">
        <f t="shared" si="36"/>
        <v>191.20723395367693</v>
      </c>
      <c r="M453">
        <f t="shared" si="37"/>
        <v>382.41446790735387</v>
      </c>
      <c r="N453">
        <f t="shared" si="38"/>
        <v>951.27977091381558</v>
      </c>
      <c r="O453" s="21">
        <f t="shared" si="39"/>
        <v>910.51063787465205</v>
      </c>
    </row>
    <row r="454" spans="1:15" x14ac:dyDescent="0.35">
      <c r="A454" t="s">
        <v>64</v>
      </c>
      <c r="B454">
        <v>12</v>
      </c>
      <c r="C454" t="s">
        <v>65</v>
      </c>
      <c r="D454">
        <v>48</v>
      </c>
      <c r="E454">
        <v>167.67913239562901</v>
      </c>
      <c r="F454">
        <v>22.826808778468799</v>
      </c>
      <c r="G454" t="s">
        <v>64</v>
      </c>
      <c r="H454">
        <v>12</v>
      </c>
      <c r="I454">
        <v>48</v>
      </c>
      <c r="J454">
        <v>6.5370773878748398</v>
      </c>
      <c r="K454" t="b">
        <f t="shared" si="35"/>
        <v>1</v>
      </c>
      <c r="L454">
        <f t="shared" si="36"/>
        <v>197.04301856197264</v>
      </c>
      <c r="M454">
        <f t="shared" si="37"/>
        <v>394.08603712394529</v>
      </c>
      <c r="N454">
        <f t="shared" si="38"/>
        <v>980.3135251839434</v>
      </c>
      <c r="O454" s="21">
        <f t="shared" si="39"/>
        <v>938.30008839034599</v>
      </c>
    </row>
    <row r="455" spans="1:15" x14ac:dyDescent="0.35">
      <c r="A455" t="s">
        <v>64</v>
      </c>
      <c r="B455">
        <v>12</v>
      </c>
      <c r="C455" t="s">
        <v>65</v>
      </c>
      <c r="D455">
        <v>49</v>
      </c>
      <c r="E455">
        <v>172.11418414736301</v>
      </c>
      <c r="F455">
        <v>23.754415885989498</v>
      </c>
      <c r="G455" t="s">
        <v>64</v>
      </c>
      <c r="H455">
        <v>12</v>
      </c>
      <c r="I455">
        <v>49</v>
      </c>
      <c r="J455">
        <v>6.73041739796904</v>
      </c>
      <c r="K455" t="b">
        <f t="shared" si="35"/>
        <v>1</v>
      </c>
      <c r="L455">
        <f t="shared" si="36"/>
        <v>202.59901743132153</v>
      </c>
      <c r="M455">
        <f t="shared" si="37"/>
        <v>405.19803486264306</v>
      </c>
      <c r="N455">
        <f t="shared" si="38"/>
        <v>1007.9553106035896</v>
      </c>
      <c r="O455" s="21">
        <f t="shared" si="39"/>
        <v>964.75722586343591</v>
      </c>
    </row>
    <row r="456" spans="1:15" x14ac:dyDescent="0.35">
      <c r="A456" t="s">
        <v>64</v>
      </c>
      <c r="B456">
        <v>12</v>
      </c>
      <c r="C456" t="s">
        <v>65</v>
      </c>
      <c r="D456">
        <v>50</v>
      </c>
      <c r="E456">
        <v>176.51273982052101</v>
      </c>
      <c r="F456">
        <v>24.663265020843198</v>
      </c>
      <c r="G456" t="s">
        <v>64</v>
      </c>
      <c r="H456">
        <v>12</v>
      </c>
      <c r="I456">
        <v>50</v>
      </c>
      <c r="J456">
        <v>6.9217108137488204</v>
      </c>
      <c r="K456" t="b">
        <f t="shared" si="35"/>
        <v>1</v>
      </c>
      <c r="L456">
        <f t="shared" si="36"/>
        <v>208.09771565511303</v>
      </c>
      <c r="M456">
        <f t="shared" si="37"/>
        <v>416.19543131022607</v>
      </c>
      <c r="N456">
        <f t="shared" si="38"/>
        <v>1035.3120181846418</v>
      </c>
      <c r="O456" s="21">
        <f t="shared" si="39"/>
        <v>990.94150311958595</v>
      </c>
    </row>
    <row r="457" spans="1:15" x14ac:dyDescent="0.35">
      <c r="A457" t="s">
        <v>64</v>
      </c>
      <c r="B457">
        <v>12</v>
      </c>
      <c r="C457" t="s">
        <v>65</v>
      </c>
      <c r="D457">
        <v>51</v>
      </c>
      <c r="E457">
        <v>180.88026862984501</v>
      </c>
      <c r="F457">
        <v>25.584530270802901</v>
      </c>
      <c r="G457" t="s">
        <v>64</v>
      </c>
      <c r="H457">
        <v>12</v>
      </c>
      <c r="I457">
        <v>51</v>
      </c>
      <c r="J457">
        <v>7.1112075230559997</v>
      </c>
      <c r="K457" t="b">
        <f t="shared" si="35"/>
        <v>1</v>
      </c>
      <c r="L457">
        <f t="shared" si="36"/>
        <v>213.57600642370392</v>
      </c>
      <c r="M457">
        <f t="shared" si="37"/>
        <v>427.15201284740783</v>
      </c>
      <c r="N457">
        <f t="shared" si="38"/>
        <v>1062.5671961378303</v>
      </c>
      <c r="O457" s="21">
        <f t="shared" si="39"/>
        <v>1017.0286020176377</v>
      </c>
    </row>
    <row r="458" spans="1:15" x14ac:dyDescent="0.35">
      <c r="A458" t="s">
        <v>64</v>
      </c>
      <c r="B458">
        <v>12</v>
      </c>
      <c r="C458" t="s">
        <v>65</v>
      </c>
      <c r="D458">
        <v>52</v>
      </c>
      <c r="E458">
        <v>185.204359229375</v>
      </c>
      <c r="F458">
        <v>26.528870854563699</v>
      </c>
      <c r="G458" t="s">
        <v>64</v>
      </c>
      <c r="H458">
        <v>12</v>
      </c>
      <c r="I458">
        <v>52</v>
      </c>
      <c r="J458">
        <v>7.2988943126861701</v>
      </c>
      <c r="K458" t="b">
        <f t="shared" si="35"/>
        <v>1</v>
      </c>
      <c r="L458">
        <f t="shared" si="36"/>
        <v>219.03212439662488</v>
      </c>
      <c r="M458">
        <f t="shared" si="37"/>
        <v>438.06424879324976</v>
      </c>
      <c r="N458">
        <f t="shared" si="38"/>
        <v>1089.7120616747507</v>
      </c>
      <c r="O458" s="21">
        <f t="shared" si="39"/>
        <v>1043.0101161744042</v>
      </c>
    </row>
    <row r="459" spans="1:15" x14ac:dyDescent="0.35">
      <c r="A459" t="s">
        <v>64</v>
      </c>
      <c r="B459">
        <v>12</v>
      </c>
      <c r="C459" t="s">
        <v>65</v>
      </c>
      <c r="D459">
        <v>53</v>
      </c>
      <c r="E459">
        <v>189.48036681864301</v>
      </c>
      <c r="F459">
        <v>27.499381338041601</v>
      </c>
      <c r="G459" t="s">
        <v>64</v>
      </c>
      <c r="H459">
        <v>12</v>
      </c>
      <c r="I459">
        <v>53</v>
      </c>
      <c r="J459">
        <v>7.4846988725583996</v>
      </c>
      <c r="K459" t="b">
        <f t="shared" si="35"/>
        <v>1</v>
      </c>
      <c r="L459">
        <f t="shared" si="36"/>
        <v>224.46444702924299</v>
      </c>
      <c r="M459">
        <f t="shared" si="37"/>
        <v>448.92889405848598</v>
      </c>
      <c r="N459">
        <f t="shared" si="38"/>
        <v>1116.7385424340446</v>
      </c>
      <c r="O459" s="21">
        <f t="shared" si="39"/>
        <v>1068.8783191868715</v>
      </c>
    </row>
    <row r="460" spans="1:15" x14ac:dyDescent="0.35">
      <c r="A460" t="s">
        <v>64</v>
      </c>
      <c r="B460">
        <v>12</v>
      </c>
      <c r="C460" t="s">
        <v>65</v>
      </c>
      <c r="D460">
        <v>54</v>
      </c>
      <c r="E460">
        <v>193.533099521065</v>
      </c>
      <c r="F460">
        <v>28.343349072618601</v>
      </c>
      <c r="G460" t="s">
        <v>64</v>
      </c>
      <c r="H460">
        <v>12</v>
      </c>
      <c r="I460">
        <v>54</v>
      </c>
      <c r="J460">
        <v>7.6661783892999198</v>
      </c>
      <c r="K460" t="b">
        <f t="shared" si="35"/>
        <v>1</v>
      </c>
      <c r="L460">
        <f t="shared" si="36"/>
        <v>229.54262698298351</v>
      </c>
      <c r="M460">
        <f t="shared" si="37"/>
        <v>459.08525396596701</v>
      </c>
      <c r="N460">
        <f t="shared" si="38"/>
        <v>1142.0031193183258</v>
      </c>
      <c r="O460" s="21">
        <f t="shared" si="39"/>
        <v>1093.0601284903978</v>
      </c>
    </row>
    <row r="461" spans="1:15" x14ac:dyDescent="0.35">
      <c r="A461" t="s">
        <v>64</v>
      </c>
      <c r="B461">
        <v>12</v>
      </c>
      <c r="C461" t="s">
        <v>65</v>
      </c>
      <c r="D461">
        <v>55</v>
      </c>
      <c r="E461">
        <v>197.602244991882</v>
      </c>
      <c r="F461">
        <v>29.1584556765423</v>
      </c>
      <c r="G461" t="s">
        <v>64</v>
      </c>
      <c r="H461">
        <v>12</v>
      </c>
      <c r="I461">
        <v>55</v>
      </c>
      <c r="J461">
        <v>7.8450403248947396</v>
      </c>
      <c r="K461" t="b">
        <f t="shared" si="35"/>
        <v>1</v>
      </c>
      <c r="L461">
        <f t="shared" si="36"/>
        <v>234.60574099331905</v>
      </c>
      <c r="M461">
        <f t="shared" si="37"/>
        <v>469.21148198663809</v>
      </c>
      <c r="N461">
        <f t="shared" si="38"/>
        <v>1167.1927412602936</v>
      </c>
      <c r="O461" s="21">
        <f t="shared" si="39"/>
        <v>1117.1701952062813</v>
      </c>
    </row>
    <row r="462" spans="1:15" x14ac:dyDescent="0.35">
      <c r="A462" t="s">
        <v>64</v>
      </c>
      <c r="B462">
        <v>12</v>
      </c>
      <c r="C462" t="s">
        <v>65</v>
      </c>
      <c r="D462">
        <v>56</v>
      </c>
      <c r="E462">
        <v>201.65137214885999</v>
      </c>
      <c r="F462">
        <v>29.979113581758099</v>
      </c>
      <c r="G462" t="s">
        <v>64</v>
      </c>
      <c r="H462">
        <v>12</v>
      </c>
      <c r="I462">
        <v>56</v>
      </c>
      <c r="J462">
        <v>8.0218579191694097</v>
      </c>
      <c r="K462" t="b">
        <f t="shared" si="35"/>
        <v>1</v>
      </c>
      <c r="L462">
        <f t="shared" si="36"/>
        <v>239.6523436497875</v>
      </c>
      <c r="M462">
        <f t="shared" si="37"/>
        <v>479.30468729957499</v>
      </c>
      <c r="N462">
        <f t="shared" si="38"/>
        <v>1192.3002171631217</v>
      </c>
      <c r="O462" s="21">
        <f t="shared" si="39"/>
        <v>1141.2016364275596</v>
      </c>
    </row>
    <row r="463" spans="1:15" x14ac:dyDescent="0.35">
      <c r="A463" t="s">
        <v>64</v>
      </c>
      <c r="B463">
        <v>12</v>
      </c>
      <c r="C463" t="s">
        <v>65</v>
      </c>
      <c r="D463">
        <v>57</v>
      </c>
      <c r="E463">
        <v>205.667402567881</v>
      </c>
      <c r="F463">
        <v>30.816897496193299</v>
      </c>
      <c r="G463" t="s">
        <v>64</v>
      </c>
      <c r="H463">
        <v>12</v>
      </c>
      <c r="I463">
        <v>57</v>
      </c>
      <c r="J463">
        <v>8.1968199869504303</v>
      </c>
      <c r="K463" t="b">
        <f t="shared" si="35"/>
        <v>1</v>
      </c>
      <c r="L463">
        <f t="shared" si="36"/>
        <v>244.68112005102472</v>
      </c>
      <c r="M463">
        <f t="shared" si="37"/>
        <v>489.36224010204944</v>
      </c>
      <c r="N463">
        <f t="shared" si="38"/>
        <v>1217.3190052289785</v>
      </c>
      <c r="O463" s="21">
        <f t="shared" si="39"/>
        <v>1165.1481907191653</v>
      </c>
    </row>
    <row r="464" spans="1:15" x14ac:dyDescent="0.35">
      <c r="A464" t="s">
        <v>64</v>
      </c>
      <c r="B464">
        <v>12</v>
      </c>
      <c r="C464" t="s">
        <v>65</v>
      </c>
      <c r="D464">
        <v>58</v>
      </c>
      <c r="E464">
        <v>209.645648780355</v>
      </c>
      <c r="F464">
        <v>31.675209762209199</v>
      </c>
      <c r="G464" t="s">
        <v>64</v>
      </c>
      <c r="H464">
        <v>12</v>
      </c>
      <c r="I464">
        <v>58</v>
      </c>
      <c r="J464">
        <v>8.3699891371204806</v>
      </c>
      <c r="K464" t="b">
        <f t="shared" si="35"/>
        <v>1</v>
      </c>
      <c r="L464">
        <f t="shared" si="36"/>
        <v>249.69084767968468</v>
      </c>
      <c r="M464">
        <f t="shared" si="37"/>
        <v>499.38169535936936</v>
      </c>
      <c r="N464">
        <f t="shared" si="38"/>
        <v>1242.2430232820132</v>
      </c>
      <c r="O464" s="21">
        <f t="shared" si="39"/>
        <v>1189.0040365699272</v>
      </c>
    </row>
    <row r="465" spans="1:15" x14ac:dyDescent="0.35">
      <c r="A465" t="s">
        <v>64</v>
      </c>
      <c r="B465">
        <v>12</v>
      </c>
      <c r="C465" t="s">
        <v>65</v>
      </c>
      <c r="D465">
        <v>59</v>
      </c>
      <c r="E465">
        <v>213.34142117467101</v>
      </c>
      <c r="F465">
        <v>32.419358017442299</v>
      </c>
      <c r="G465" t="s">
        <v>64</v>
      </c>
      <c r="H465">
        <v>12</v>
      </c>
      <c r="I465">
        <v>59</v>
      </c>
      <c r="J465">
        <v>8.5380648433431308</v>
      </c>
      <c r="K465" t="b">
        <f t="shared" si="35"/>
        <v>1</v>
      </c>
      <c r="L465">
        <f t="shared" si="36"/>
        <v>254.29884403545645</v>
      </c>
      <c r="M465">
        <f t="shared" si="37"/>
        <v>508.59768807091291</v>
      </c>
      <c r="N465">
        <f t="shared" si="38"/>
        <v>1265.1683782858529</v>
      </c>
      <c r="O465" s="21">
        <f t="shared" si="39"/>
        <v>1210.9468763593165</v>
      </c>
    </row>
    <row r="466" spans="1:15" x14ac:dyDescent="0.35">
      <c r="A466" t="s">
        <v>64</v>
      </c>
      <c r="B466">
        <v>12</v>
      </c>
      <c r="C466" t="s">
        <v>65</v>
      </c>
      <c r="D466">
        <v>60</v>
      </c>
      <c r="E466">
        <v>217.05381094213001</v>
      </c>
      <c r="F466">
        <v>33.137595391060202</v>
      </c>
      <c r="G466" t="s">
        <v>64</v>
      </c>
      <c r="H466">
        <v>12</v>
      </c>
      <c r="I466">
        <v>60</v>
      </c>
      <c r="J466">
        <v>8.7030215393969392</v>
      </c>
      <c r="K466" t="b">
        <f t="shared" si="35"/>
        <v>1</v>
      </c>
      <c r="L466">
        <f t="shared" si="36"/>
        <v>258.89442787258719</v>
      </c>
      <c r="M466">
        <f t="shared" si="37"/>
        <v>517.78885574517437</v>
      </c>
      <c r="N466">
        <f t="shared" si="38"/>
        <v>1288.0319794656077</v>
      </c>
      <c r="O466" s="21">
        <f t="shared" si="39"/>
        <v>1232.8306089170819</v>
      </c>
    </row>
    <row r="467" spans="1:15" x14ac:dyDescent="0.35">
      <c r="A467" t="s">
        <v>64</v>
      </c>
      <c r="B467">
        <v>12</v>
      </c>
      <c r="C467" t="s">
        <v>65</v>
      </c>
      <c r="D467">
        <v>61</v>
      </c>
      <c r="E467">
        <v>220.75072867652199</v>
      </c>
      <c r="F467">
        <v>33.860235757465198</v>
      </c>
      <c r="G467" t="s">
        <v>64</v>
      </c>
      <c r="H467">
        <v>12</v>
      </c>
      <c r="I467">
        <v>61</v>
      </c>
      <c r="J467">
        <v>8.8656586249151506</v>
      </c>
      <c r="K467" t="b">
        <f t="shared" si="35"/>
        <v>1</v>
      </c>
      <c r="L467">
        <f t="shared" si="36"/>
        <v>263.47662305890236</v>
      </c>
      <c r="M467">
        <f t="shared" si="37"/>
        <v>526.95324611780472</v>
      </c>
      <c r="N467">
        <f t="shared" si="38"/>
        <v>1310.8289704423003</v>
      </c>
      <c r="O467" s="21">
        <f t="shared" si="39"/>
        <v>1254.6505859947731</v>
      </c>
    </row>
    <row r="468" spans="1:15" x14ac:dyDescent="0.35">
      <c r="A468" t="s">
        <v>64</v>
      </c>
      <c r="B468">
        <v>12</v>
      </c>
      <c r="C468" t="s">
        <v>65</v>
      </c>
      <c r="D468">
        <v>62</v>
      </c>
      <c r="E468">
        <v>224.420943954363</v>
      </c>
      <c r="F468">
        <v>34.597215532012498</v>
      </c>
      <c r="G468" t="s">
        <v>64</v>
      </c>
      <c r="H468">
        <v>12</v>
      </c>
      <c r="I468">
        <v>62</v>
      </c>
      <c r="J468">
        <v>9.0263348750383194</v>
      </c>
      <c r="K468" t="b">
        <f t="shared" si="35"/>
        <v>1</v>
      </c>
      <c r="L468">
        <f t="shared" si="36"/>
        <v>268.04449436141385</v>
      </c>
      <c r="M468">
        <f t="shared" si="37"/>
        <v>536.08898872282771</v>
      </c>
      <c r="N468">
        <f t="shared" si="38"/>
        <v>1333.5546983154918</v>
      </c>
      <c r="O468" s="21">
        <f t="shared" si="39"/>
        <v>1276.4023541019708</v>
      </c>
    </row>
    <row r="469" spans="1:15" x14ac:dyDescent="0.35">
      <c r="A469" t="s">
        <v>64</v>
      </c>
      <c r="B469">
        <v>12</v>
      </c>
      <c r="C469" t="s">
        <v>65</v>
      </c>
      <c r="D469">
        <v>63</v>
      </c>
      <c r="E469">
        <v>228.06053882256001</v>
      </c>
      <c r="F469">
        <v>35.351357465630002</v>
      </c>
      <c r="G469" t="s">
        <v>64</v>
      </c>
      <c r="H469">
        <v>12</v>
      </c>
      <c r="I469">
        <v>63</v>
      </c>
      <c r="J469">
        <v>9.1852344947709703</v>
      </c>
      <c r="K469" t="b">
        <f t="shared" si="35"/>
        <v>1</v>
      </c>
      <c r="L469">
        <f t="shared" si="36"/>
        <v>272.59713078296096</v>
      </c>
      <c r="M469">
        <f t="shared" si="37"/>
        <v>545.19426156592192</v>
      </c>
      <c r="N469">
        <f t="shared" si="38"/>
        <v>1356.2046307609996</v>
      </c>
      <c r="O469" s="21">
        <f t="shared" si="39"/>
        <v>1298.0815751569569</v>
      </c>
    </row>
    <row r="470" spans="1:15" x14ac:dyDescent="0.35">
      <c r="A470" t="s">
        <v>64</v>
      </c>
      <c r="B470">
        <v>12</v>
      </c>
      <c r="C470" t="s">
        <v>65</v>
      </c>
      <c r="D470">
        <v>64</v>
      </c>
      <c r="E470">
        <v>231.40848649084199</v>
      </c>
      <c r="F470">
        <v>36.002929961341998</v>
      </c>
      <c r="G470" t="s">
        <v>64</v>
      </c>
      <c r="H470">
        <v>12</v>
      </c>
      <c r="I470">
        <v>64</v>
      </c>
      <c r="J470">
        <v>9.3389147059454896</v>
      </c>
      <c r="K470" t="b">
        <f t="shared" si="35"/>
        <v>1</v>
      </c>
      <c r="L470">
        <f t="shared" si="36"/>
        <v>276.75033115812948</v>
      </c>
      <c r="M470">
        <f t="shared" si="37"/>
        <v>553.50066231625897</v>
      </c>
      <c r="N470">
        <f t="shared" si="38"/>
        <v>1376.8673191946739</v>
      </c>
      <c r="O470" s="21">
        <f t="shared" si="39"/>
        <v>1317.8587198006167</v>
      </c>
    </row>
    <row r="471" spans="1:15" x14ac:dyDescent="0.35">
      <c r="A471" t="s">
        <v>64</v>
      </c>
      <c r="B471">
        <v>12</v>
      </c>
      <c r="C471" t="s">
        <v>65</v>
      </c>
      <c r="D471">
        <v>65</v>
      </c>
      <c r="E471">
        <v>234.77294391529301</v>
      </c>
      <c r="F471">
        <v>36.631391120878099</v>
      </c>
      <c r="G471" t="s">
        <v>64</v>
      </c>
      <c r="H471">
        <v>12</v>
      </c>
      <c r="I471">
        <v>65</v>
      </c>
      <c r="J471">
        <v>9.4893859208777993</v>
      </c>
      <c r="K471" t="b">
        <f t="shared" si="35"/>
        <v>1</v>
      </c>
      <c r="L471">
        <f t="shared" si="36"/>
        <v>280.89372095704891</v>
      </c>
      <c r="M471">
        <f t="shared" si="37"/>
        <v>561.78744191409783</v>
      </c>
      <c r="N471">
        <f t="shared" si="38"/>
        <v>1397.4811987912881</v>
      </c>
      <c r="O471" s="21">
        <f t="shared" si="39"/>
        <v>1337.5891474145187</v>
      </c>
    </row>
    <row r="472" spans="1:15" x14ac:dyDescent="0.35">
      <c r="A472" t="s">
        <v>64</v>
      </c>
      <c r="B472">
        <v>12</v>
      </c>
      <c r="C472" t="s">
        <v>65</v>
      </c>
      <c r="D472">
        <v>66</v>
      </c>
      <c r="E472">
        <v>238.125611858208</v>
      </c>
      <c r="F472">
        <v>37.263468035516603</v>
      </c>
      <c r="G472" t="s">
        <v>64</v>
      </c>
      <c r="H472">
        <v>12</v>
      </c>
      <c r="I472">
        <v>66</v>
      </c>
      <c r="J472">
        <v>9.6375234362401692</v>
      </c>
      <c r="K472" t="b">
        <f t="shared" si="35"/>
        <v>1</v>
      </c>
      <c r="L472">
        <f t="shared" si="36"/>
        <v>285.02660332996476</v>
      </c>
      <c r="M472">
        <f t="shared" si="37"/>
        <v>570.05320665992951</v>
      </c>
      <c r="N472">
        <f t="shared" si="38"/>
        <v>1418.0428026366405</v>
      </c>
      <c r="O472" s="21">
        <f t="shared" si="39"/>
        <v>1357.269539666499</v>
      </c>
    </row>
    <row r="473" spans="1:15" x14ac:dyDescent="0.35">
      <c r="A473" t="s">
        <v>64</v>
      </c>
      <c r="B473">
        <v>12</v>
      </c>
      <c r="C473" t="s">
        <v>65</v>
      </c>
      <c r="D473">
        <v>67</v>
      </c>
      <c r="E473">
        <v>241.45679184241601</v>
      </c>
      <c r="F473">
        <v>37.907732116397398</v>
      </c>
      <c r="G473" t="s">
        <v>64</v>
      </c>
      <c r="H473">
        <v>12</v>
      </c>
      <c r="I473">
        <v>67</v>
      </c>
      <c r="J473">
        <v>9.7837567795417204</v>
      </c>
      <c r="K473" t="b">
        <f t="shared" si="35"/>
        <v>1</v>
      </c>
      <c r="L473">
        <f t="shared" si="36"/>
        <v>289.14828073835508</v>
      </c>
      <c r="M473">
        <f t="shared" si="37"/>
        <v>578.29656147671017</v>
      </c>
      <c r="N473">
        <f t="shared" si="38"/>
        <v>1438.5486603898262</v>
      </c>
      <c r="O473" s="21">
        <f t="shared" si="39"/>
        <v>1376.8965749445481</v>
      </c>
    </row>
    <row r="474" spans="1:15" x14ac:dyDescent="0.35">
      <c r="A474" t="s">
        <v>64</v>
      </c>
      <c r="B474">
        <v>12</v>
      </c>
      <c r="C474" t="s">
        <v>65</v>
      </c>
      <c r="D474">
        <v>68</v>
      </c>
      <c r="E474">
        <v>244.763174896876</v>
      </c>
      <c r="F474">
        <v>38.566545258089597</v>
      </c>
      <c r="G474" t="s">
        <v>64</v>
      </c>
      <c r="H474">
        <v>12</v>
      </c>
      <c r="I474">
        <v>68</v>
      </c>
      <c r="J474">
        <v>9.9283254508862306</v>
      </c>
      <c r="K474" t="b">
        <f t="shared" si="35"/>
        <v>1</v>
      </c>
      <c r="L474">
        <f t="shared" si="36"/>
        <v>293.25804560585181</v>
      </c>
      <c r="M474">
        <f t="shared" si="37"/>
        <v>586.51609121170361</v>
      </c>
      <c r="N474">
        <f t="shared" si="38"/>
        <v>1458.9952517704069</v>
      </c>
      <c r="O474" s="21">
        <f t="shared" si="39"/>
        <v>1396.4668838373896</v>
      </c>
    </row>
    <row r="475" spans="1:15" x14ac:dyDescent="0.35">
      <c r="A475" t="s">
        <v>64</v>
      </c>
      <c r="B475">
        <v>12</v>
      </c>
      <c r="C475" t="s">
        <v>65</v>
      </c>
      <c r="D475">
        <v>69</v>
      </c>
      <c r="E475">
        <v>247.80813977593101</v>
      </c>
      <c r="F475">
        <v>39.130483690988299</v>
      </c>
      <c r="G475" t="s">
        <v>64</v>
      </c>
      <c r="H475">
        <v>12</v>
      </c>
      <c r="I475">
        <v>69</v>
      </c>
      <c r="J475">
        <v>10.068157768172901</v>
      </c>
      <c r="K475" t="b">
        <f t="shared" si="35"/>
        <v>1</v>
      </c>
      <c r="L475">
        <f t="shared" si="36"/>
        <v>297.00678123509221</v>
      </c>
      <c r="M475">
        <f t="shared" si="37"/>
        <v>594.01356247018441</v>
      </c>
      <c r="N475">
        <f t="shared" si="38"/>
        <v>1477.6456777865283</v>
      </c>
      <c r="O475" s="21">
        <f t="shared" si="39"/>
        <v>1414.3180058813914</v>
      </c>
    </row>
    <row r="476" spans="1:15" x14ac:dyDescent="0.35">
      <c r="A476" t="s">
        <v>64</v>
      </c>
      <c r="B476">
        <v>12</v>
      </c>
      <c r="C476" t="s">
        <v>65</v>
      </c>
      <c r="D476">
        <v>70</v>
      </c>
      <c r="E476">
        <v>250.87038625729201</v>
      </c>
      <c r="F476">
        <v>39.673155252762498</v>
      </c>
      <c r="G476" t="s">
        <v>64</v>
      </c>
      <c r="H476">
        <v>12</v>
      </c>
      <c r="I476">
        <v>70</v>
      </c>
      <c r="J476">
        <v>10.2051015465264</v>
      </c>
      <c r="K476" t="b">
        <f t="shared" si="35"/>
        <v>1</v>
      </c>
      <c r="L476">
        <f t="shared" si="36"/>
        <v>300.74864305658093</v>
      </c>
      <c r="M476">
        <f t="shared" si="37"/>
        <v>601.49728611316186</v>
      </c>
      <c r="N476">
        <f t="shared" si="38"/>
        <v>1496.261905754134</v>
      </c>
      <c r="O476" s="21">
        <f t="shared" si="39"/>
        <v>1432.1363955075283</v>
      </c>
    </row>
    <row r="477" spans="1:15" x14ac:dyDescent="0.35">
      <c r="A477" t="s">
        <v>64</v>
      </c>
      <c r="B477">
        <v>12</v>
      </c>
      <c r="C477" t="s">
        <v>65</v>
      </c>
      <c r="D477">
        <v>71</v>
      </c>
      <c r="E477">
        <v>253.924144954572</v>
      </c>
      <c r="F477">
        <v>40.218895644983199</v>
      </c>
      <c r="G477" t="s">
        <v>64</v>
      </c>
      <c r="H477">
        <v>12</v>
      </c>
      <c r="I477">
        <v>71</v>
      </c>
      <c r="J477">
        <v>10.3399672827878</v>
      </c>
      <c r="K477" t="b">
        <f t="shared" si="35"/>
        <v>1</v>
      </c>
      <c r="L477">
        <f t="shared" si="36"/>
        <v>304.48300788234303</v>
      </c>
      <c r="M477">
        <f t="shared" si="37"/>
        <v>608.96601576468606</v>
      </c>
      <c r="N477">
        <f t="shared" si="38"/>
        <v>1514.8408352355373</v>
      </c>
      <c r="O477" s="21">
        <f t="shared" si="39"/>
        <v>1449.9190851540145</v>
      </c>
    </row>
    <row r="478" spans="1:15" x14ac:dyDescent="0.35">
      <c r="A478" t="s">
        <v>64</v>
      </c>
      <c r="B478">
        <v>12</v>
      </c>
      <c r="C478" t="s">
        <v>65</v>
      </c>
      <c r="D478">
        <v>72</v>
      </c>
      <c r="E478">
        <v>256.96073504341501</v>
      </c>
      <c r="F478">
        <v>40.775372293697203</v>
      </c>
      <c r="G478" t="s">
        <v>64</v>
      </c>
      <c r="H478">
        <v>12</v>
      </c>
      <c r="I478">
        <v>72</v>
      </c>
      <c r="J478">
        <v>10.473158707475701</v>
      </c>
      <c r="K478" t="b">
        <f t="shared" si="35"/>
        <v>1</v>
      </c>
      <c r="L478">
        <f t="shared" si="36"/>
        <v>308.20926604458793</v>
      </c>
      <c r="M478">
        <f t="shared" si="37"/>
        <v>616.41853208917587</v>
      </c>
      <c r="N478">
        <f t="shared" si="38"/>
        <v>1533.3794330576513</v>
      </c>
      <c r="O478" s="21">
        <f t="shared" si="39"/>
        <v>1467.6631716408949</v>
      </c>
    </row>
    <row r="479" spans="1:15" x14ac:dyDescent="0.35">
      <c r="A479" t="s">
        <v>64</v>
      </c>
      <c r="B479">
        <v>12</v>
      </c>
      <c r="C479" t="s">
        <v>65</v>
      </c>
      <c r="D479">
        <v>73</v>
      </c>
      <c r="E479">
        <v>259.97724665720102</v>
      </c>
      <c r="F479">
        <v>41.344648634331399</v>
      </c>
      <c r="G479" t="s">
        <v>64</v>
      </c>
      <c r="H479">
        <v>12</v>
      </c>
      <c r="I479">
        <v>73</v>
      </c>
      <c r="J479">
        <v>10.604904897751799</v>
      </c>
      <c r="K479" t="b">
        <f t="shared" si="35"/>
        <v>1</v>
      </c>
      <c r="L479">
        <f t="shared" si="36"/>
        <v>311.92680018928422</v>
      </c>
      <c r="M479">
        <f t="shared" si="37"/>
        <v>623.85360037856844</v>
      </c>
      <c r="N479">
        <f t="shared" si="38"/>
        <v>1551.8746278073841</v>
      </c>
      <c r="O479" s="21">
        <f t="shared" si="39"/>
        <v>1485.3657151870677</v>
      </c>
    </row>
    <row r="480" spans="1:15" x14ac:dyDescent="0.35">
      <c r="A480" t="s">
        <v>64</v>
      </c>
      <c r="B480">
        <v>12</v>
      </c>
      <c r="C480" t="s">
        <v>65</v>
      </c>
      <c r="D480">
        <v>74</v>
      </c>
      <c r="E480">
        <v>262.75402959559301</v>
      </c>
      <c r="F480">
        <v>41.808456522185999</v>
      </c>
      <c r="G480" t="s">
        <v>64</v>
      </c>
      <c r="H480">
        <v>12</v>
      </c>
      <c r="I480">
        <v>74</v>
      </c>
      <c r="J480">
        <v>10.7323598049209</v>
      </c>
      <c r="K480" t="b">
        <f t="shared" si="35"/>
        <v>1</v>
      </c>
      <c r="L480">
        <f t="shared" si="36"/>
        <v>315.29484592269995</v>
      </c>
      <c r="M480">
        <f t="shared" si="37"/>
        <v>630.5896918453999</v>
      </c>
      <c r="N480">
        <f t="shared" si="38"/>
        <v>1568.6310742422882</v>
      </c>
      <c r="O480" s="21">
        <f t="shared" si="39"/>
        <v>1501.4040282033332</v>
      </c>
    </row>
    <row r="481" spans="1:15" x14ac:dyDescent="0.35">
      <c r="A481" t="s">
        <v>64</v>
      </c>
      <c r="B481">
        <v>12</v>
      </c>
      <c r="C481" t="s">
        <v>65</v>
      </c>
      <c r="D481">
        <v>75</v>
      </c>
      <c r="E481">
        <v>265.55604446938298</v>
      </c>
      <c r="F481">
        <v>42.246934429546698</v>
      </c>
      <c r="G481" t="s">
        <v>64</v>
      </c>
      <c r="H481">
        <v>12</v>
      </c>
      <c r="I481">
        <v>75</v>
      </c>
      <c r="J481">
        <v>10.8573283758102</v>
      </c>
      <c r="K481" t="b">
        <f t="shared" si="35"/>
        <v>1</v>
      </c>
      <c r="L481">
        <f t="shared" si="36"/>
        <v>318.66030727473986</v>
      </c>
      <c r="M481">
        <f t="shared" si="37"/>
        <v>637.32061454947973</v>
      </c>
      <c r="N481">
        <f t="shared" si="38"/>
        <v>1585.3746630584071</v>
      </c>
      <c r="O481" s="21">
        <f t="shared" si="39"/>
        <v>1517.4300346416185</v>
      </c>
    </row>
    <row r="482" spans="1:15" x14ac:dyDescent="0.35">
      <c r="A482" t="s">
        <v>64</v>
      </c>
      <c r="B482">
        <v>12</v>
      </c>
      <c r="C482" t="s">
        <v>65</v>
      </c>
      <c r="D482">
        <v>76</v>
      </c>
      <c r="E482">
        <v>268.35569895157897</v>
      </c>
      <c r="F482">
        <v>42.6862664934158</v>
      </c>
      <c r="G482" t="s">
        <v>64</v>
      </c>
      <c r="H482">
        <v>12</v>
      </c>
      <c r="I482">
        <v>76</v>
      </c>
      <c r="J482">
        <v>10.9805709734269</v>
      </c>
      <c r="K482" t="b">
        <f t="shared" si="35"/>
        <v>1</v>
      </c>
      <c r="L482">
        <f t="shared" si="36"/>
        <v>322.02253641842168</v>
      </c>
      <c r="M482">
        <f t="shared" si="37"/>
        <v>644.04507283684336</v>
      </c>
      <c r="N482">
        <f t="shared" si="38"/>
        <v>1602.1021712359286</v>
      </c>
      <c r="O482" s="21">
        <f t="shared" si="39"/>
        <v>1533.4406496115319</v>
      </c>
    </row>
    <row r="483" spans="1:15" x14ac:dyDescent="0.35">
      <c r="A483" t="s">
        <v>64</v>
      </c>
      <c r="B483">
        <v>12</v>
      </c>
      <c r="C483" t="s">
        <v>65</v>
      </c>
      <c r="D483">
        <v>77</v>
      </c>
      <c r="E483">
        <v>271.14384580019498</v>
      </c>
      <c r="F483">
        <v>43.134650628847403</v>
      </c>
      <c r="G483" t="s">
        <v>64</v>
      </c>
      <c r="H483">
        <v>12</v>
      </c>
      <c r="I483">
        <v>77</v>
      </c>
      <c r="J483">
        <v>11.102453950951199</v>
      </c>
      <c r="K483" t="b">
        <f t="shared" si="35"/>
        <v>1</v>
      </c>
      <c r="L483">
        <f t="shared" si="36"/>
        <v>325.38095037999358</v>
      </c>
      <c r="M483">
        <f t="shared" si="37"/>
        <v>650.76190075998716</v>
      </c>
      <c r="N483">
        <f t="shared" si="38"/>
        <v>1618.8106984079282</v>
      </c>
      <c r="O483" s="21">
        <f t="shared" si="39"/>
        <v>1549.4330970475885</v>
      </c>
    </row>
    <row r="484" spans="1:15" x14ac:dyDescent="0.35">
      <c r="A484" t="s">
        <v>64</v>
      </c>
      <c r="B484">
        <v>12</v>
      </c>
      <c r="C484" t="s">
        <v>65</v>
      </c>
      <c r="D484">
        <v>78</v>
      </c>
      <c r="E484">
        <v>273.917476618536</v>
      </c>
      <c r="F484">
        <v>43.594322676797198</v>
      </c>
      <c r="G484" t="s">
        <v>64</v>
      </c>
      <c r="H484">
        <v>12</v>
      </c>
      <c r="I484">
        <v>78</v>
      </c>
      <c r="J484">
        <v>11.2231813665027</v>
      </c>
      <c r="K484" t="b">
        <f t="shared" si="35"/>
        <v>1</v>
      </c>
      <c r="L484">
        <f t="shared" si="36"/>
        <v>328.73498066183595</v>
      </c>
      <c r="M484">
        <f t="shared" si="37"/>
        <v>657.4699613236719</v>
      </c>
      <c r="N484">
        <f t="shared" si="38"/>
        <v>1635.4974162280394</v>
      </c>
      <c r="O484" s="21">
        <f t="shared" si="39"/>
        <v>1565.4046698182665</v>
      </c>
    </row>
    <row r="485" spans="1:15" x14ac:dyDescent="0.35">
      <c r="A485" t="s">
        <v>64</v>
      </c>
      <c r="B485">
        <v>12</v>
      </c>
      <c r="C485" t="s">
        <v>65</v>
      </c>
      <c r="D485">
        <v>79</v>
      </c>
      <c r="E485">
        <v>276.36375589942202</v>
      </c>
      <c r="F485">
        <v>44.012188008619098</v>
      </c>
      <c r="G485" t="s">
        <v>64</v>
      </c>
      <c r="H485">
        <v>12</v>
      </c>
      <c r="I485">
        <v>79</v>
      </c>
      <c r="J485">
        <v>11.3386165109891</v>
      </c>
      <c r="K485" t="b">
        <f t="shared" si="35"/>
        <v>1</v>
      </c>
      <c r="L485">
        <f t="shared" si="36"/>
        <v>331.71456041903019</v>
      </c>
      <c r="M485">
        <f t="shared" si="37"/>
        <v>663.42912083806038</v>
      </c>
      <c r="N485">
        <f t="shared" si="38"/>
        <v>1650.321196114578</v>
      </c>
      <c r="O485" s="21">
        <f t="shared" si="39"/>
        <v>1579.5931448525248</v>
      </c>
    </row>
    <row r="486" spans="1:15" x14ac:dyDescent="0.35">
      <c r="A486" t="s">
        <v>64</v>
      </c>
      <c r="B486">
        <v>12</v>
      </c>
      <c r="C486" t="s">
        <v>65</v>
      </c>
      <c r="D486">
        <v>80</v>
      </c>
      <c r="E486">
        <v>278.813595761096</v>
      </c>
      <c r="F486">
        <v>44.424811394502598</v>
      </c>
      <c r="G486" t="s">
        <v>64</v>
      </c>
      <c r="H486">
        <v>12</v>
      </c>
      <c r="I486">
        <v>80</v>
      </c>
      <c r="J486">
        <v>11.4506366437036</v>
      </c>
      <c r="K486" t="b">
        <f t="shared" si="35"/>
        <v>1</v>
      </c>
      <c r="L486">
        <f t="shared" si="36"/>
        <v>334.68904379930217</v>
      </c>
      <c r="M486">
        <f t="shared" si="37"/>
        <v>669.37808759860434</v>
      </c>
      <c r="N486">
        <f t="shared" si="38"/>
        <v>1665.1196208920505</v>
      </c>
      <c r="O486" s="21">
        <f t="shared" si="39"/>
        <v>1593.7573514252485</v>
      </c>
    </row>
    <row r="487" spans="1:15" x14ac:dyDescent="0.35">
      <c r="A487" t="s">
        <v>64</v>
      </c>
      <c r="B487">
        <v>12</v>
      </c>
      <c r="C487" t="s">
        <v>65</v>
      </c>
      <c r="D487">
        <v>81</v>
      </c>
      <c r="E487">
        <v>281.25442590031201</v>
      </c>
      <c r="F487">
        <v>44.843772480376103</v>
      </c>
      <c r="G487" t="s">
        <v>64</v>
      </c>
      <c r="H487">
        <v>12</v>
      </c>
      <c r="I487">
        <v>81</v>
      </c>
      <c r="J487">
        <v>11.5602406064811</v>
      </c>
      <c r="K487" t="b">
        <f t="shared" si="35"/>
        <v>1</v>
      </c>
      <c r="L487">
        <f t="shared" si="36"/>
        <v>337.65843898716923</v>
      </c>
      <c r="M487">
        <f t="shared" si="37"/>
        <v>675.31687797433847</v>
      </c>
      <c r="N487">
        <f t="shared" si="38"/>
        <v>1679.8927312794488</v>
      </c>
      <c r="O487" s="21">
        <f t="shared" si="39"/>
        <v>1607.8973285103298</v>
      </c>
    </row>
    <row r="488" spans="1:15" x14ac:dyDescent="0.35">
      <c r="A488" t="s">
        <v>64</v>
      </c>
      <c r="B488">
        <v>12</v>
      </c>
      <c r="C488" t="s">
        <v>65</v>
      </c>
      <c r="D488">
        <v>82</v>
      </c>
      <c r="E488">
        <v>283.682115112747</v>
      </c>
      <c r="F488">
        <v>45.272440978916798</v>
      </c>
      <c r="G488" t="s">
        <v>64</v>
      </c>
      <c r="H488">
        <v>12</v>
      </c>
      <c r="I488">
        <v>82</v>
      </c>
      <c r="J488">
        <v>11.668007848242199</v>
      </c>
      <c r="K488" t="b">
        <f t="shared" si="35"/>
        <v>1</v>
      </c>
      <c r="L488">
        <f t="shared" si="36"/>
        <v>340.622563939906</v>
      </c>
      <c r="M488">
        <f t="shared" si="37"/>
        <v>681.245127879812</v>
      </c>
      <c r="N488">
        <f t="shared" si="38"/>
        <v>1694.639621591572</v>
      </c>
      <c r="O488" s="21">
        <f t="shared" si="39"/>
        <v>1622.0122092376478</v>
      </c>
    </row>
    <row r="489" spans="1:15" x14ac:dyDescent="0.35">
      <c r="A489" t="s">
        <v>64</v>
      </c>
      <c r="B489">
        <v>12</v>
      </c>
      <c r="C489" t="s">
        <v>65</v>
      </c>
      <c r="D489">
        <v>83</v>
      </c>
      <c r="E489">
        <v>286.095307224782</v>
      </c>
      <c r="F489">
        <v>45.7115076132377</v>
      </c>
      <c r="G489" t="s">
        <v>64</v>
      </c>
      <c r="H489">
        <v>12</v>
      </c>
      <c r="I489">
        <v>83</v>
      </c>
      <c r="J489">
        <v>11.774298216769999</v>
      </c>
      <c r="K489" t="b">
        <f t="shared" si="35"/>
        <v>1</v>
      </c>
      <c r="L489">
        <f t="shared" si="36"/>
        <v>343.58111305478968</v>
      </c>
      <c r="M489">
        <f t="shared" si="37"/>
        <v>687.16222610957936</v>
      </c>
      <c r="N489">
        <f t="shared" si="38"/>
        <v>1709.3587714168641</v>
      </c>
      <c r="O489" s="21">
        <f t="shared" si="39"/>
        <v>1636.1005383561414</v>
      </c>
    </row>
    <row r="490" spans="1:15" x14ac:dyDescent="0.35">
      <c r="A490" t="s">
        <v>64</v>
      </c>
      <c r="B490">
        <v>12</v>
      </c>
      <c r="C490" t="s">
        <v>65</v>
      </c>
      <c r="D490">
        <v>84</v>
      </c>
      <c r="E490">
        <v>288.17547126009902</v>
      </c>
      <c r="F490">
        <v>46.022570670405699</v>
      </c>
      <c r="G490" t="s">
        <v>64</v>
      </c>
      <c r="H490">
        <v>12</v>
      </c>
      <c r="I490">
        <v>84</v>
      </c>
      <c r="J490">
        <v>11.8749967553451</v>
      </c>
      <c r="K490" t="b">
        <f t="shared" si="35"/>
        <v>1</v>
      </c>
      <c r="L490">
        <f t="shared" si="36"/>
        <v>346.07303868584978</v>
      </c>
      <c r="M490">
        <f t="shared" si="37"/>
        <v>692.14607737169956</v>
      </c>
      <c r="N490">
        <f t="shared" si="38"/>
        <v>1721.7564113723868</v>
      </c>
      <c r="O490" s="21">
        <f t="shared" si="39"/>
        <v>1647.9668508849991</v>
      </c>
    </row>
    <row r="491" spans="1:15" x14ac:dyDescent="0.35">
      <c r="A491" t="s">
        <v>64</v>
      </c>
      <c r="B491">
        <v>12</v>
      </c>
      <c r="C491" t="s">
        <v>65</v>
      </c>
      <c r="D491">
        <v>85</v>
      </c>
      <c r="E491">
        <v>290.29294911462802</v>
      </c>
      <c r="F491">
        <v>46.3006990674901</v>
      </c>
      <c r="G491" t="s">
        <v>64</v>
      </c>
      <c r="H491">
        <v>12</v>
      </c>
      <c r="I491">
        <v>85</v>
      </c>
      <c r="J491">
        <v>11.9725352296533</v>
      </c>
      <c r="K491" t="b">
        <f t="shared" si="35"/>
        <v>1</v>
      </c>
      <c r="L491">
        <f t="shared" si="36"/>
        <v>348.56618341177142</v>
      </c>
      <c r="M491">
        <f t="shared" si="37"/>
        <v>697.13236682354284</v>
      </c>
      <c r="N491">
        <f t="shared" si="38"/>
        <v>1734.1601164764745</v>
      </c>
      <c r="O491" s="21">
        <f t="shared" si="39"/>
        <v>1659.8389686274829</v>
      </c>
    </row>
    <row r="492" spans="1:15" x14ac:dyDescent="0.35">
      <c r="A492" t="s">
        <v>64</v>
      </c>
      <c r="B492">
        <v>12</v>
      </c>
      <c r="C492" t="s">
        <v>65</v>
      </c>
      <c r="D492">
        <v>86</v>
      </c>
      <c r="E492">
        <v>292.415807363699</v>
      </c>
      <c r="F492">
        <v>46.576367190265202</v>
      </c>
      <c r="G492" t="s">
        <v>64</v>
      </c>
      <c r="H492">
        <v>12</v>
      </c>
      <c r="I492">
        <v>86</v>
      </c>
      <c r="J492">
        <v>12.068005080179001</v>
      </c>
      <c r="K492" t="b">
        <f t="shared" si="35"/>
        <v>1</v>
      </c>
      <c r="L492">
        <f t="shared" si="36"/>
        <v>351.0601796341432</v>
      </c>
      <c r="M492">
        <f t="shared" si="37"/>
        <v>702.12035926828639</v>
      </c>
      <c r="N492">
        <f t="shared" si="38"/>
        <v>1746.5680578813094</v>
      </c>
      <c r="O492" s="21">
        <f t="shared" si="39"/>
        <v>1671.7151411149678</v>
      </c>
    </row>
    <row r="493" spans="1:15" x14ac:dyDescent="0.35">
      <c r="A493" t="s">
        <v>64</v>
      </c>
      <c r="B493">
        <v>12</v>
      </c>
      <c r="C493" t="s">
        <v>65</v>
      </c>
      <c r="D493">
        <v>87</v>
      </c>
      <c r="E493">
        <v>294.53368207008901</v>
      </c>
      <c r="F493">
        <v>46.8590251806297</v>
      </c>
      <c r="G493" t="s">
        <v>64</v>
      </c>
      <c r="H493">
        <v>12</v>
      </c>
      <c r="I493">
        <v>87</v>
      </c>
      <c r="J493">
        <v>12.1619664670835</v>
      </c>
      <c r="K493" t="b">
        <f t="shared" si="35"/>
        <v>1</v>
      </c>
      <c r="L493">
        <f t="shared" si="36"/>
        <v>353.55467371780225</v>
      </c>
      <c r="M493">
        <f t="shared" si="37"/>
        <v>707.10934743560449</v>
      </c>
      <c r="N493">
        <f t="shared" si="38"/>
        <v>1758.9784762079712</v>
      </c>
      <c r="O493" s="21">
        <f t="shared" si="39"/>
        <v>1683.5936843704869</v>
      </c>
    </row>
    <row r="494" spans="1:15" x14ac:dyDescent="0.35">
      <c r="A494" t="s">
        <v>64</v>
      </c>
      <c r="B494">
        <v>12</v>
      </c>
      <c r="C494" t="s">
        <v>65</v>
      </c>
      <c r="D494">
        <v>88</v>
      </c>
      <c r="E494">
        <v>296.64321983237801</v>
      </c>
      <c r="F494">
        <v>47.151311917962197</v>
      </c>
      <c r="G494" t="s">
        <v>64</v>
      </c>
      <c r="H494">
        <v>12</v>
      </c>
      <c r="I494">
        <v>88</v>
      </c>
      <c r="J494">
        <v>12.254745029051</v>
      </c>
      <c r="K494" t="b">
        <f t="shared" si="35"/>
        <v>1</v>
      </c>
      <c r="L494">
        <f t="shared" si="36"/>
        <v>356.04927677939116</v>
      </c>
      <c r="M494">
        <f t="shared" si="37"/>
        <v>712.09855355878233</v>
      </c>
      <c r="N494">
        <f t="shared" si="38"/>
        <v>1771.3894367133887</v>
      </c>
      <c r="O494" s="21">
        <f t="shared" si="39"/>
        <v>1695.4727465685294</v>
      </c>
    </row>
    <row r="495" spans="1:15" x14ac:dyDescent="0.35">
      <c r="A495" t="s">
        <v>64</v>
      </c>
      <c r="B495">
        <v>12</v>
      </c>
      <c r="C495" t="s">
        <v>65</v>
      </c>
      <c r="D495">
        <v>89</v>
      </c>
      <c r="E495">
        <v>298.33770779944302</v>
      </c>
      <c r="F495">
        <v>47.343110056561102</v>
      </c>
      <c r="G495" t="s">
        <v>64</v>
      </c>
      <c r="H495">
        <v>12</v>
      </c>
      <c r="I495">
        <v>89</v>
      </c>
      <c r="J495">
        <v>12.341001495384701</v>
      </c>
      <c r="K495" t="b">
        <f t="shared" si="35"/>
        <v>1</v>
      </c>
      <c r="L495">
        <f t="shared" si="36"/>
        <v>358.02181935138884</v>
      </c>
      <c r="M495">
        <f t="shared" si="37"/>
        <v>716.04363870277768</v>
      </c>
      <c r="N495">
        <f t="shared" si="38"/>
        <v>1781.2030813501931</v>
      </c>
      <c r="O495" s="21">
        <f t="shared" si="39"/>
        <v>1704.865806435185</v>
      </c>
    </row>
    <row r="496" spans="1:15" x14ac:dyDescent="0.35">
      <c r="A496" t="s">
        <v>64</v>
      </c>
      <c r="B496">
        <v>12</v>
      </c>
      <c r="C496" t="s">
        <v>65</v>
      </c>
      <c r="D496">
        <v>90</v>
      </c>
      <c r="E496">
        <v>300.06316883477598</v>
      </c>
      <c r="F496">
        <v>47.511025214247098</v>
      </c>
      <c r="G496" t="s">
        <v>64</v>
      </c>
      <c r="H496">
        <v>12</v>
      </c>
      <c r="I496">
        <v>90</v>
      </c>
      <c r="J496">
        <v>12.423418243423299</v>
      </c>
      <c r="K496" t="b">
        <f t="shared" si="35"/>
        <v>1</v>
      </c>
      <c r="L496">
        <f t="shared" si="36"/>
        <v>359.99761229244632</v>
      </c>
      <c r="M496">
        <f t="shared" si="37"/>
        <v>719.99522458489264</v>
      </c>
      <c r="N496">
        <f t="shared" si="38"/>
        <v>1791.0328969773448</v>
      </c>
      <c r="O496" s="21">
        <f t="shared" si="39"/>
        <v>1714.2743442497444</v>
      </c>
    </row>
    <row r="497" spans="1:15" x14ac:dyDescent="0.35">
      <c r="A497" t="s">
        <v>64</v>
      </c>
      <c r="B497">
        <v>12</v>
      </c>
      <c r="C497" t="s">
        <v>65</v>
      </c>
      <c r="D497">
        <v>91</v>
      </c>
      <c r="E497">
        <v>301.79407305850901</v>
      </c>
      <c r="F497">
        <v>47.679286028073797</v>
      </c>
      <c r="G497" t="s">
        <v>64</v>
      </c>
      <c r="H497">
        <v>12</v>
      </c>
      <c r="I497">
        <v>91</v>
      </c>
      <c r="J497">
        <v>12.5033244037787</v>
      </c>
      <c r="K497" t="b">
        <f t="shared" si="35"/>
        <v>1</v>
      </c>
      <c r="L497">
        <f t="shared" si="36"/>
        <v>361.97668349036155</v>
      </c>
      <c r="M497">
        <f t="shared" si="37"/>
        <v>723.9533669807231</v>
      </c>
      <c r="N497">
        <f t="shared" si="38"/>
        <v>1800.8790223401072</v>
      </c>
      <c r="O497" s="21">
        <f t="shared" si="39"/>
        <v>1723.6984928112456</v>
      </c>
    </row>
    <row r="498" spans="1:15" x14ac:dyDescent="0.35">
      <c r="A498" t="s">
        <v>64</v>
      </c>
      <c r="B498">
        <v>12</v>
      </c>
      <c r="C498" t="s">
        <v>65</v>
      </c>
      <c r="D498">
        <v>92</v>
      </c>
      <c r="E498">
        <v>303.52221139841299</v>
      </c>
      <c r="F498">
        <v>47.855250659861902</v>
      </c>
      <c r="G498" t="s">
        <v>64</v>
      </c>
      <c r="H498">
        <v>12</v>
      </c>
      <c r="I498">
        <v>92</v>
      </c>
      <c r="J498">
        <v>12.5814571909776</v>
      </c>
      <c r="K498" t="b">
        <f t="shared" si="35"/>
        <v>1</v>
      </c>
      <c r="L498">
        <f t="shared" si="36"/>
        <v>363.95891924925246</v>
      </c>
      <c r="M498">
        <f t="shared" si="37"/>
        <v>727.91783849850492</v>
      </c>
      <c r="N498">
        <f t="shared" si="38"/>
        <v>1810.7408917873256</v>
      </c>
      <c r="O498" s="21">
        <f t="shared" si="39"/>
        <v>1733.137710710726</v>
      </c>
    </row>
    <row r="499" spans="1:15" x14ac:dyDescent="0.35">
      <c r="A499" t="s">
        <v>64</v>
      </c>
      <c r="B499">
        <v>12</v>
      </c>
      <c r="C499" t="s">
        <v>65</v>
      </c>
      <c r="D499">
        <v>93</v>
      </c>
      <c r="E499">
        <v>305.244950564372</v>
      </c>
      <c r="F499">
        <v>48.040868367859701</v>
      </c>
      <c r="G499" t="s">
        <v>64</v>
      </c>
      <c r="H499">
        <v>12</v>
      </c>
      <c r="I499">
        <v>93</v>
      </c>
      <c r="J499">
        <v>12.6582646565108</v>
      </c>
      <c r="K499" t="b">
        <f t="shared" si="35"/>
        <v>1</v>
      </c>
      <c r="L499">
        <f t="shared" si="36"/>
        <v>365.9440835887425</v>
      </c>
      <c r="M499">
        <f t="shared" si="37"/>
        <v>731.888167177485</v>
      </c>
      <c r="N499">
        <f t="shared" si="38"/>
        <v>1820.6173312872761</v>
      </c>
      <c r="O499" s="21">
        <f t="shared" si="39"/>
        <v>1742.5908742321071</v>
      </c>
    </row>
    <row r="500" spans="1:15" x14ac:dyDescent="0.35">
      <c r="A500" t="s">
        <v>64</v>
      </c>
      <c r="B500">
        <v>12</v>
      </c>
      <c r="C500" t="s">
        <v>65</v>
      </c>
      <c r="D500">
        <v>94</v>
      </c>
      <c r="E500">
        <v>306.69650596077702</v>
      </c>
      <c r="F500">
        <v>48.172774404706701</v>
      </c>
      <c r="G500" t="s">
        <v>64</v>
      </c>
      <c r="H500">
        <v>12</v>
      </c>
      <c r="I500">
        <v>94</v>
      </c>
      <c r="J500">
        <v>12.730414547859199</v>
      </c>
      <c r="K500" t="b">
        <f t="shared" si="35"/>
        <v>1</v>
      </c>
      <c r="L500">
        <f t="shared" si="36"/>
        <v>367.59969491334294</v>
      </c>
      <c r="M500">
        <f t="shared" si="37"/>
        <v>735.19938982668589</v>
      </c>
      <c r="N500">
        <f t="shared" si="38"/>
        <v>1828.8542035489697</v>
      </c>
      <c r="O500" s="21">
        <f t="shared" si="39"/>
        <v>1750.4747376825856</v>
      </c>
    </row>
    <row r="501" spans="1:15" x14ac:dyDescent="0.35">
      <c r="A501" t="s">
        <v>64</v>
      </c>
      <c r="B501">
        <v>12</v>
      </c>
      <c r="C501" t="s">
        <v>65</v>
      </c>
      <c r="D501">
        <v>95</v>
      </c>
      <c r="E501">
        <v>308.164587427036</v>
      </c>
      <c r="F501">
        <v>48.295098082434997</v>
      </c>
      <c r="G501" t="s">
        <v>64</v>
      </c>
      <c r="H501">
        <v>12</v>
      </c>
      <c r="I501">
        <v>95</v>
      </c>
      <c r="J501">
        <v>12.799715623427099</v>
      </c>
      <c r="K501" t="b">
        <f t="shared" si="35"/>
        <v>1</v>
      </c>
      <c r="L501">
        <f t="shared" si="36"/>
        <v>369.25940113289812</v>
      </c>
      <c r="M501">
        <f t="shared" si="37"/>
        <v>738.51880226579624</v>
      </c>
      <c r="N501">
        <f t="shared" si="38"/>
        <v>1837.1114484223785</v>
      </c>
      <c r="O501" s="21">
        <f t="shared" si="39"/>
        <v>1758.3781006328481</v>
      </c>
    </row>
    <row r="502" spans="1:15" x14ac:dyDescent="0.35">
      <c r="A502" t="s">
        <v>64</v>
      </c>
      <c r="B502">
        <v>12</v>
      </c>
      <c r="C502" t="s">
        <v>65</v>
      </c>
      <c r="D502">
        <v>96</v>
      </c>
      <c r="E502">
        <v>309.63451946464602</v>
      </c>
      <c r="F502">
        <v>48.421537244865902</v>
      </c>
      <c r="G502" t="s">
        <v>64</v>
      </c>
      <c r="H502">
        <v>12</v>
      </c>
      <c r="I502">
        <v>96</v>
      </c>
      <c r="J502">
        <v>12.867105980093999</v>
      </c>
      <c r="K502" t="b">
        <f t="shared" si="35"/>
        <v>1</v>
      </c>
      <c r="L502">
        <f t="shared" si="36"/>
        <v>370.92316268960593</v>
      </c>
      <c r="M502">
        <f t="shared" si="37"/>
        <v>741.84632537921186</v>
      </c>
      <c r="N502">
        <f t="shared" si="38"/>
        <v>1845.388869102517</v>
      </c>
      <c r="O502" s="21">
        <f t="shared" si="39"/>
        <v>1766.3007747124093</v>
      </c>
    </row>
    <row r="503" spans="1:15" x14ac:dyDescent="0.35">
      <c r="A503" t="s">
        <v>64</v>
      </c>
      <c r="B503">
        <v>12</v>
      </c>
      <c r="C503" t="s">
        <v>65</v>
      </c>
      <c r="D503">
        <v>97</v>
      </c>
      <c r="E503">
        <v>311.10161797941203</v>
      </c>
      <c r="F503">
        <v>48.556072238373602</v>
      </c>
      <c r="G503" t="s">
        <v>64</v>
      </c>
      <c r="H503">
        <v>12</v>
      </c>
      <c r="I503">
        <v>97</v>
      </c>
      <c r="J503">
        <v>12.9331262855058</v>
      </c>
      <c r="K503" t="b">
        <f t="shared" si="35"/>
        <v>1</v>
      </c>
      <c r="L503">
        <f t="shared" si="36"/>
        <v>372.59081650329142</v>
      </c>
      <c r="M503">
        <f t="shared" si="37"/>
        <v>745.18163300658284</v>
      </c>
      <c r="N503">
        <f t="shared" si="38"/>
        <v>1853.6856542452308</v>
      </c>
      <c r="O503" s="21">
        <f t="shared" si="39"/>
        <v>1774.2419833490069</v>
      </c>
    </row>
    <row r="504" spans="1:15" x14ac:dyDescent="0.35">
      <c r="A504" t="s">
        <v>64</v>
      </c>
      <c r="B504">
        <v>12</v>
      </c>
      <c r="C504" t="s">
        <v>65</v>
      </c>
      <c r="D504">
        <v>98</v>
      </c>
      <c r="E504">
        <v>312.56439180394</v>
      </c>
      <c r="F504">
        <v>48.6995979963149</v>
      </c>
      <c r="G504" t="s">
        <v>64</v>
      </c>
      <c r="H504">
        <v>12</v>
      </c>
      <c r="I504">
        <v>98</v>
      </c>
      <c r="J504">
        <v>12.9981145144815</v>
      </c>
      <c r="K504" t="b">
        <f t="shared" si="35"/>
        <v>1</v>
      </c>
      <c r="L504">
        <f t="shared" si="36"/>
        <v>374.26210431473635</v>
      </c>
      <c r="M504">
        <f t="shared" si="37"/>
        <v>748.5242086294727</v>
      </c>
      <c r="N504">
        <f t="shared" si="38"/>
        <v>1862.0005189787878</v>
      </c>
      <c r="O504" s="21">
        <f t="shared" si="39"/>
        <v>1782.2004967368398</v>
      </c>
    </row>
    <row r="505" spans="1:15" x14ac:dyDescent="0.35">
      <c r="A505" t="s">
        <v>64</v>
      </c>
      <c r="B505">
        <v>12</v>
      </c>
      <c r="C505" t="s">
        <v>65</v>
      </c>
      <c r="D505">
        <v>99</v>
      </c>
      <c r="E505">
        <v>314.05925024371197</v>
      </c>
      <c r="F505">
        <v>48.6778907656577</v>
      </c>
      <c r="G505" t="s">
        <v>64</v>
      </c>
      <c r="H505">
        <v>12</v>
      </c>
      <c r="I505">
        <v>99</v>
      </c>
      <c r="J505">
        <v>13.062799042857501</v>
      </c>
      <c r="K505" t="b">
        <f t="shared" si="35"/>
        <v>1</v>
      </c>
      <c r="L505">
        <f t="shared" si="36"/>
        <v>375.79994005222716</v>
      </c>
      <c r="M505">
        <f t="shared" si="37"/>
        <v>751.59988010445431</v>
      </c>
      <c r="N505">
        <f t="shared" si="38"/>
        <v>1869.651443045906</v>
      </c>
      <c r="O505" s="21">
        <f t="shared" si="39"/>
        <v>1789.5235240582247</v>
      </c>
    </row>
    <row r="506" spans="1:15" x14ac:dyDescent="0.35">
      <c r="A506" t="s">
        <v>64</v>
      </c>
      <c r="B506">
        <v>12</v>
      </c>
      <c r="C506" t="s">
        <v>65</v>
      </c>
      <c r="D506">
        <v>100</v>
      </c>
      <c r="E506">
        <v>315.42333940046802</v>
      </c>
      <c r="F506">
        <v>48.733453595645599</v>
      </c>
      <c r="G506" t="s">
        <v>64</v>
      </c>
      <c r="H506">
        <v>12</v>
      </c>
      <c r="I506">
        <v>100</v>
      </c>
      <c r="J506">
        <v>13.1254334328539</v>
      </c>
      <c r="K506" t="b">
        <f t="shared" si="35"/>
        <v>1</v>
      </c>
      <c r="L506">
        <f t="shared" si="36"/>
        <v>377.28222642896753</v>
      </c>
      <c r="M506">
        <f t="shared" si="37"/>
        <v>754.56445285793507</v>
      </c>
      <c r="N506">
        <f t="shared" si="38"/>
        <v>1877.0260021341667</v>
      </c>
      <c r="O506" s="21">
        <f t="shared" si="39"/>
        <v>1796.5820306141311</v>
      </c>
    </row>
    <row r="507" spans="1:15" x14ac:dyDescent="0.35">
      <c r="A507" t="s">
        <v>66</v>
      </c>
      <c r="B507">
        <v>6</v>
      </c>
      <c r="C507" t="s">
        <v>65</v>
      </c>
      <c r="D507">
        <v>0</v>
      </c>
      <c r="E507">
        <v>0</v>
      </c>
      <c r="F507">
        <v>0</v>
      </c>
      <c r="G507" t="s">
        <v>66</v>
      </c>
      <c r="H507">
        <v>6</v>
      </c>
      <c r="I507">
        <v>0</v>
      </c>
      <c r="J507">
        <v>0</v>
      </c>
      <c r="K507" t="b">
        <f t="shared" si="35"/>
        <v>1</v>
      </c>
      <c r="L507">
        <f t="shared" si="36"/>
        <v>0</v>
      </c>
      <c r="M507">
        <f t="shared" si="37"/>
        <v>0</v>
      </c>
      <c r="N507">
        <f t="shared" ref="N507:N570" si="40">M507/(1-0.621)</f>
        <v>0</v>
      </c>
      <c r="O507" s="21">
        <f t="shared" ref="O507:O570" si="41">M507/0.33</f>
        <v>0</v>
      </c>
    </row>
    <row r="508" spans="1:15" x14ac:dyDescent="0.35">
      <c r="A508" t="s">
        <v>66</v>
      </c>
      <c r="B508">
        <v>6</v>
      </c>
      <c r="C508" t="s">
        <v>65</v>
      </c>
      <c r="D508">
        <v>1</v>
      </c>
      <c r="E508">
        <v>1.23983523582686E-2</v>
      </c>
      <c r="F508" s="15">
        <v>6.4403681703662297E-5</v>
      </c>
      <c r="G508" t="s">
        <v>66</v>
      </c>
      <c r="H508">
        <v>6</v>
      </c>
      <c r="I508">
        <v>1</v>
      </c>
      <c r="J508" s="15">
        <v>1.4025684563329999E-4</v>
      </c>
      <c r="K508" t="b">
        <f t="shared" si="35"/>
        <v>1</v>
      </c>
      <c r="L508" s="15">
        <f t="shared" si="36"/>
        <v>1.2603012885605561E-2</v>
      </c>
      <c r="M508">
        <f t="shared" si="37"/>
        <v>2.5206025771211123E-2</v>
      </c>
      <c r="N508">
        <f t="shared" si="40"/>
        <v>6.6506664303987134E-2</v>
      </c>
      <c r="O508" s="21">
        <f t="shared" si="41"/>
        <v>7.638189627639734E-2</v>
      </c>
    </row>
    <row r="509" spans="1:15" x14ac:dyDescent="0.35">
      <c r="A509" t="s">
        <v>66</v>
      </c>
      <c r="B509">
        <v>6</v>
      </c>
      <c r="C509" t="s">
        <v>65</v>
      </c>
      <c r="D509">
        <v>2</v>
      </c>
      <c r="E509">
        <v>2.7896292806104402E-2</v>
      </c>
      <c r="F509" s="15">
        <v>2.0737985508579001E-4</v>
      </c>
      <c r="G509" t="s">
        <v>66</v>
      </c>
      <c r="H509">
        <v>6</v>
      </c>
      <c r="I509">
        <v>2</v>
      </c>
      <c r="J509" s="15">
        <v>4.0378114050595998E-4</v>
      </c>
      <c r="K509" t="b">
        <f t="shared" si="35"/>
        <v>1</v>
      </c>
      <c r="L509">
        <f t="shared" si="36"/>
        <v>2.8507453801696152E-2</v>
      </c>
      <c r="M509">
        <f t="shared" si="37"/>
        <v>5.7014907603392305E-2</v>
      </c>
      <c r="N509">
        <f t="shared" si="40"/>
        <v>0.15043511241000607</v>
      </c>
      <c r="O509" s="21">
        <f t="shared" si="41"/>
        <v>0.17277244728300697</v>
      </c>
    </row>
    <row r="510" spans="1:15" x14ac:dyDescent="0.35">
      <c r="A510" t="s">
        <v>66</v>
      </c>
      <c r="B510">
        <v>6</v>
      </c>
      <c r="C510" t="s">
        <v>65</v>
      </c>
      <c r="D510">
        <v>3</v>
      </c>
      <c r="E510">
        <v>4.7268718365899298E-2</v>
      </c>
      <c r="F510" s="15">
        <v>4.4669749592843002E-4</v>
      </c>
      <c r="G510" t="s">
        <v>66</v>
      </c>
      <c r="H510">
        <v>6</v>
      </c>
      <c r="I510">
        <v>3</v>
      </c>
      <c r="J510" s="15">
        <v>7.8994023276215996E-4</v>
      </c>
      <c r="K510" t="b">
        <f t="shared" si="35"/>
        <v>1</v>
      </c>
      <c r="L510">
        <f t="shared" si="36"/>
        <v>4.8505356094589891E-2</v>
      </c>
      <c r="M510">
        <f t="shared" si="37"/>
        <v>9.7010712189179782E-2</v>
      </c>
      <c r="N510">
        <f t="shared" si="40"/>
        <v>0.25596493981313928</v>
      </c>
      <c r="O510" s="21">
        <f t="shared" si="41"/>
        <v>0.29397185511872659</v>
      </c>
    </row>
    <row r="511" spans="1:15" x14ac:dyDescent="0.35">
      <c r="A511" t="s">
        <v>66</v>
      </c>
      <c r="B511">
        <v>6</v>
      </c>
      <c r="C511" t="s">
        <v>65</v>
      </c>
      <c r="D511">
        <v>4</v>
      </c>
      <c r="E511">
        <v>7.1484250315642803E-2</v>
      </c>
      <c r="F511" s="15">
        <v>8.0462404837325005E-4</v>
      </c>
      <c r="G511" t="s">
        <v>66</v>
      </c>
      <c r="H511">
        <v>6</v>
      </c>
      <c r="I511">
        <v>4</v>
      </c>
      <c r="J511">
        <v>1.31006280029829E-3</v>
      </c>
      <c r="K511" t="b">
        <f t="shared" si="35"/>
        <v>1</v>
      </c>
      <c r="L511">
        <f t="shared" si="36"/>
        <v>7.3598937164314343E-2</v>
      </c>
      <c r="M511">
        <f t="shared" si="37"/>
        <v>0.14719787432862869</v>
      </c>
      <c r="N511">
        <f t="shared" si="40"/>
        <v>0.38838489268767462</v>
      </c>
      <c r="O511" s="21">
        <f t="shared" si="41"/>
        <v>0.44605416463220809</v>
      </c>
    </row>
    <row r="512" spans="1:15" x14ac:dyDescent="0.35">
      <c r="A512" t="s">
        <v>66</v>
      </c>
      <c r="B512">
        <v>6</v>
      </c>
      <c r="C512" t="s">
        <v>65</v>
      </c>
      <c r="D512">
        <v>5</v>
      </c>
      <c r="E512">
        <v>0.10175366525282201</v>
      </c>
      <c r="F512">
        <v>1.30904835527907E-3</v>
      </c>
      <c r="G512" t="s">
        <v>66</v>
      </c>
      <c r="H512">
        <v>6</v>
      </c>
      <c r="I512">
        <v>5</v>
      </c>
      <c r="J512">
        <v>1.9855174252183701E-3</v>
      </c>
      <c r="K512" t="b">
        <f t="shared" si="35"/>
        <v>1</v>
      </c>
      <c r="L512">
        <f t="shared" si="36"/>
        <v>0.10504823103331944</v>
      </c>
      <c r="M512">
        <f t="shared" si="37"/>
        <v>0.21009646206663887</v>
      </c>
      <c r="N512">
        <f t="shared" si="40"/>
        <v>0.55434422708875697</v>
      </c>
      <c r="O512" s="21">
        <f t="shared" si="41"/>
        <v>0.63665594565648143</v>
      </c>
    </row>
    <row r="513" spans="1:15" x14ac:dyDescent="0.35">
      <c r="A513" t="s">
        <v>66</v>
      </c>
      <c r="B513">
        <v>6</v>
      </c>
      <c r="C513" t="s">
        <v>65</v>
      </c>
      <c r="D513">
        <v>6</v>
      </c>
      <c r="E513">
        <v>0.13959043392429599</v>
      </c>
      <c r="F513">
        <v>1.9948843717706201E-3</v>
      </c>
      <c r="G513" t="s">
        <v>66</v>
      </c>
      <c r="H513">
        <v>6</v>
      </c>
      <c r="I513">
        <v>6</v>
      </c>
      <c r="J513">
        <v>2.8473609279533298E-3</v>
      </c>
      <c r="K513" t="b">
        <f t="shared" si="35"/>
        <v>1</v>
      </c>
      <c r="L513">
        <f t="shared" si="36"/>
        <v>0.14443267922401992</v>
      </c>
      <c r="M513">
        <f t="shared" si="37"/>
        <v>0.28886535844803984</v>
      </c>
      <c r="N513">
        <f t="shared" si="40"/>
        <v>0.76217772677583073</v>
      </c>
      <c r="O513" s="21">
        <f t="shared" si="41"/>
        <v>0.87534957105466615</v>
      </c>
    </row>
    <row r="514" spans="1:15" x14ac:dyDescent="0.35">
      <c r="A514" t="s">
        <v>66</v>
      </c>
      <c r="B514">
        <v>6</v>
      </c>
      <c r="C514" t="s">
        <v>65</v>
      </c>
      <c r="D514">
        <v>7</v>
      </c>
      <c r="E514">
        <v>0.186886394763639</v>
      </c>
      <c r="F514">
        <v>2.90582585625857E-3</v>
      </c>
      <c r="G514" t="s">
        <v>66</v>
      </c>
      <c r="H514">
        <v>6</v>
      </c>
      <c r="I514">
        <v>7</v>
      </c>
      <c r="J514">
        <v>3.93707926051764E-3</v>
      </c>
      <c r="K514" t="b">
        <f t="shared" ref="K514:K577" si="42">H514=B514</f>
        <v>1</v>
      </c>
      <c r="L514">
        <f t="shared" ref="L514:L577" si="43">E514+F514+J514</f>
        <v>0.19372929988041521</v>
      </c>
      <c r="M514">
        <f t="shared" ref="M514:M577" si="44">L514*2</f>
        <v>0.38745859976083041</v>
      </c>
      <c r="N514">
        <f t="shared" si="40"/>
        <v>1.022318205173695</v>
      </c>
      <c r="O514" s="21">
        <f t="shared" si="41"/>
        <v>1.1741169689722133</v>
      </c>
    </row>
    <row r="515" spans="1:15" x14ac:dyDescent="0.35">
      <c r="A515" t="s">
        <v>66</v>
      </c>
      <c r="B515">
        <v>6</v>
      </c>
      <c r="C515" t="s">
        <v>65</v>
      </c>
      <c r="D515">
        <v>8</v>
      </c>
      <c r="E515">
        <v>0.246006345812817</v>
      </c>
      <c r="F515">
        <v>4.0965397818258104E-3</v>
      </c>
      <c r="G515" t="s">
        <v>66</v>
      </c>
      <c r="H515">
        <v>6</v>
      </c>
      <c r="I515">
        <v>8</v>
      </c>
      <c r="J515">
        <v>5.3081965250418497E-3</v>
      </c>
      <c r="K515" t="b">
        <f t="shared" si="42"/>
        <v>1</v>
      </c>
      <c r="L515">
        <f t="shared" si="43"/>
        <v>0.25541108211968466</v>
      </c>
      <c r="M515">
        <f t="shared" si="44"/>
        <v>0.51082216423936933</v>
      </c>
      <c r="N515">
        <f t="shared" si="40"/>
        <v>1.3478157367793386</v>
      </c>
      <c r="O515" s="21">
        <f t="shared" si="41"/>
        <v>1.547945952240513</v>
      </c>
    </row>
    <row r="516" spans="1:15" x14ac:dyDescent="0.35">
      <c r="A516" t="s">
        <v>66</v>
      </c>
      <c r="B516">
        <v>6</v>
      </c>
      <c r="C516" t="s">
        <v>65</v>
      </c>
      <c r="D516">
        <v>9</v>
      </c>
      <c r="E516">
        <v>0.31990628462429099</v>
      </c>
      <c r="F516">
        <v>5.6354081466434497E-3</v>
      </c>
      <c r="G516" t="s">
        <v>66</v>
      </c>
      <c r="H516">
        <v>6</v>
      </c>
      <c r="I516">
        <v>9</v>
      </c>
      <c r="J516">
        <v>7.0286837464657399E-3</v>
      </c>
      <c r="K516" t="b">
        <f t="shared" si="42"/>
        <v>1</v>
      </c>
      <c r="L516">
        <f t="shared" si="43"/>
        <v>0.33257037651740018</v>
      </c>
      <c r="M516">
        <f t="shared" si="44"/>
        <v>0.66514075303480036</v>
      </c>
      <c r="N516">
        <f t="shared" si="40"/>
        <v>1.7549887942870721</v>
      </c>
      <c r="O516" s="21">
        <f t="shared" si="41"/>
        <v>2.015578039499395</v>
      </c>
    </row>
    <row r="517" spans="1:15" x14ac:dyDescent="0.35">
      <c r="A517" t="s">
        <v>66</v>
      </c>
      <c r="B517">
        <v>6</v>
      </c>
      <c r="C517" t="s">
        <v>65</v>
      </c>
      <c r="D517">
        <v>10</v>
      </c>
      <c r="E517">
        <v>0.412281208138632</v>
      </c>
      <c r="F517">
        <v>7.6079552817883197E-3</v>
      </c>
      <c r="G517" t="s">
        <v>66</v>
      </c>
      <c r="H517">
        <v>6</v>
      </c>
      <c r="I517">
        <v>10</v>
      </c>
      <c r="J517">
        <v>9.18420308396929E-3</v>
      </c>
      <c r="K517" t="b">
        <f t="shared" si="42"/>
        <v>1</v>
      </c>
      <c r="L517">
        <f t="shared" si="43"/>
        <v>0.4290733665043896</v>
      </c>
      <c r="M517">
        <f t="shared" si="44"/>
        <v>0.85814673300877919</v>
      </c>
      <c r="N517">
        <f t="shared" si="40"/>
        <v>2.2642394010785729</v>
      </c>
      <c r="O517" s="21">
        <f t="shared" si="41"/>
        <v>2.600444645481149</v>
      </c>
    </row>
    <row r="518" spans="1:15" x14ac:dyDescent="0.35">
      <c r="A518" t="s">
        <v>66</v>
      </c>
      <c r="B518">
        <v>6</v>
      </c>
      <c r="C518" t="s">
        <v>65</v>
      </c>
      <c r="D518">
        <v>11</v>
      </c>
      <c r="E518">
        <v>0.52774986253155898</v>
      </c>
      <c r="F518">
        <v>1.01211320294685E-2</v>
      </c>
      <c r="G518" t="s">
        <v>66</v>
      </c>
      <c r="H518">
        <v>6</v>
      </c>
      <c r="I518">
        <v>11</v>
      </c>
      <c r="J518">
        <v>1.18823013845252E-2</v>
      </c>
      <c r="K518" t="b">
        <f t="shared" si="42"/>
        <v>1</v>
      </c>
      <c r="L518">
        <f t="shared" si="43"/>
        <v>0.54975329594555267</v>
      </c>
      <c r="M518">
        <f t="shared" si="44"/>
        <v>1.0995065918911053</v>
      </c>
      <c r="N518">
        <f t="shared" si="40"/>
        <v>2.901072801823497</v>
      </c>
      <c r="O518" s="21">
        <f t="shared" si="41"/>
        <v>3.3318381572457736</v>
      </c>
    </row>
    <row r="519" spans="1:15" x14ac:dyDescent="0.35">
      <c r="A519" t="s">
        <v>66</v>
      </c>
      <c r="B519">
        <v>6</v>
      </c>
      <c r="C519" t="s">
        <v>65</v>
      </c>
      <c r="D519">
        <v>12</v>
      </c>
      <c r="E519">
        <v>0.672085680522718</v>
      </c>
      <c r="F519">
        <v>1.33086710079555E-2</v>
      </c>
      <c r="G519" t="s">
        <v>66</v>
      </c>
      <c r="H519">
        <v>6</v>
      </c>
      <c r="I519">
        <v>12</v>
      </c>
      <c r="J519">
        <v>1.52577351916715E-2</v>
      </c>
      <c r="K519" t="b">
        <f t="shared" si="42"/>
        <v>1</v>
      </c>
      <c r="L519">
        <f t="shared" si="43"/>
        <v>0.70065208672234502</v>
      </c>
      <c r="M519">
        <f t="shared" si="44"/>
        <v>1.40130417344469</v>
      </c>
      <c r="N519">
        <f t="shared" si="40"/>
        <v>3.6973724892999735</v>
      </c>
      <c r="O519" s="21">
        <f t="shared" si="41"/>
        <v>4.246376283165727</v>
      </c>
    </row>
    <row r="520" spans="1:15" x14ac:dyDescent="0.35">
      <c r="A520" t="s">
        <v>66</v>
      </c>
      <c r="B520">
        <v>6</v>
      </c>
      <c r="C520" t="s">
        <v>65</v>
      </c>
      <c r="D520">
        <v>13</v>
      </c>
      <c r="E520">
        <v>0.85250545301166503</v>
      </c>
      <c r="F520">
        <v>1.73377807336343E-2</v>
      </c>
      <c r="G520" t="s">
        <v>66</v>
      </c>
      <c r="H520">
        <v>6</v>
      </c>
      <c r="I520">
        <v>13</v>
      </c>
      <c r="J520">
        <v>1.9479177707218201E-2</v>
      </c>
      <c r="K520" t="b">
        <f t="shared" si="42"/>
        <v>1</v>
      </c>
      <c r="L520">
        <f t="shared" si="43"/>
        <v>0.88932241145251756</v>
      </c>
      <c r="M520">
        <f t="shared" si="44"/>
        <v>1.7786448229050351</v>
      </c>
      <c r="N520">
        <f t="shared" si="40"/>
        <v>4.6929942556861084</v>
      </c>
      <c r="O520" s="21">
        <f t="shared" si="41"/>
        <v>5.3898327966819242</v>
      </c>
    </row>
    <row r="521" spans="1:15" x14ac:dyDescent="0.35">
      <c r="A521" t="s">
        <v>66</v>
      </c>
      <c r="B521">
        <v>6</v>
      </c>
      <c r="C521" t="s">
        <v>65</v>
      </c>
      <c r="D521">
        <v>14</v>
      </c>
      <c r="E521">
        <v>1.07803016862284</v>
      </c>
      <c r="F521">
        <v>2.2417513313225699E-2</v>
      </c>
      <c r="G521" t="s">
        <v>66</v>
      </c>
      <c r="H521">
        <v>6</v>
      </c>
      <c r="I521">
        <v>14</v>
      </c>
      <c r="J521">
        <v>2.4757634032829299E-2</v>
      </c>
      <c r="K521" t="b">
        <f t="shared" si="42"/>
        <v>1</v>
      </c>
      <c r="L521">
        <f t="shared" si="43"/>
        <v>1.1252053159688948</v>
      </c>
      <c r="M521">
        <f t="shared" si="44"/>
        <v>2.2504106319377897</v>
      </c>
      <c r="N521">
        <f t="shared" si="40"/>
        <v>5.9377589233187065</v>
      </c>
      <c r="O521" s="21">
        <f t="shared" si="41"/>
        <v>6.819426157387241</v>
      </c>
    </row>
    <row r="522" spans="1:15" x14ac:dyDescent="0.35">
      <c r="A522" t="s">
        <v>66</v>
      </c>
      <c r="B522">
        <v>6</v>
      </c>
      <c r="C522" t="s">
        <v>65</v>
      </c>
      <c r="D522">
        <v>15</v>
      </c>
      <c r="E522">
        <v>1.35993606313683</v>
      </c>
      <c r="F522">
        <v>2.8809224097533101E-2</v>
      </c>
      <c r="G522" t="s">
        <v>66</v>
      </c>
      <c r="H522">
        <v>6</v>
      </c>
      <c r="I522">
        <v>15</v>
      </c>
      <c r="J522">
        <v>3.13569802728869E-2</v>
      </c>
      <c r="K522" t="b">
        <f t="shared" si="42"/>
        <v>1</v>
      </c>
      <c r="L522">
        <f t="shared" si="43"/>
        <v>1.4201022675072499</v>
      </c>
      <c r="M522">
        <f t="shared" si="44"/>
        <v>2.8402045350144998</v>
      </c>
      <c r="N522">
        <f t="shared" si="40"/>
        <v>7.4939433641543527</v>
      </c>
      <c r="O522" s="21">
        <f t="shared" si="41"/>
        <v>8.6066804091348477</v>
      </c>
    </row>
    <row r="523" spans="1:15" x14ac:dyDescent="0.35">
      <c r="A523" t="s">
        <v>66</v>
      </c>
      <c r="B523">
        <v>6</v>
      </c>
      <c r="C523" t="s">
        <v>65</v>
      </c>
      <c r="D523">
        <v>16</v>
      </c>
      <c r="E523">
        <v>1.7123184312793001</v>
      </c>
      <c r="F523">
        <v>3.6839646285941101E-2</v>
      </c>
      <c r="G523" t="s">
        <v>66</v>
      </c>
      <c r="H523">
        <v>6</v>
      </c>
      <c r="I523">
        <v>16</v>
      </c>
      <c r="J523">
        <v>3.9607150467391598E-2</v>
      </c>
      <c r="K523" t="b">
        <f t="shared" si="42"/>
        <v>1</v>
      </c>
      <c r="L523">
        <f t="shared" si="43"/>
        <v>1.7887652280326327</v>
      </c>
      <c r="M523">
        <f t="shared" si="44"/>
        <v>3.5775304560652654</v>
      </c>
      <c r="N523">
        <f t="shared" si="40"/>
        <v>9.4393943431801191</v>
      </c>
      <c r="O523" s="21">
        <f t="shared" si="41"/>
        <v>10.841001382015955</v>
      </c>
    </row>
    <row r="524" spans="1:15" x14ac:dyDescent="0.35">
      <c r="A524" t="s">
        <v>66</v>
      </c>
      <c r="B524">
        <v>6</v>
      </c>
      <c r="C524" t="s">
        <v>65</v>
      </c>
      <c r="D524">
        <v>17</v>
      </c>
      <c r="E524">
        <v>2.1527963914574002</v>
      </c>
      <c r="F524">
        <v>4.6917234218233898E-2</v>
      </c>
      <c r="G524" t="s">
        <v>66</v>
      </c>
      <c r="H524">
        <v>6</v>
      </c>
      <c r="I524">
        <v>17</v>
      </c>
      <c r="J524">
        <v>4.9920628971372102E-2</v>
      </c>
      <c r="K524" t="b">
        <f t="shared" si="42"/>
        <v>1</v>
      </c>
      <c r="L524">
        <f t="shared" si="43"/>
        <v>2.2496342546470061</v>
      </c>
      <c r="M524">
        <f t="shared" si="44"/>
        <v>4.4992685092940121</v>
      </c>
      <c r="N524">
        <f t="shared" si="40"/>
        <v>11.871420868849636</v>
      </c>
      <c r="O524" s="21">
        <f t="shared" si="41"/>
        <v>13.634146997860642</v>
      </c>
    </row>
    <row r="525" spans="1:15" x14ac:dyDescent="0.35">
      <c r="A525" t="s">
        <v>66</v>
      </c>
      <c r="B525">
        <v>6</v>
      </c>
      <c r="C525" t="s">
        <v>65</v>
      </c>
      <c r="D525">
        <v>18</v>
      </c>
      <c r="E525">
        <v>2.7033938416800201</v>
      </c>
      <c r="F525">
        <v>5.9552592524479399E-2</v>
      </c>
      <c r="G525" t="s">
        <v>66</v>
      </c>
      <c r="H525">
        <v>6</v>
      </c>
      <c r="I525">
        <v>18</v>
      </c>
      <c r="J525">
        <v>6.2813071890735803E-2</v>
      </c>
      <c r="K525" t="b">
        <f t="shared" si="42"/>
        <v>1</v>
      </c>
      <c r="L525">
        <f t="shared" si="43"/>
        <v>2.8257595060952352</v>
      </c>
      <c r="M525">
        <f t="shared" si="44"/>
        <v>5.6515190121904704</v>
      </c>
      <c r="N525">
        <f t="shared" si="40"/>
        <v>14.91165966277169</v>
      </c>
      <c r="O525" s="21">
        <f t="shared" si="41"/>
        <v>17.12581518845597</v>
      </c>
    </row>
    <row r="526" spans="1:15" x14ac:dyDescent="0.35">
      <c r="A526" t="s">
        <v>66</v>
      </c>
      <c r="B526">
        <v>6</v>
      </c>
      <c r="C526" t="s">
        <v>65</v>
      </c>
      <c r="D526">
        <v>19</v>
      </c>
      <c r="E526">
        <v>3.3916406544583002</v>
      </c>
      <c r="F526">
        <v>7.5384012596439398E-2</v>
      </c>
      <c r="G526" t="s">
        <v>66</v>
      </c>
      <c r="H526">
        <v>6</v>
      </c>
      <c r="I526">
        <v>19</v>
      </c>
      <c r="J526">
        <v>7.8929088052775806E-2</v>
      </c>
      <c r="K526" t="b">
        <f t="shared" si="42"/>
        <v>1</v>
      </c>
      <c r="L526">
        <f t="shared" si="43"/>
        <v>3.5459537551075155</v>
      </c>
      <c r="M526">
        <f t="shared" si="44"/>
        <v>7.0919075102150311</v>
      </c>
      <c r="N526">
        <f t="shared" si="40"/>
        <v>18.712157019037022</v>
      </c>
      <c r="O526" s="21">
        <f t="shared" si="41"/>
        <v>21.490628818833425</v>
      </c>
    </row>
    <row r="527" spans="1:15" x14ac:dyDescent="0.35">
      <c r="A527" t="s">
        <v>66</v>
      </c>
      <c r="B527">
        <v>6</v>
      </c>
      <c r="C527" t="s">
        <v>65</v>
      </c>
      <c r="D527">
        <v>20</v>
      </c>
      <c r="E527">
        <v>4.2519491704311401</v>
      </c>
      <c r="F527">
        <v>9.5209393209867696E-2</v>
      </c>
      <c r="G527" t="s">
        <v>66</v>
      </c>
      <c r="H527">
        <v>6</v>
      </c>
      <c r="I527">
        <v>20</v>
      </c>
      <c r="J527">
        <v>9.9074468206812302E-2</v>
      </c>
      <c r="K527" t="b">
        <f t="shared" si="42"/>
        <v>1</v>
      </c>
      <c r="L527">
        <f t="shared" si="43"/>
        <v>4.4462330318478198</v>
      </c>
      <c r="M527">
        <f t="shared" si="44"/>
        <v>8.8924660636956396</v>
      </c>
      <c r="N527">
        <f t="shared" si="40"/>
        <v>23.46297114431567</v>
      </c>
      <c r="O527" s="21">
        <f t="shared" si="41"/>
        <v>26.946866859683755</v>
      </c>
    </row>
    <row r="528" spans="1:15" x14ac:dyDescent="0.35">
      <c r="A528" t="s">
        <v>66</v>
      </c>
      <c r="B528">
        <v>6</v>
      </c>
      <c r="C528" t="s">
        <v>65</v>
      </c>
      <c r="D528">
        <v>21</v>
      </c>
      <c r="E528">
        <v>5.3273348153972</v>
      </c>
      <c r="F528">
        <v>0.120026141334427</v>
      </c>
      <c r="G528" t="s">
        <v>66</v>
      </c>
      <c r="H528">
        <v>6</v>
      </c>
      <c r="I528">
        <v>21</v>
      </c>
      <c r="J528">
        <v>0.12425647370209</v>
      </c>
      <c r="K528" t="b">
        <f t="shared" si="42"/>
        <v>1</v>
      </c>
      <c r="L528">
        <f t="shared" si="43"/>
        <v>5.5716174304337169</v>
      </c>
      <c r="M528">
        <f t="shared" si="44"/>
        <v>11.143234860867434</v>
      </c>
      <c r="N528">
        <f t="shared" si="40"/>
        <v>29.401675094637028</v>
      </c>
      <c r="O528" s="21">
        <f t="shared" si="41"/>
        <v>33.76737836626495</v>
      </c>
    </row>
    <row r="529" spans="1:15" x14ac:dyDescent="0.35">
      <c r="A529" t="s">
        <v>66</v>
      </c>
      <c r="B529">
        <v>6</v>
      </c>
      <c r="C529" t="s">
        <v>65</v>
      </c>
      <c r="D529">
        <v>22</v>
      </c>
      <c r="E529">
        <v>6.6715668716047603</v>
      </c>
      <c r="F529">
        <v>0.151081048177168</v>
      </c>
      <c r="G529" t="s">
        <v>66</v>
      </c>
      <c r="H529">
        <v>6</v>
      </c>
      <c r="I529">
        <v>22</v>
      </c>
      <c r="J529">
        <v>0.15573419894625801</v>
      </c>
      <c r="K529" t="b">
        <f t="shared" si="42"/>
        <v>1</v>
      </c>
      <c r="L529">
        <f t="shared" si="43"/>
        <v>6.9783821187281863</v>
      </c>
      <c r="M529">
        <f t="shared" si="44"/>
        <v>13.956764237456373</v>
      </c>
      <c r="N529">
        <f t="shared" si="40"/>
        <v>36.825235455030004</v>
      </c>
      <c r="O529" s="21">
        <f t="shared" si="41"/>
        <v>42.293224961989004</v>
      </c>
    </row>
    <row r="530" spans="1:15" x14ac:dyDescent="0.35">
      <c r="A530" t="s">
        <v>66</v>
      </c>
      <c r="B530">
        <v>6</v>
      </c>
      <c r="C530" t="s">
        <v>65</v>
      </c>
      <c r="D530">
        <v>23</v>
      </c>
      <c r="E530">
        <v>8.3518569418642201</v>
      </c>
      <c r="F530">
        <v>0.189932634267023</v>
      </c>
      <c r="G530" t="s">
        <v>66</v>
      </c>
      <c r="H530">
        <v>6</v>
      </c>
      <c r="I530">
        <v>23</v>
      </c>
      <c r="J530">
        <v>0.19508152568568299</v>
      </c>
      <c r="K530" t="b">
        <f t="shared" si="42"/>
        <v>1</v>
      </c>
      <c r="L530">
        <f t="shared" si="43"/>
        <v>8.7368711018169272</v>
      </c>
      <c r="M530">
        <f t="shared" si="44"/>
        <v>17.473742203633854</v>
      </c>
      <c r="N530">
        <f t="shared" si="40"/>
        <v>46.10486069560384</v>
      </c>
      <c r="O530" s="21">
        <f t="shared" si="41"/>
        <v>52.950733950405613</v>
      </c>
    </row>
    <row r="531" spans="1:15" x14ac:dyDescent="0.35">
      <c r="A531" t="s">
        <v>66</v>
      </c>
      <c r="B531">
        <v>6</v>
      </c>
      <c r="C531" t="s">
        <v>65</v>
      </c>
      <c r="D531">
        <v>24</v>
      </c>
      <c r="E531">
        <v>10.332729</v>
      </c>
      <c r="F531">
        <v>0.23790838303901199</v>
      </c>
      <c r="G531" t="s">
        <v>66</v>
      </c>
      <c r="H531">
        <v>6</v>
      </c>
      <c r="I531">
        <v>24</v>
      </c>
      <c r="J531">
        <v>0.24291407548205801</v>
      </c>
      <c r="K531" t="b">
        <f t="shared" si="42"/>
        <v>1</v>
      </c>
      <c r="L531">
        <f t="shared" si="43"/>
        <v>10.81355145852107</v>
      </c>
      <c r="M531">
        <f t="shared" si="44"/>
        <v>21.627102917042141</v>
      </c>
      <c r="N531">
        <f t="shared" si="40"/>
        <v>57.063596087182425</v>
      </c>
      <c r="O531" s="21">
        <f t="shared" si="41"/>
        <v>65.536675506188303</v>
      </c>
    </row>
    <row r="532" spans="1:15" x14ac:dyDescent="0.35">
      <c r="A532" t="s">
        <v>66</v>
      </c>
      <c r="B532">
        <v>6</v>
      </c>
      <c r="C532" t="s">
        <v>65</v>
      </c>
      <c r="D532">
        <v>25</v>
      </c>
      <c r="E532">
        <v>12.331638</v>
      </c>
      <c r="F532">
        <v>0.294828263147842</v>
      </c>
      <c r="G532" t="s">
        <v>66</v>
      </c>
      <c r="H532">
        <v>6</v>
      </c>
      <c r="I532">
        <v>25</v>
      </c>
      <c r="J532">
        <v>0.296456667891905</v>
      </c>
      <c r="K532" t="b">
        <f t="shared" si="42"/>
        <v>1</v>
      </c>
      <c r="L532">
        <f t="shared" si="43"/>
        <v>12.922922931039746</v>
      </c>
      <c r="M532">
        <f t="shared" si="44"/>
        <v>25.845845862079493</v>
      </c>
      <c r="N532">
        <f t="shared" si="40"/>
        <v>68.194843963270429</v>
      </c>
      <c r="O532" s="21">
        <f t="shared" si="41"/>
        <v>78.320745036604521</v>
      </c>
    </row>
    <row r="533" spans="1:15" x14ac:dyDescent="0.35">
      <c r="A533" t="s">
        <v>66</v>
      </c>
      <c r="B533">
        <v>6</v>
      </c>
      <c r="C533" t="s">
        <v>65</v>
      </c>
      <c r="D533">
        <v>26</v>
      </c>
      <c r="E533">
        <v>14.330546999999999</v>
      </c>
      <c r="F533">
        <v>0.36042395065340699</v>
      </c>
      <c r="G533" t="s">
        <v>66</v>
      </c>
      <c r="H533">
        <v>6</v>
      </c>
      <c r="I533">
        <v>26</v>
      </c>
      <c r="J533">
        <v>0.35379011608035199</v>
      </c>
      <c r="K533" t="b">
        <f t="shared" si="42"/>
        <v>1</v>
      </c>
      <c r="L533">
        <f t="shared" si="43"/>
        <v>15.044761066733759</v>
      </c>
      <c r="M533">
        <f t="shared" si="44"/>
        <v>30.089522133467518</v>
      </c>
      <c r="N533">
        <f t="shared" si="40"/>
        <v>79.391878980125384</v>
      </c>
      <c r="O533" s="21">
        <f t="shared" si="41"/>
        <v>91.180370101416713</v>
      </c>
    </row>
    <row r="534" spans="1:15" x14ac:dyDescent="0.35">
      <c r="A534" t="s">
        <v>66</v>
      </c>
      <c r="B534">
        <v>6</v>
      </c>
      <c r="C534" t="s">
        <v>65</v>
      </c>
      <c r="D534">
        <v>27</v>
      </c>
      <c r="E534">
        <v>16.329456</v>
      </c>
      <c r="F534">
        <v>0.43443517133380399</v>
      </c>
      <c r="G534" t="s">
        <v>66</v>
      </c>
      <c r="H534">
        <v>6</v>
      </c>
      <c r="I534">
        <v>27</v>
      </c>
      <c r="J534">
        <v>0.413703708947667</v>
      </c>
      <c r="K534" t="b">
        <f t="shared" si="42"/>
        <v>1</v>
      </c>
      <c r="L534">
        <f t="shared" si="43"/>
        <v>17.177594880281472</v>
      </c>
      <c r="M534">
        <f t="shared" si="44"/>
        <v>34.355189760562943</v>
      </c>
      <c r="N534">
        <f t="shared" si="40"/>
        <v>90.646938682224118</v>
      </c>
      <c r="O534" s="21">
        <f t="shared" si="41"/>
        <v>104.10663563806952</v>
      </c>
    </row>
    <row r="535" spans="1:15" x14ac:dyDescent="0.35">
      <c r="A535" t="s">
        <v>66</v>
      </c>
      <c r="B535">
        <v>6</v>
      </c>
      <c r="C535" t="s">
        <v>65</v>
      </c>
      <c r="D535">
        <v>28</v>
      </c>
      <c r="E535">
        <v>18.328364999999899</v>
      </c>
      <c r="F535">
        <v>0.51660945919378998</v>
      </c>
      <c r="G535" t="s">
        <v>66</v>
      </c>
      <c r="H535">
        <v>6</v>
      </c>
      <c r="I535">
        <v>28</v>
      </c>
      <c r="J535">
        <v>0.47541574993673702</v>
      </c>
      <c r="K535" t="b">
        <f t="shared" si="42"/>
        <v>1</v>
      </c>
      <c r="L535">
        <f t="shared" si="43"/>
        <v>19.320390209130426</v>
      </c>
      <c r="M535">
        <f t="shared" si="44"/>
        <v>38.640780418260853</v>
      </c>
      <c r="N535">
        <f t="shared" si="40"/>
        <v>101.95456574739011</v>
      </c>
      <c r="O535" s="21">
        <f t="shared" si="41"/>
        <v>117.09327399472986</v>
      </c>
    </row>
    <row r="536" spans="1:15" x14ac:dyDescent="0.35">
      <c r="A536" t="s">
        <v>66</v>
      </c>
      <c r="B536">
        <v>6</v>
      </c>
      <c r="C536" t="s">
        <v>65</v>
      </c>
      <c r="D536">
        <v>29</v>
      </c>
      <c r="E536">
        <v>20.743964999999999</v>
      </c>
      <c r="F536">
        <v>0.60886643841797705</v>
      </c>
      <c r="G536" t="s">
        <v>66</v>
      </c>
      <c r="H536">
        <v>6</v>
      </c>
      <c r="I536">
        <v>29</v>
      </c>
      <c r="J536">
        <v>0.54312277595969405</v>
      </c>
      <c r="K536" t="b">
        <f t="shared" si="42"/>
        <v>1</v>
      </c>
      <c r="L536">
        <f t="shared" si="43"/>
        <v>21.895954214377671</v>
      </c>
      <c r="M536">
        <f t="shared" si="44"/>
        <v>43.791908428755342</v>
      </c>
      <c r="N536">
        <f t="shared" si="40"/>
        <v>115.54593252969747</v>
      </c>
      <c r="O536" s="21">
        <f t="shared" si="41"/>
        <v>132.70275281441013</v>
      </c>
    </row>
    <row r="537" spans="1:15" x14ac:dyDescent="0.35">
      <c r="A537" t="s">
        <v>66</v>
      </c>
      <c r="B537">
        <v>6</v>
      </c>
      <c r="C537" t="s">
        <v>65</v>
      </c>
      <c r="D537">
        <v>30</v>
      </c>
      <c r="E537">
        <v>23.159565000000001</v>
      </c>
      <c r="F537">
        <v>0.71090362826543696</v>
      </c>
      <c r="G537" t="s">
        <v>66</v>
      </c>
      <c r="H537">
        <v>6</v>
      </c>
      <c r="I537">
        <v>30</v>
      </c>
      <c r="J537">
        <v>0.61472436780029005</v>
      </c>
      <c r="K537" t="b">
        <f t="shared" si="42"/>
        <v>1</v>
      </c>
      <c r="L537">
        <f t="shared" si="43"/>
        <v>24.485192996065727</v>
      </c>
      <c r="M537">
        <f t="shared" si="44"/>
        <v>48.970385992131455</v>
      </c>
      <c r="N537">
        <f t="shared" si="40"/>
        <v>129.20946172066346</v>
      </c>
      <c r="O537" s="21">
        <f t="shared" si="41"/>
        <v>148.39510906706499</v>
      </c>
    </row>
    <row r="538" spans="1:15" x14ac:dyDescent="0.35">
      <c r="A538" t="s">
        <v>66</v>
      </c>
      <c r="B538">
        <v>6</v>
      </c>
      <c r="C538" t="s">
        <v>65</v>
      </c>
      <c r="D538">
        <v>31</v>
      </c>
      <c r="E538">
        <v>25.575164999999998</v>
      </c>
      <c r="F538">
        <v>0.82242762241747402</v>
      </c>
      <c r="G538" t="s">
        <v>66</v>
      </c>
      <c r="H538">
        <v>6</v>
      </c>
      <c r="I538">
        <v>31</v>
      </c>
      <c r="J538">
        <v>0.68891963744970897</v>
      </c>
      <c r="K538" t="b">
        <f t="shared" si="42"/>
        <v>1</v>
      </c>
      <c r="L538">
        <f t="shared" si="43"/>
        <v>27.086512259867181</v>
      </c>
      <c r="M538">
        <f t="shared" si="44"/>
        <v>54.173024519734362</v>
      </c>
      <c r="N538">
        <f t="shared" si="40"/>
        <v>142.93674015761044</v>
      </c>
      <c r="O538" s="21">
        <f t="shared" si="41"/>
        <v>164.16068036283139</v>
      </c>
    </row>
    <row r="539" spans="1:15" x14ac:dyDescent="0.35">
      <c r="A539" t="s">
        <v>66</v>
      </c>
      <c r="B539">
        <v>6</v>
      </c>
      <c r="C539" t="s">
        <v>65</v>
      </c>
      <c r="D539">
        <v>32</v>
      </c>
      <c r="E539">
        <v>27.990765</v>
      </c>
      <c r="F539">
        <v>0.94315381674495002</v>
      </c>
      <c r="G539" t="s">
        <v>66</v>
      </c>
      <c r="H539">
        <v>6</v>
      </c>
      <c r="I539">
        <v>32</v>
      </c>
      <c r="J539">
        <v>0.76488563477813398</v>
      </c>
      <c r="K539" t="b">
        <f t="shared" si="42"/>
        <v>1</v>
      </c>
      <c r="L539">
        <f t="shared" si="43"/>
        <v>29.698804451523085</v>
      </c>
      <c r="M539">
        <f t="shared" si="44"/>
        <v>59.397608903046169</v>
      </c>
      <c r="N539">
        <f t="shared" si="40"/>
        <v>156.72192322703475</v>
      </c>
      <c r="O539" s="21">
        <f t="shared" si="41"/>
        <v>179.99275425165504</v>
      </c>
    </row>
    <row r="540" spans="1:15" x14ac:dyDescent="0.35">
      <c r="A540" t="s">
        <v>66</v>
      </c>
      <c r="B540">
        <v>6</v>
      </c>
      <c r="C540" t="s">
        <v>65</v>
      </c>
      <c r="D540">
        <v>33</v>
      </c>
      <c r="E540">
        <v>30.406365000000001</v>
      </c>
      <c r="F540">
        <v>1.0728061452426001</v>
      </c>
      <c r="G540" t="s">
        <v>66</v>
      </c>
      <c r="H540">
        <v>6</v>
      </c>
      <c r="I540">
        <v>33</v>
      </c>
      <c r="J540">
        <v>0.84208941228790202</v>
      </c>
      <c r="K540" t="b">
        <f t="shared" si="42"/>
        <v>1</v>
      </c>
      <c r="L540">
        <f t="shared" si="43"/>
        <v>32.321260557530508</v>
      </c>
      <c r="M540">
        <f t="shared" si="44"/>
        <v>64.642521115061015</v>
      </c>
      <c r="N540">
        <f t="shared" si="40"/>
        <v>170.56074172839317</v>
      </c>
      <c r="O540" s="21">
        <f t="shared" si="41"/>
        <v>195.88642762139702</v>
      </c>
    </row>
    <row r="541" spans="1:15" x14ac:dyDescent="0.35">
      <c r="A541" t="s">
        <v>66</v>
      </c>
      <c r="B541">
        <v>6</v>
      </c>
      <c r="C541" t="s">
        <v>65</v>
      </c>
      <c r="D541">
        <v>34</v>
      </c>
      <c r="E541">
        <v>33.232616999999998</v>
      </c>
      <c r="F541">
        <v>1.2132499702853199</v>
      </c>
      <c r="G541" t="s">
        <v>66</v>
      </c>
      <c r="H541">
        <v>6</v>
      </c>
      <c r="I541">
        <v>34</v>
      </c>
      <c r="J541">
        <v>0.92482269829675401</v>
      </c>
      <c r="K541" t="b">
        <f t="shared" si="42"/>
        <v>1</v>
      </c>
      <c r="L541">
        <f t="shared" si="43"/>
        <v>35.370689668582067</v>
      </c>
      <c r="M541">
        <f t="shared" si="44"/>
        <v>70.741379337164133</v>
      </c>
      <c r="N541">
        <f t="shared" si="40"/>
        <v>186.65271592919296</v>
      </c>
      <c r="O541" s="21">
        <f t="shared" si="41"/>
        <v>214.36781617322464</v>
      </c>
    </row>
    <row r="542" spans="1:15" x14ac:dyDescent="0.35">
      <c r="A542" t="s">
        <v>66</v>
      </c>
      <c r="B542">
        <v>6</v>
      </c>
      <c r="C542" t="s">
        <v>65</v>
      </c>
      <c r="D542">
        <v>35</v>
      </c>
      <c r="E542">
        <v>36.058869000000001</v>
      </c>
      <c r="F542">
        <v>1.3641615469767601</v>
      </c>
      <c r="G542" t="s">
        <v>66</v>
      </c>
      <c r="H542">
        <v>6</v>
      </c>
      <c r="I542">
        <v>35</v>
      </c>
      <c r="J542">
        <v>1.01112062369485</v>
      </c>
      <c r="K542" t="b">
        <f t="shared" si="42"/>
        <v>1</v>
      </c>
      <c r="L542">
        <f t="shared" si="43"/>
        <v>38.434151170671612</v>
      </c>
      <c r="M542">
        <f t="shared" si="44"/>
        <v>76.868302341343224</v>
      </c>
      <c r="N542">
        <f t="shared" si="40"/>
        <v>202.81873968692145</v>
      </c>
      <c r="O542" s="21">
        <f t="shared" si="41"/>
        <v>232.93424951922188</v>
      </c>
    </row>
    <row r="543" spans="1:15" x14ac:dyDescent="0.35">
      <c r="A543" t="s">
        <v>66</v>
      </c>
      <c r="B543">
        <v>6</v>
      </c>
      <c r="C543" t="s">
        <v>65</v>
      </c>
      <c r="D543">
        <v>36</v>
      </c>
      <c r="E543">
        <v>38.885120999999998</v>
      </c>
      <c r="F543">
        <v>1.52522684276746</v>
      </c>
      <c r="G543" t="s">
        <v>66</v>
      </c>
      <c r="H543">
        <v>6</v>
      </c>
      <c r="I543">
        <v>36</v>
      </c>
      <c r="J543">
        <v>1.0997737183809999</v>
      </c>
      <c r="K543" t="b">
        <f t="shared" si="42"/>
        <v>1</v>
      </c>
      <c r="L543">
        <f t="shared" si="43"/>
        <v>41.510121561148459</v>
      </c>
      <c r="M543">
        <f t="shared" si="44"/>
        <v>83.020243122296918</v>
      </c>
      <c r="N543">
        <f t="shared" si="40"/>
        <v>219.05077340975441</v>
      </c>
      <c r="O543" s="21">
        <f t="shared" si="41"/>
        <v>251.57649430999064</v>
      </c>
    </row>
    <row r="544" spans="1:15" x14ac:dyDescent="0.35">
      <c r="A544" t="s">
        <v>66</v>
      </c>
      <c r="B544">
        <v>6</v>
      </c>
      <c r="C544" t="s">
        <v>65</v>
      </c>
      <c r="D544">
        <v>37</v>
      </c>
      <c r="E544">
        <v>41.711372999999902</v>
      </c>
      <c r="F544">
        <v>1.6961412460844401</v>
      </c>
      <c r="G544" t="s">
        <v>66</v>
      </c>
      <c r="H544">
        <v>6</v>
      </c>
      <c r="I544">
        <v>37</v>
      </c>
      <c r="J544">
        <v>1.19002220617259</v>
      </c>
      <c r="K544" t="b">
        <f t="shared" si="42"/>
        <v>1</v>
      </c>
      <c r="L544">
        <f t="shared" si="43"/>
        <v>44.597536452256932</v>
      </c>
      <c r="M544">
        <f t="shared" si="44"/>
        <v>89.195072904513864</v>
      </c>
      <c r="N544">
        <f t="shared" si="40"/>
        <v>235.34320027576217</v>
      </c>
      <c r="O544" s="21">
        <f t="shared" si="41"/>
        <v>270.28809971064805</v>
      </c>
    </row>
    <row r="545" spans="1:15" x14ac:dyDescent="0.35">
      <c r="A545" t="s">
        <v>66</v>
      </c>
      <c r="B545">
        <v>6</v>
      </c>
      <c r="C545" t="s">
        <v>65</v>
      </c>
      <c r="D545">
        <v>38</v>
      </c>
      <c r="E545">
        <v>44.537624999999998</v>
      </c>
      <c r="F545">
        <v>1.8766092837018999</v>
      </c>
      <c r="G545" t="s">
        <v>66</v>
      </c>
      <c r="H545">
        <v>6</v>
      </c>
      <c r="I545">
        <v>38</v>
      </c>
      <c r="J545">
        <v>1.2813777944031</v>
      </c>
      <c r="K545" t="b">
        <f t="shared" si="42"/>
        <v>1</v>
      </c>
      <c r="L545">
        <f t="shared" si="43"/>
        <v>47.695612078105</v>
      </c>
      <c r="M545">
        <f t="shared" si="44"/>
        <v>95.391224156210001</v>
      </c>
      <c r="N545">
        <f t="shared" si="40"/>
        <v>251.69188431717677</v>
      </c>
      <c r="O545" s="21">
        <f t="shared" si="41"/>
        <v>289.06431562487876</v>
      </c>
    </row>
    <row r="546" spans="1:15" x14ac:dyDescent="0.35">
      <c r="A546" t="s">
        <v>66</v>
      </c>
      <c r="B546">
        <v>6</v>
      </c>
      <c r="C546" t="s">
        <v>65</v>
      </c>
      <c r="D546">
        <v>39</v>
      </c>
      <c r="E546">
        <v>47.611475999999897</v>
      </c>
      <c r="F546">
        <v>2.0676305083908502</v>
      </c>
      <c r="G546" t="s">
        <v>66</v>
      </c>
      <c r="H546">
        <v>6</v>
      </c>
      <c r="I546">
        <v>39</v>
      </c>
      <c r="J546">
        <v>1.37631987302492</v>
      </c>
      <c r="K546" t="b">
        <f t="shared" si="42"/>
        <v>1</v>
      </c>
      <c r="L546">
        <f t="shared" si="43"/>
        <v>51.055426381415664</v>
      </c>
      <c r="M546">
        <f t="shared" si="44"/>
        <v>102.11085276283133</v>
      </c>
      <c r="N546">
        <f t="shared" si="40"/>
        <v>269.42177509981883</v>
      </c>
      <c r="O546" s="21">
        <f t="shared" si="41"/>
        <v>309.42682655403434</v>
      </c>
    </row>
    <row r="547" spans="1:15" x14ac:dyDescent="0.35">
      <c r="A547" t="s">
        <v>66</v>
      </c>
      <c r="B547">
        <v>6</v>
      </c>
      <c r="C547" t="s">
        <v>65</v>
      </c>
      <c r="D547">
        <v>40</v>
      </c>
      <c r="E547">
        <v>50.685327000000001</v>
      </c>
      <c r="F547">
        <v>2.26888832453912</v>
      </c>
      <c r="G547" t="s">
        <v>66</v>
      </c>
      <c r="H547">
        <v>6</v>
      </c>
      <c r="I547">
        <v>40</v>
      </c>
      <c r="J547">
        <v>1.4735917674044201</v>
      </c>
      <c r="K547" t="b">
        <f t="shared" si="42"/>
        <v>1</v>
      </c>
      <c r="L547">
        <f t="shared" si="43"/>
        <v>54.427807091943542</v>
      </c>
      <c r="M547">
        <f t="shared" si="44"/>
        <v>108.85561418388708</v>
      </c>
      <c r="N547">
        <f t="shared" si="40"/>
        <v>287.21797937701075</v>
      </c>
      <c r="O547" s="21">
        <f t="shared" si="41"/>
        <v>329.86549752693054</v>
      </c>
    </row>
    <row r="548" spans="1:15" x14ac:dyDescent="0.35">
      <c r="A548" t="s">
        <v>66</v>
      </c>
      <c r="B548">
        <v>6</v>
      </c>
      <c r="C548" t="s">
        <v>65</v>
      </c>
      <c r="D548">
        <v>41</v>
      </c>
      <c r="E548">
        <v>53.759177999999999</v>
      </c>
      <c r="F548">
        <v>2.48007563440295</v>
      </c>
      <c r="G548" t="s">
        <v>66</v>
      </c>
      <c r="H548">
        <v>6</v>
      </c>
      <c r="I548">
        <v>41</v>
      </c>
      <c r="J548">
        <v>1.57241518776566</v>
      </c>
      <c r="K548" t="b">
        <f t="shared" si="42"/>
        <v>1</v>
      </c>
      <c r="L548">
        <f t="shared" si="43"/>
        <v>57.811668822168606</v>
      </c>
      <c r="M548">
        <f t="shared" si="44"/>
        <v>115.62333764433721</v>
      </c>
      <c r="N548">
        <f t="shared" si="40"/>
        <v>305.07476951012455</v>
      </c>
      <c r="O548" s="21">
        <f t="shared" si="41"/>
        <v>350.37375043738547</v>
      </c>
    </row>
    <row r="549" spans="1:15" x14ac:dyDescent="0.35">
      <c r="A549" t="s">
        <v>66</v>
      </c>
      <c r="B549">
        <v>6</v>
      </c>
      <c r="C549" t="s">
        <v>65</v>
      </c>
      <c r="D549">
        <v>42</v>
      </c>
      <c r="E549">
        <v>56.833029000000003</v>
      </c>
      <c r="F549">
        <v>2.7008945531708601</v>
      </c>
      <c r="G549" t="s">
        <v>66</v>
      </c>
      <c r="H549">
        <v>6</v>
      </c>
      <c r="I549">
        <v>42</v>
      </c>
      <c r="J549">
        <v>1.6722978028011599</v>
      </c>
      <c r="K549" t="b">
        <f t="shared" si="42"/>
        <v>1</v>
      </c>
      <c r="L549">
        <f t="shared" si="43"/>
        <v>61.206221355972026</v>
      </c>
      <c r="M549">
        <f t="shared" si="44"/>
        <v>122.41244271194405</v>
      </c>
      <c r="N549">
        <f t="shared" si="40"/>
        <v>322.98797549325604</v>
      </c>
      <c r="O549" s="21">
        <f t="shared" si="41"/>
        <v>370.94679609680014</v>
      </c>
    </row>
    <row r="550" spans="1:15" x14ac:dyDescent="0.35">
      <c r="A550" t="s">
        <v>66</v>
      </c>
      <c r="B550">
        <v>6</v>
      </c>
      <c r="C550" t="s">
        <v>65</v>
      </c>
      <c r="D550">
        <v>43</v>
      </c>
      <c r="E550">
        <v>59.906879999999902</v>
      </c>
      <c r="F550">
        <v>2.9310561325757298</v>
      </c>
      <c r="G550" t="s">
        <v>66</v>
      </c>
      <c r="H550">
        <v>6</v>
      </c>
      <c r="I550">
        <v>43</v>
      </c>
      <c r="J550">
        <v>1.77292078965205</v>
      </c>
      <c r="K550" t="b">
        <f t="shared" si="42"/>
        <v>1</v>
      </c>
      <c r="L550">
        <f t="shared" si="43"/>
        <v>64.610856922227683</v>
      </c>
      <c r="M550">
        <f t="shared" si="44"/>
        <v>129.22171384445537</v>
      </c>
      <c r="N550">
        <f t="shared" si="40"/>
        <v>340.95439009091126</v>
      </c>
      <c r="O550" s="21">
        <f t="shared" si="41"/>
        <v>391.58095104380413</v>
      </c>
    </row>
    <row r="551" spans="1:15" x14ac:dyDescent="0.35">
      <c r="A551" t="s">
        <v>66</v>
      </c>
      <c r="B551">
        <v>6</v>
      </c>
      <c r="C551" t="s">
        <v>65</v>
      </c>
      <c r="D551">
        <v>44</v>
      </c>
      <c r="E551">
        <v>62.974691999999997</v>
      </c>
      <c r="F551">
        <v>3.1702487229984602</v>
      </c>
      <c r="G551" t="s">
        <v>66</v>
      </c>
      <c r="H551">
        <v>6</v>
      </c>
      <c r="I551">
        <v>44</v>
      </c>
      <c r="J551">
        <v>1.8740041960545399</v>
      </c>
      <c r="K551" t="b">
        <f t="shared" si="42"/>
        <v>1</v>
      </c>
      <c r="L551">
        <f t="shared" si="43"/>
        <v>68.018944919052998</v>
      </c>
      <c r="M551">
        <f t="shared" si="44"/>
        <v>136.037889838106</v>
      </c>
      <c r="N551">
        <f t="shared" si="40"/>
        <v>358.93902331954087</v>
      </c>
      <c r="O551" s="21">
        <f t="shared" si="41"/>
        <v>412.23602981244238</v>
      </c>
    </row>
    <row r="552" spans="1:15" x14ac:dyDescent="0.35">
      <c r="A552" t="s">
        <v>66</v>
      </c>
      <c r="B552">
        <v>6</v>
      </c>
      <c r="C552" t="s">
        <v>65</v>
      </c>
      <c r="D552">
        <v>45</v>
      </c>
      <c r="E552">
        <v>66.042503999999994</v>
      </c>
      <c r="F552">
        <v>3.4182013941085101</v>
      </c>
      <c r="G552" t="s">
        <v>66</v>
      </c>
      <c r="H552">
        <v>6</v>
      </c>
      <c r="I552">
        <v>45</v>
      </c>
      <c r="J552">
        <v>1.97542935096372</v>
      </c>
      <c r="K552" t="b">
        <f t="shared" si="42"/>
        <v>1</v>
      </c>
      <c r="L552">
        <f t="shared" si="43"/>
        <v>71.436134745072223</v>
      </c>
      <c r="M552">
        <f t="shared" si="44"/>
        <v>142.87226949014445</v>
      </c>
      <c r="N552">
        <f t="shared" si="40"/>
        <v>376.97168730908822</v>
      </c>
      <c r="O552" s="21">
        <f t="shared" si="41"/>
        <v>432.94627118225588</v>
      </c>
    </row>
    <row r="553" spans="1:15" x14ac:dyDescent="0.35">
      <c r="A553" t="s">
        <v>66</v>
      </c>
      <c r="B553">
        <v>6</v>
      </c>
      <c r="C553" t="s">
        <v>65</v>
      </c>
      <c r="D553">
        <v>46</v>
      </c>
      <c r="E553">
        <v>69.110315999999997</v>
      </c>
      <c r="F553">
        <v>3.6746513434852499</v>
      </c>
      <c r="G553" t="s">
        <v>66</v>
      </c>
      <c r="H553">
        <v>6</v>
      </c>
      <c r="I553">
        <v>46</v>
      </c>
      <c r="J553">
        <v>2.07711119460705</v>
      </c>
      <c r="K553" t="b">
        <f t="shared" si="42"/>
        <v>1</v>
      </c>
      <c r="L553">
        <f t="shared" si="43"/>
        <v>74.862078538092305</v>
      </c>
      <c r="M553">
        <f t="shared" si="44"/>
        <v>149.72415707618461</v>
      </c>
      <c r="N553">
        <f t="shared" si="40"/>
        <v>395.0505463751573</v>
      </c>
      <c r="O553" s="21">
        <f t="shared" si="41"/>
        <v>453.7095668975291</v>
      </c>
    </row>
    <row r="554" spans="1:15" x14ac:dyDescent="0.35">
      <c r="A554" t="s">
        <v>66</v>
      </c>
      <c r="B554">
        <v>6</v>
      </c>
      <c r="C554" t="s">
        <v>65</v>
      </c>
      <c r="D554">
        <v>47</v>
      </c>
      <c r="E554">
        <v>72.178128000000001</v>
      </c>
      <c r="F554">
        <v>3.93934365278069</v>
      </c>
      <c r="G554" t="s">
        <v>66</v>
      </c>
      <c r="H554">
        <v>6</v>
      </c>
      <c r="I554">
        <v>47</v>
      </c>
      <c r="J554">
        <v>2.1789876441470599</v>
      </c>
      <c r="K554" t="b">
        <f t="shared" si="42"/>
        <v>1</v>
      </c>
      <c r="L554">
        <f t="shared" si="43"/>
        <v>78.29645929692775</v>
      </c>
      <c r="M554">
        <f t="shared" si="44"/>
        <v>156.5929185938555</v>
      </c>
      <c r="N554">
        <f t="shared" si="40"/>
        <v>413.17392768827307</v>
      </c>
      <c r="O554" s="21">
        <f t="shared" si="41"/>
        <v>474.52399573895605</v>
      </c>
    </row>
    <row r="555" spans="1:15" x14ac:dyDescent="0.35">
      <c r="A555" t="s">
        <v>66</v>
      </c>
      <c r="B555">
        <v>6</v>
      </c>
      <c r="C555" t="s">
        <v>65</v>
      </c>
      <c r="D555">
        <v>48</v>
      </c>
      <c r="E555">
        <v>75.245940000000004</v>
      </c>
      <c r="F555">
        <v>4.2120310511972798</v>
      </c>
      <c r="G555" t="s">
        <v>66</v>
      </c>
      <c r="H555">
        <v>6</v>
      </c>
      <c r="I555">
        <v>48</v>
      </c>
      <c r="J555">
        <v>2.2810126977756302</v>
      </c>
      <c r="K555" t="b">
        <f t="shared" si="42"/>
        <v>1</v>
      </c>
      <c r="L555">
        <f t="shared" si="43"/>
        <v>81.738983748972927</v>
      </c>
      <c r="M555">
        <f t="shared" si="44"/>
        <v>163.47796749794585</v>
      </c>
      <c r="N555">
        <f t="shared" si="40"/>
        <v>431.34028363574106</v>
      </c>
      <c r="O555" s="21">
        <f t="shared" si="41"/>
        <v>495.3877802968056</v>
      </c>
    </row>
    <row r="556" spans="1:15" x14ac:dyDescent="0.35">
      <c r="A556" t="s">
        <v>66</v>
      </c>
      <c r="B556">
        <v>6</v>
      </c>
      <c r="C556" t="s">
        <v>65</v>
      </c>
      <c r="D556">
        <v>49</v>
      </c>
      <c r="E556">
        <v>78.126542999999998</v>
      </c>
      <c r="F556">
        <v>4.4915012222613599</v>
      </c>
      <c r="G556" t="s">
        <v>66</v>
      </c>
      <c r="H556">
        <v>6</v>
      </c>
      <c r="I556">
        <v>49</v>
      </c>
      <c r="J556">
        <v>2.3810340416604401</v>
      </c>
      <c r="K556" t="b">
        <f t="shared" si="42"/>
        <v>1</v>
      </c>
      <c r="L556">
        <f t="shared" si="43"/>
        <v>84.999078263921803</v>
      </c>
      <c r="M556">
        <f t="shared" si="44"/>
        <v>169.99815652784361</v>
      </c>
      <c r="N556">
        <f t="shared" si="40"/>
        <v>448.54394862227866</v>
      </c>
      <c r="O556" s="21">
        <f t="shared" si="41"/>
        <v>515.14592887225331</v>
      </c>
    </row>
    <row r="557" spans="1:15" x14ac:dyDescent="0.35">
      <c r="A557" t="s">
        <v>66</v>
      </c>
      <c r="B557">
        <v>6</v>
      </c>
      <c r="C557" t="s">
        <v>65</v>
      </c>
      <c r="D557">
        <v>50</v>
      </c>
      <c r="E557">
        <v>81.007145999999906</v>
      </c>
      <c r="F557">
        <v>4.7775506827935201</v>
      </c>
      <c r="G557" t="s">
        <v>66</v>
      </c>
      <c r="H557">
        <v>6</v>
      </c>
      <c r="I557">
        <v>50</v>
      </c>
      <c r="J557">
        <v>2.47981152819878</v>
      </c>
      <c r="K557" t="b">
        <f t="shared" si="42"/>
        <v>1</v>
      </c>
      <c r="L557">
        <f t="shared" si="43"/>
        <v>88.264508210992204</v>
      </c>
      <c r="M557">
        <f t="shared" si="44"/>
        <v>176.52901642198441</v>
      </c>
      <c r="N557">
        <f t="shared" si="40"/>
        <v>465.77576892344172</v>
      </c>
      <c r="O557" s="21">
        <f t="shared" si="41"/>
        <v>534.9364133999527</v>
      </c>
    </row>
    <row r="558" spans="1:15" x14ac:dyDescent="0.35">
      <c r="A558" t="s">
        <v>66</v>
      </c>
      <c r="B558">
        <v>6</v>
      </c>
      <c r="C558" t="s">
        <v>65</v>
      </c>
      <c r="D558">
        <v>51</v>
      </c>
      <c r="E558">
        <v>83.887748999999999</v>
      </c>
      <c r="F558">
        <v>5.06998205410971</v>
      </c>
      <c r="G558" t="s">
        <v>66</v>
      </c>
      <c r="H558">
        <v>6</v>
      </c>
      <c r="I558">
        <v>51</v>
      </c>
      <c r="J558">
        <v>2.57780009156654</v>
      </c>
      <c r="K558" t="b">
        <f t="shared" si="42"/>
        <v>1</v>
      </c>
      <c r="L558">
        <f t="shared" si="43"/>
        <v>91.535531145676259</v>
      </c>
      <c r="M558">
        <f t="shared" si="44"/>
        <v>183.07106229135252</v>
      </c>
      <c r="N558">
        <f t="shared" si="40"/>
        <v>483.03710367111483</v>
      </c>
      <c r="O558" s="21">
        <f t="shared" si="41"/>
        <v>554.76079482228033</v>
      </c>
    </row>
    <row r="559" spans="1:15" x14ac:dyDescent="0.35">
      <c r="A559" t="s">
        <v>66</v>
      </c>
      <c r="B559">
        <v>6</v>
      </c>
      <c r="C559" t="s">
        <v>65</v>
      </c>
      <c r="D559">
        <v>52</v>
      </c>
      <c r="E559">
        <v>86.768351999999993</v>
      </c>
      <c r="F559">
        <v>5.3686038788864199</v>
      </c>
      <c r="G559" t="s">
        <v>66</v>
      </c>
      <c r="H559">
        <v>6</v>
      </c>
      <c r="I559">
        <v>52</v>
      </c>
      <c r="J559">
        <v>2.6752763065214</v>
      </c>
      <c r="K559" t="b">
        <f t="shared" si="42"/>
        <v>1</v>
      </c>
      <c r="L559">
        <f t="shared" si="43"/>
        <v>94.812232185407808</v>
      </c>
      <c r="M559">
        <f t="shared" si="44"/>
        <v>189.62446437081562</v>
      </c>
      <c r="N559">
        <f t="shared" si="40"/>
        <v>500.32840203381431</v>
      </c>
      <c r="O559" s="21">
        <f t="shared" si="41"/>
        <v>574.61958900247157</v>
      </c>
    </row>
    <row r="560" spans="1:15" x14ac:dyDescent="0.35">
      <c r="A560" t="s">
        <v>66</v>
      </c>
      <c r="B560">
        <v>6</v>
      </c>
      <c r="C560" t="s">
        <v>65</v>
      </c>
      <c r="D560">
        <v>53</v>
      </c>
      <c r="E560">
        <v>89.648955000000001</v>
      </c>
      <c r="F560">
        <v>5.67323044351983</v>
      </c>
      <c r="G560" t="s">
        <v>66</v>
      </c>
      <c r="H560">
        <v>6</v>
      </c>
      <c r="I560">
        <v>53</v>
      </c>
      <c r="J560">
        <v>2.7724114238972102</v>
      </c>
      <c r="K560" t="b">
        <f t="shared" si="42"/>
        <v>1</v>
      </c>
      <c r="L560">
        <f t="shared" si="43"/>
        <v>98.094596867417039</v>
      </c>
      <c r="M560">
        <f t="shared" si="44"/>
        <v>196.18919373483408</v>
      </c>
      <c r="N560">
        <f t="shared" si="40"/>
        <v>517.64958769085513</v>
      </c>
      <c r="O560" s="21">
        <f t="shared" si="41"/>
        <v>594.51270828737597</v>
      </c>
    </row>
    <row r="561" spans="1:15" x14ac:dyDescent="0.35">
      <c r="A561" t="s">
        <v>66</v>
      </c>
      <c r="B561">
        <v>6</v>
      </c>
      <c r="C561" t="s">
        <v>65</v>
      </c>
      <c r="D561">
        <v>54</v>
      </c>
      <c r="E561">
        <v>92.215530000000001</v>
      </c>
      <c r="F561">
        <v>5.9820503762142296</v>
      </c>
      <c r="G561" t="s">
        <v>66</v>
      </c>
      <c r="H561">
        <v>6</v>
      </c>
      <c r="I561">
        <v>54</v>
      </c>
      <c r="J561">
        <v>2.8657612919412601</v>
      </c>
      <c r="K561" t="b">
        <f t="shared" si="42"/>
        <v>1</v>
      </c>
      <c r="L561">
        <f t="shared" si="43"/>
        <v>101.06334166815549</v>
      </c>
      <c r="M561">
        <f t="shared" si="44"/>
        <v>202.12668333631098</v>
      </c>
      <c r="N561">
        <f t="shared" si="40"/>
        <v>533.31578716704746</v>
      </c>
      <c r="O561" s="21">
        <f t="shared" si="41"/>
        <v>612.50510101912414</v>
      </c>
    </row>
    <row r="562" spans="1:15" x14ac:dyDescent="0.35">
      <c r="A562" t="s">
        <v>66</v>
      </c>
      <c r="B562">
        <v>6</v>
      </c>
      <c r="C562" t="s">
        <v>65</v>
      </c>
      <c r="D562">
        <v>55</v>
      </c>
      <c r="E562">
        <v>94.782105000000001</v>
      </c>
      <c r="F562">
        <v>6.2949378759277996</v>
      </c>
      <c r="G562" t="s">
        <v>66</v>
      </c>
      <c r="H562">
        <v>6</v>
      </c>
      <c r="I562">
        <v>55</v>
      </c>
      <c r="J562">
        <v>2.9567144497714999</v>
      </c>
      <c r="K562" t="b">
        <f t="shared" si="42"/>
        <v>1</v>
      </c>
      <c r="L562">
        <f t="shared" si="43"/>
        <v>104.0337573256993</v>
      </c>
      <c r="M562">
        <f t="shared" si="44"/>
        <v>208.0675146513986</v>
      </c>
      <c r="N562">
        <f t="shared" si="40"/>
        <v>548.99080382954776</v>
      </c>
      <c r="O562" s="21">
        <f t="shared" si="41"/>
        <v>630.50762015575333</v>
      </c>
    </row>
    <row r="563" spans="1:15" x14ac:dyDescent="0.35">
      <c r="A563" t="s">
        <v>66</v>
      </c>
      <c r="B563">
        <v>6</v>
      </c>
      <c r="C563" t="s">
        <v>65</v>
      </c>
      <c r="D563">
        <v>56</v>
      </c>
      <c r="E563">
        <v>97.348680000000002</v>
      </c>
      <c r="F563">
        <v>6.61177091564997</v>
      </c>
      <c r="G563" t="s">
        <v>66</v>
      </c>
      <c r="H563">
        <v>6</v>
      </c>
      <c r="I563">
        <v>56</v>
      </c>
      <c r="J563">
        <v>3.0461139862122399</v>
      </c>
      <c r="K563" t="b">
        <f t="shared" si="42"/>
        <v>1</v>
      </c>
      <c r="L563">
        <f t="shared" si="43"/>
        <v>107.00656490186221</v>
      </c>
      <c r="M563">
        <f t="shared" si="44"/>
        <v>214.01312980372441</v>
      </c>
      <c r="N563">
        <f t="shared" si="40"/>
        <v>564.67844275389029</v>
      </c>
      <c r="O563" s="21">
        <f t="shared" si="41"/>
        <v>648.5246357688618</v>
      </c>
    </row>
    <row r="564" spans="1:15" x14ac:dyDescent="0.35">
      <c r="A564" t="s">
        <v>66</v>
      </c>
      <c r="B564">
        <v>6</v>
      </c>
      <c r="C564" t="s">
        <v>65</v>
      </c>
      <c r="D564">
        <v>57</v>
      </c>
      <c r="E564">
        <v>99.915255000000002</v>
      </c>
      <c r="F564">
        <v>6.9324311291804701</v>
      </c>
      <c r="G564" t="s">
        <v>66</v>
      </c>
      <c r="H564">
        <v>6</v>
      </c>
      <c r="I564">
        <v>57</v>
      </c>
      <c r="J564">
        <v>3.13448115174335</v>
      </c>
      <c r="K564" t="b">
        <f t="shared" si="42"/>
        <v>1</v>
      </c>
      <c r="L564">
        <f t="shared" si="43"/>
        <v>109.98216728092382</v>
      </c>
      <c r="M564">
        <f t="shared" si="44"/>
        <v>219.96433456184764</v>
      </c>
      <c r="N564">
        <f t="shared" si="40"/>
        <v>580.38082997848983</v>
      </c>
      <c r="O564" s="21">
        <f t="shared" si="41"/>
        <v>666.55858958135639</v>
      </c>
    </row>
    <row r="565" spans="1:15" x14ac:dyDescent="0.35">
      <c r="A565" t="s">
        <v>66</v>
      </c>
      <c r="B565">
        <v>6</v>
      </c>
      <c r="C565" t="s">
        <v>65</v>
      </c>
      <c r="D565">
        <v>58</v>
      </c>
      <c r="E565">
        <v>102.48183</v>
      </c>
      <c r="F565">
        <v>7.2568037013050599</v>
      </c>
      <c r="G565" t="s">
        <v>66</v>
      </c>
      <c r="H565">
        <v>6</v>
      </c>
      <c r="I565">
        <v>58</v>
      </c>
      <c r="J565">
        <v>3.2221450387519899</v>
      </c>
      <c r="K565" t="b">
        <f t="shared" si="42"/>
        <v>1</v>
      </c>
      <c r="L565">
        <f t="shared" si="43"/>
        <v>112.96077874005705</v>
      </c>
      <c r="M565">
        <f t="shared" si="44"/>
        <v>225.9215574801141</v>
      </c>
      <c r="N565">
        <f t="shared" si="40"/>
        <v>596.09909625359921</v>
      </c>
      <c r="O565" s="21">
        <f t="shared" si="41"/>
        <v>684.61078024277003</v>
      </c>
    </row>
    <row r="566" spans="1:15" x14ac:dyDescent="0.35">
      <c r="A566" t="s">
        <v>66</v>
      </c>
      <c r="B566">
        <v>6</v>
      </c>
      <c r="C566" t="s">
        <v>65</v>
      </c>
      <c r="D566">
        <v>59</v>
      </c>
      <c r="E566">
        <v>104.710221</v>
      </c>
      <c r="F566">
        <v>7.5830205524659</v>
      </c>
      <c r="G566" t="s">
        <v>66</v>
      </c>
      <c r="H566">
        <v>6</v>
      </c>
      <c r="I566">
        <v>59</v>
      </c>
      <c r="J566">
        <v>3.3054925915244602</v>
      </c>
      <c r="K566" t="b">
        <f t="shared" si="42"/>
        <v>1</v>
      </c>
      <c r="L566">
        <f t="shared" si="43"/>
        <v>115.59873414399036</v>
      </c>
      <c r="M566">
        <f t="shared" si="44"/>
        <v>231.19746828798071</v>
      </c>
      <c r="N566">
        <f t="shared" si="40"/>
        <v>610.01970524533169</v>
      </c>
      <c r="O566" s="21">
        <f t="shared" si="41"/>
        <v>700.5983887514567</v>
      </c>
    </row>
    <row r="567" spans="1:15" x14ac:dyDescent="0.35">
      <c r="A567" t="s">
        <v>66</v>
      </c>
      <c r="B567">
        <v>6</v>
      </c>
      <c r="C567" t="s">
        <v>65</v>
      </c>
      <c r="D567">
        <v>60</v>
      </c>
      <c r="E567">
        <v>106.938611999999</v>
      </c>
      <c r="F567">
        <v>7.9110263542919297</v>
      </c>
      <c r="G567" t="s">
        <v>66</v>
      </c>
      <c r="H567">
        <v>6</v>
      </c>
      <c r="I567">
        <v>60</v>
      </c>
      <c r="J567">
        <v>3.3860845116458198</v>
      </c>
      <c r="K567" t="b">
        <f t="shared" si="42"/>
        <v>1</v>
      </c>
      <c r="L567">
        <f t="shared" si="43"/>
        <v>118.23572286593675</v>
      </c>
      <c r="M567">
        <f t="shared" si="44"/>
        <v>236.4714457318735</v>
      </c>
      <c r="N567">
        <f t="shared" si="40"/>
        <v>623.93521301285887</v>
      </c>
      <c r="O567" s="21">
        <f t="shared" si="41"/>
        <v>716.58013858143477</v>
      </c>
    </row>
    <row r="568" spans="1:15" x14ac:dyDescent="0.35">
      <c r="A568" t="s">
        <v>66</v>
      </c>
      <c r="B568">
        <v>6</v>
      </c>
      <c r="C568" t="s">
        <v>65</v>
      </c>
      <c r="D568">
        <v>61</v>
      </c>
      <c r="E568">
        <v>109.16700299999999</v>
      </c>
      <c r="F568">
        <v>8.2407674382631697</v>
      </c>
      <c r="G568" t="s">
        <v>66</v>
      </c>
      <c r="H568">
        <v>6</v>
      </c>
      <c r="I568">
        <v>61</v>
      </c>
      <c r="J568">
        <v>3.4648742874414902</v>
      </c>
      <c r="K568" t="b">
        <f t="shared" si="42"/>
        <v>1</v>
      </c>
      <c r="L568">
        <f t="shared" si="43"/>
        <v>120.87264472570465</v>
      </c>
      <c r="M568">
        <f t="shared" si="44"/>
        <v>241.74528945140929</v>
      </c>
      <c r="N568">
        <f t="shared" si="40"/>
        <v>637.850367945671</v>
      </c>
      <c r="O568" s="21">
        <f t="shared" si="41"/>
        <v>732.56148318608871</v>
      </c>
    </row>
    <row r="569" spans="1:15" x14ac:dyDescent="0.35">
      <c r="A569" t="s">
        <v>66</v>
      </c>
      <c r="B569">
        <v>6</v>
      </c>
      <c r="C569" t="s">
        <v>65</v>
      </c>
      <c r="D569">
        <v>62</v>
      </c>
      <c r="E569">
        <v>111.395394</v>
      </c>
      <c r="F569">
        <v>8.5721917459152692</v>
      </c>
      <c r="G569" t="s">
        <v>66</v>
      </c>
      <c r="H569">
        <v>6</v>
      </c>
      <c r="I569">
        <v>62</v>
      </c>
      <c r="J569">
        <v>3.5424557075960901</v>
      </c>
      <c r="K569" t="b">
        <f t="shared" si="42"/>
        <v>1</v>
      </c>
      <c r="L569">
        <f t="shared" si="43"/>
        <v>123.51004145351136</v>
      </c>
      <c r="M569">
        <f t="shared" si="44"/>
        <v>247.02008290702273</v>
      </c>
      <c r="N569">
        <f t="shared" si="40"/>
        <v>651.76802877842408</v>
      </c>
      <c r="O569" s="21">
        <f t="shared" si="41"/>
        <v>748.5457057788567</v>
      </c>
    </row>
    <row r="570" spans="1:15" x14ac:dyDescent="0.35">
      <c r="A570" t="s">
        <v>66</v>
      </c>
      <c r="B570">
        <v>6</v>
      </c>
      <c r="C570" t="s">
        <v>65</v>
      </c>
      <c r="D570">
        <v>63</v>
      </c>
      <c r="E570">
        <v>113.54654877784201</v>
      </c>
      <c r="F570">
        <v>8.9727014946556096</v>
      </c>
      <c r="G570" t="s">
        <v>66</v>
      </c>
      <c r="H570">
        <v>6</v>
      </c>
      <c r="I570">
        <v>63</v>
      </c>
      <c r="J570">
        <v>3.61833299371555</v>
      </c>
      <c r="K570" t="b">
        <f t="shared" si="42"/>
        <v>1</v>
      </c>
      <c r="L570">
        <f t="shared" si="43"/>
        <v>126.13758326621317</v>
      </c>
      <c r="M570">
        <f t="shared" si="44"/>
        <v>252.27516653242634</v>
      </c>
      <c r="N570">
        <f t="shared" si="40"/>
        <v>665.63368478212749</v>
      </c>
      <c r="O570" s="21">
        <f t="shared" si="41"/>
        <v>764.47020161341311</v>
      </c>
    </row>
    <row r="571" spans="1:15" x14ac:dyDescent="0.35">
      <c r="A571" t="s">
        <v>66</v>
      </c>
      <c r="B571">
        <v>6</v>
      </c>
      <c r="C571" t="s">
        <v>65</v>
      </c>
      <c r="D571">
        <v>64</v>
      </c>
      <c r="E571">
        <v>115.323214927412</v>
      </c>
      <c r="F571">
        <v>9.4279675759059707</v>
      </c>
      <c r="G571" t="s">
        <v>66</v>
      </c>
      <c r="H571">
        <v>6</v>
      </c>
      <c r="I571">
        <v>64</v>
      </c>
      <c r="J571">
        <v>3.6888403970170498</v>
      </c>
      <c r="K571" t="b">
        <f t="shared" si="42"/>
        <v>1</v>
      </c>
      <c r="L571">
        <f t="shared" si="43"/>
        <v>128.44002290033501</v>
      </c>
      <c r="M571">
        <f t="shared" si="44"/>
        <v>256.88004580067002</v>
      </c>
      <c r="N571">
        <f t="shared" ref="N571:N634" si="45">M571/(1-0.621)</f>
        <v>677.78376200704486</v>
      </c>
      <c r="O571" s="21">
        <f t="shared" ref="O571:O634" si="46">M571/0.33</f>
        <v>778.42438121415148</v>
      </c>
    </row>
    <row r="572" spans="1:15" x14ac:dyDescent="0.35">
      <c r="A572" t="s">
        <v>66</v>
      </c>
      <c r="B572">
        <v>6</v>
      </c>
      <c r="C572" t="s">
        <v>65</v>
      </c>
      <c r="D572">
        <v>65</v>
      </c>
      <c r="E572">
        <v>117.05902462389901</v>
      </c>
      <c r="F572">
        <v>9.9128933691532399</v>
      </c>
      <c r="G572" t="s">
        <v>66</v>
      </c>
      <c r="H572">
        <v>6</v>
      </c>
      <c r="I572">
        <v>65</v>
      </c>
      <c r="J572">
        <v>3.7554485896634602</v>
      </c>
      <c r="K572" t="b">
        <f t="shared" si="42"/>
        <v>1</v>
      </c>
      <c r="L572">
        <f t="shared" si="43"/>
        <v>130.72736658271572</v>
      </c>
      <c r="M572">
        <f t="shared" si="44"/>
        <v>261.45473316543143</v>
      </c>
      <c r="N572">
        <f t="shared" si="45"/>
        <v>689.85417721749718</v>
      </c>
      <c r="O572" s="21">
        <f t="shared" si="46"/>
        <v>792.28707019827709</v>
      </c>
    </row>
    <row r="573" spans="1:15" x14ac:dyDescent="0.35">
      <c r="A573" t="s">
        <v>66</v>
      </c>
      <c r="B573">
        <v>6</v>
      </c>
      <c r="C573" t="s">
        <v>65</v>
      </c>
      <c r="D573">
        <v>66</v>
      </c>
      <c r="E573">
        <v>118.768594875293</v>
      </c>
      <c r="F573">
        <v>10.413224684789199</v>
      </c>
      <c r="G573" t="s">
        <v>66</v>
      </c>
      <c r="H573">
        <v>6</v>
      </c>
      <c r="I573">
        <v>66</v>
      </c>
      <c r="J573">
        <v>3.8192154314906999</v>
      </c>
      <c r="K573" t="b">
        <f t="shared" si="42"/>
        <v>1</v>
      </c>
      <c r="L573">
        <f t="shared" si="43"/>
        <v>133.00103499157291</v>
      </c>
      <c r="M573">
        <f t="shared" si="44"/>
        <v>266.00206998314582</v>
      </c>
      <c r="N573">
        <f t="shared" si="45"/>
        <v>701.85242739616308</v>
      </c>
      <c r="O573" s="21">
        <f t="shared" si="46"/>
        <v>806.06687873680551</v>
      </c>
    </row>
    <row r="574" spans="1:15" x14ac:dyDescent="0.35">
      <c r="A574" t="s">
        <v>66</v>
      </c>
      <c r="B574">
        <v>6</v>
      </c>
      <c r="C574" t="s">
        <v>65</v>
      </c>
      <c r="D574">
        <v>67</v>
      </c>
      <c r="E574">
        <v>120.460295580291</v>
      </c>
      <c r="F574">
        <v>10.920851989760401</v>
      </c>
      <c r="G574" t="s">
        <v>66</v>
      </c>
      <c r="H574">
        <v>6</v>
      </c>
      <c r="I574">
        <v>67</v>
      </c>
      <c r="J574">
        <v>3.8808910653519102</v>
      </c>
      <c r="K574" t="b">
        <f t="shared" si="42"/>
        <v>1</v>
      </c>
      <c r="L574">
        <f t="shared" si="43"/>
        <v>135.26203863540331</v>
      </c>
      <c r="M574">
        <f t="shared" si="44"/>
        <v>270.52407727080663</v>
      </c>
      <c r="N574">
        <f t="shared" si="45"/>
        <v>713.78384504170617</v>
      </c>
      <c r="O574" s="21">
        <f t="shared" si="46"/>
        <v>819.76993112365642</v>
      </c>
    </row>
    <row r="575" spans="1:15" x14ac:dyDescent="0.35">
      <c r="A575" t="s">
        <v>66</v>
      </c>
      <c r="B575">
        <v>6</v>
      </c>
      <c r="C575" t="s">
        <v>65</v>
      </c>
      <c r="D575">
        <v>68</v>
      </c>
      <c r="E575">
        <v>122.138924951044</v>
      </c>
      <c r="F575">
        <v>11.4311768966539</v>
      </c>
      <c r="G575" t="s">
        <v>66</v>
      </c>
      <c r="H575">
        <v>6</v>
      </c>
      <c r="I575">
        <v>68</v>
      </c>
      <c r="J575">
        <v>3.9410041600059</v>
      </c>
      <c r="K575" t="b">
        <f t="shared" si="42"/>
        <v>1</v>
      </c>
      <c r="L575">
        <f t="shared" si="43"/>
        <v>137.5111060077038</v>
      </c>
      <c r="M575">
        <f t="shared" si="44"/>
        <v>275.0222120154076</v>
      </c>
      <c r="N575">
        <f t="shared" si="45"/>
        <v>725.65227444698576</v>
      </c>
      <c r="O575" s="21">
        <f t="shared" si="46"/>
        <v>833.4006424709321</v>
      </c>
    </row>
    <row r="576" spans="1:15" x14ac:dyDescent="0.35">
      <c r="A576" t="s">
        <v>66</v>
      </c>
      <c r="B576">
        <v>6</v>
      </c>
      <c r="C576" t="s">
        <v>65</v>
      </c>
      <c r="D576">
        <v>69</v>
      </c>
      <c r="E576">
        <v>123.552236204183</v>
      </c>
      <c r="F576">
        <v>11.9149540568402</v>
      </c>
      <c r="G576" t="s">
        <v>66</v>
      </c>
      <c r="H576">
        <v>6</v>
      </c>
      <c r="I576">
        <v>69</v>
      </c>
      <c r="J576">
        <v>3.9970424063482901</v>
      </c>
      <c r="K576" t="b">
        <f t="shared" si="42"/>
        <v>1</v>
      </c>
      <c r="L576">
        <f t="shared" si="43"/>
        <v>139.4642326673715</v>
      </c>
      <c r="M576">
        <f t="shared" si="44"/>
        <v>278.92846533474301</v>
      </c>
      <c r="N576">
        <f t="shared" si="45"/>
        <v>735.95901143731669</v>
      </c>
      <c r="O576" s="21">
        <f t="shared" si="46"/>
        <v>845.23777374164547</v>
      </c>
    </row>
    <row r="577" spans="1:15" x14ac:dyDescent="0.35">
      <c r="A577" t="s">
        <v>66</v>
      </c>
      <c r="B577">
        <v>6</v>
      </c>
      <c r="C577" t="s">
        <v>65</v>
      </c>
      <c r="D577">
        <v>70</v>
      </c>
      <c r="E577">
        <v>124.974507195694</v>
      </c>
      <c r="F577">
        <v>12.3817451511078</v>
      </c>
      <c r="G577" t="s">
        <v>66</v>
      </c>
      <c r="H577">
        <v>6</v>
      </c>
      <c r="I577">
        <v>70</v>
      </c>
      <c r="J577">
        <v>4.0505398292813402</v>
      </c>
      <c r="K577" t="b">
        <f t="shared" si="42"/>
        <v>1</v>
      </c>
      <c r="L577">
        <f t="shared" si="43"/>
        <v>141.40679217608314</v>
      </c>
      <c r="M577">
        <f t="shared" si="44"/>
        <v>282.81358435216629</v>
      </c>
      <c r="N577">
        <f t="shared" si="45"/>
        <v>746.20998509806407</v>
      </c>
      <c r="O577" s="21">
        <f t="shared" si="46"/>
        <v>857.01086167323115</v>
      </c>
    </row>
    <row r="578" spans="1:15" x14ac:dyDescent="0.35">
      <c r="A578" t="s">
        <v>66</v>
      </c>
      <c r="B578">
        <v>6</v>
      </c>
      <c r="C578" t="s">
        <v>65</v>
      </c>
      <c r="D578">
        <v>71</v>
      </c>
      <c r="E578">
        <v>126.40020699163701</v>
      </c>
      <c r="F578">
        <v>12.8371362358399</v>
      </c>
      <c r="G578" t="s">
        <v>66</v>
      </c>
      <c r="H578">
        <v>6</v>
      </c>
      <c r="I578">
        <v>71</v>
      </c>
      <c r="J578">
        <v>4.1023835649731</v>
      </c>
      <c r="K578" t="b">
        <f t="shared" ref="K578:K641" si="47">H578=B578</f>
        <v>1</v>
      </c>
      <c r="L578">
        <f t="shared" ref="L578:L641" si="48">E578+F578+J578</f>
        <v>143.33972679245002</v>
      </c>
      <c r="M578">
        <f t="shared" ref="M578:M641" si="49">L578*2</f>
        <v>286.67945358490005</v>
      </c>
      <c r="N578">
        <f t="shared" si="45"/>
        <v>756.41016777018478</v>
      </c>
      <c r="O578" s="21">
        <f t="shared" si="46"/>
        <v>868.72561692393947</v>
      </c>
    </row>
    <row r="579" spans="1:15" x14ac:dyDescent="0.35">
      <c r="A579" t="s">
        <v>66</v>
      </c>
      <c r="B579">
        <v>6</v>
      </c>
      <c r="C579" t="s">
        <v>65</v>
      </c>
      <c r="D579">
        <v>72</v>
      </c>
      <c r="E579">
        <v>127.826137295188</v>
      </c>
      <c r="F579">
        <v>13.284407137404401</v>
      </c>
      <c r="G579" t="s">
        <v>66</v>
      </c>
      <c r="H579">
        <v>6</v>
      </c>
      <c r="I579">
        <v>72</v>
      </c>
      <c r="J579">
        <v>4.1530985964889302</v>
      </c>
      <c r="K579" t="b">
        <f t="shared" si="47"/>
        <v>1</v>
      </c>
      <c r="L579">
        <f t="shared" si="48"/>
        <v>145.26364302908132</v>
      </c>
      <c r="M579">
        <f t="shared" si="49"/>
        <v>290.52728605816264</v>
      </c>
      <c r="N579">
        <f t="shared" si="45"/>
        <v>766.56276004792255</v>
      </c>
      <c r="O579" s="21">
        <f t="shared" si="46"/>
        <v>880.38571532776552</v>
      </c>
    </row>
    <row r="580" spans="1:15" x14ac:dyDescent="0.35">
      <c r="A580" t="s">
        <v>66</v>
      </c>
      <c r="B580">
        <v>6</v>
      </c>
      <c r="C580" t="s">
        <v>65</v>
      </c>
      <c r="D580">
        <v>73</v>
      </c>
      <c r="E580">
        <v>129.250447309788</v>
      </c>
      <c r="F580">
        <v>13.725503225430799</v>
      </c>
      <c r="G580" t="s">
        <v>66</v>
      </c>
      <c r="H580">
        <v>6</v>
      </c>
      <c r="I580">
        <v>73</v>
      </c>
      <c r="J580">
        <v>4.2030046158305998</v>
      </c>
      <c r="K580" t="b">
        <f t="shared" si="47"/>
        <v>1</v>
      </c>
      <c r="L580">
        <f t="shared" si="48"/>
        <v>147.17895515104939</v>
      </c>
      <c r="M580">
        <f t="shared" si="49"/>
        <v>294.35791030209879</v>
      </c>
      <c r="N580">
        <f t="shared" si="45"/>
        <v>776.6699480266459</v>
      </c>
      <c r="O580" s="21">
        <f t="shared" si="46"/>
        <v>891.9936675821175</v>
      </c>
    </row>
    <row r="581" spans="1:15" x14ac:dyDescent="0.35">
      <c r="A581" t="s">
        <v>66</v>
      </c>
      <c r="B581">
        <v>6</v>
      </c>
      <c r="C581" t="s">
        <v>65</v>
      </c>
      <c r="D581">
        <v>74</v>
      </c>
      <c r="E581">
        <v>130.489025242998</v>
      </c>
      <c r="F581">
        <v>14.1410667535246</v>
      </c>
      <c r="G581" t="s">
        <v>66</v>
      </c>
      <c r="H581">
        <v>6</v>
      </c>
      <c r="I581">
        <v>74</v>
      </c>
      <c r="J581">
        <v>4.2502322483101702</v>
      </c>
      <c r="K581" t="b">
        <f t="shared" si="47"/>
        <v>1</v>
      </c>
      <c r="L581">
        <f t="shared" si="48"/>
        <v>148.88032424483276</v>
      </c>
      <c r="M581">
        <f t="shared" si="49"/>
        <v>297.76064848966553</v>
      </c>
      <c r="N581">
        <f t="shared" si="45"/>
        <v>785.64814904924935</v>
      </c>
      <c r="O581" s="21">
        <f t="shared" si="46"/>
        <v>902.30499542322877</v>
      </c>
    </row>
    <row r="582" spans="1:15" x14ac:dyDescent="0.35">
      <c r="A582" t="s">
        <v>66</v>
      </c>
      <c r="B582">
        <v>6</v>
      </c>
      <c r="C582" t="s">
        <v>65</v>
      </c>
      <c r="D582">
        <v>75</v>
      </c>
      <c r="E582">
        <v>131.737704345125</v>
      </c>
      <c r="F582">
        <v>14.5405532824809</v>
      </c>
      <c r="G582" t="s">
        <v>66</v>
      </c>
      <c r="H582">
        <v>6</v>
      </c>
      <c r="I582">
        <v>75</v>
      </c>
      <c r="J582">
        <v>4.2958330885532403</v>
      </c>
      <c r="K582" t="b">
        <f t="shared" si="47"/>
        <v>1</v>
      </c>
      <c r="L582">
        <f t="shared" si="48"/>
        <v>150.57409071615916</v>
      </c>
      <c r="M582">
        <f t="shared" si="49"/>
        <v>301.14818143231832</v>
      </c>
      <c r="N582">
        <f t="shared" si="45"/>
        <v>794.58623069213274</v>
      </c>
      <c r="O582" s="21">
        <f t="shared" si="46"/>
        <v>912.57024676460094</v>
      </c>
    </row>
    <row r="583" spans="1:15" x14ac:dyDescent="0.35">
      <c r="A583" t="s">
        <v>66</v>
      </c>
      <c r="B583">
        <v>6</v>
      </c>
      <c r="C583" t="s">
        <v>65</v>
      </c>
      <c r="D583">
        <v>76</v>
      </c>
      <c r="E583">
        <v>132.99102196762499</v>
      </c>
      <c r="F583">
        <v>14.9294431456415</v>
      </c>
      <c r="G583" t="s">
        <v>66</v>
      </c>
      <c r="H583">
        <v>6</v>
      </c>
      <c r="I583">
        <v>76</v>
      </c>
      <c r="J583">
        <v>4.3403980234707902</v>
      </c>
      <c r="K583" t="b">
        <f t="shared" si="47"/>
        <v>1</v>
      </c>
      <c r="L583">
        <f t="shared" si="48"/>
        <v>152.26086313673727</v>
      </c>
      <c r="M583">
        <f t="shared" si="49"/>
        <v>304.52172627347454</v>
      </c>
      <c r="N583">
        <f t="shared" si="45"/>
        <v>803.48740441550012</v>
      </c>
      <c r="O583" s="21">
        <f t="shared" si="46"/>
        <v>922.79310991961972</v>
      </c>
    </row>
    <row r="584" spans="1:15" x14ac:dyDescent="0.35">
      <c r="A584" t="s">
        <v>66</v>
      </c>
      <c r="B584">
        <v>6</v>
      </c>
      <c r="C584" t="s">
        <v>65</v>
      </c>
      <c r="D584">
        <v>77</v>
      </c>
      <c r="E584">
        <v>134.24583777292801</v>
      </c>
      <c r="F584">
        <v>15.3109249915109</v>
      </c>
      <c r="G584" t="s">
        <v>66</v>
      </c>
      <c r="H584">
        <v>6</v>
      </c>
      <c r="I584">
        <v>77</v>
      </c>
      <c r="J584">
        <v>4.3842665463217196</v>
      </c>
      <c r="K584" t="b">
        <f t="shared" si="47"/>
        <v>1</v>
      </c>
      <c r="L584">
        <f t="shared" si="48"/>
        <v>153.94102931076063</v>
      </c>
      <c r="M584">
        <f t="shared" si="49"/>
        <v>307.88205862152125</v>
      </c>
      <c r="N584">
        <f t="shared" si="45"/>
        <v>812.35371667947561</v>
      </c>
      <c r="O584" s="21">
        <f t="shared" si="46"/>
        <v>932.97593521673105</v>
      </c>
    </row>
    <row r="585" spans="1:15" x14ac:dyDescent="0.35">
      <c r="A585" t="s">
        <v>66</v>
      </c>
      <c r="B585">
        <v>6</v>
      </c>
      <c r="C585" t="s">
        <v>65</v>
      </c>
      <c r="D585">
        <v>78</v>
      </c>
      <c r="E585">
        <v>135.50034617846799</v>
      </c>
      <c r="F585">
        <v>15.686868963409699</v>
      </c>
      <c r="G585" t="s">
        <v>66</v>
      </c>
      <c r="H585">
        <v>6</v>
      </c>
      <c r="I585">
        <v>78</v>
      </c>
      <c r="J585">
        <v>4.4276396093707797</v>
      </c>
      <c r="K585" t="b">
        <f t="shared" si="47"/>
        <v>1</v>
      </c>
      <c r="L585">
        <f t="shared" si="48"/>
        <v>155.61485475124846</v>
      </c>
      <c r="M585">
        <f t="shared" si="49"/>
        <v>311.22970950249692</v>
      </c>
      <c r="N585">
        <f t="shared" si="45"/>
        <v>821.18656860817123</v>
      </c>
      <c r="O585" s="21">
        <f t="shared" si="46"/>
        <v>943.12033182574817</v>
      </c>
    </row>
    <row r="586" spans="1:15" x14ac:dyDescent="0.35">
      <c r="A586" t="s">
        <v>66</v>
      </c>
      <c r="B586">
        <v>6</v>
      </c>
      <c r="C586" t="s">
        <v>65</v>
      </c>
      <c r="D586">
        <v>79</v>
      </c>
      <c r="E586">
        <v>136.61498038373301</v>
      </c>
      <c r="F586">
        <v>16.103023678628599</v>
      </c>
      <c r="G586" t="s">
        <v>66</v>
      </c>
      <c r="H586">
        <v>6</v>
      </c>
      <c r="I586">
        <v>79</v>
      </c>
      <c r="J586">
        <v>4.4690735111222901</v>
      </c>
      <c r="K586" t="b">
        <f t="shared" si="47"/>
        <v>1</v>
      </c>
      <c r="L586">
        <f t="shared" si="48"/>
        <v>157.18707757348392</v>
      </c>
      <c r="M586">
        <f t="shared" si="49"/>
        <v>314.37415514696784</v>
      </c>
      <c r="N586">
        <f t="shared" si="45"/>
        <v>829.48325896297581</v>
      </c>
      <c r="O586" s="21">
        <f t="shared" si="46"/>
        <v>952.6489549908116</v>
      </c>
    </row>
    <row r="587" spans="1:15" x14ac:dyDescent="0.35">
      <c r="A587" t="s">
        <v>66</v>
      </c>
      <c r="B587">
        <v>6</v>
      </c>
      <c r="C587" t="s">
        <v>65</v>
      </c>
      <c r="D587">
        <v>80</v>
      </c>
      <c r="E587">
        <v>137.71507365632601</v>
      </c>
      <c r="F587">
        <v>16.4927193398774</v>
      </c>
      <c r="G587" t="s">
        <v>66</v>
      </c>
      <c r="H587">
        <v>6</v>
      </c>
      <c r="I587">
        <v>80</v>
      </c>
      <c r="J587">
        <v>4.5090863474864298</v>
      </c>
      <c r="K587" t="b">
        <f t="shared" si="47"/>
        <v>1</v>
      </c>
      <c r="L587">
        <f t="shared" si="48"/>
        <v>158.71687934368984</v>
      </c>
      <c r="M587">
        <f t="shared" si="49"/>
        <v>317.43375868737968</v>
      </c>
      <c r="N587">
        <f t="shared" si="45"/>
        <v>837.55609152342925</v>
      </c>
      <c r="O587" s="21">
        <f t="shared" si="46"/>
        <v>961.92048087084743</v>
      </c>
    </row>
    <row r="588" spans="1:15" x14ac:dyDescent="0.35">
      <c r="A588" t="s">
        <v>66</v>
      </c>
      <c r="B588">
        <v>6</v>
      </c>
      <c r="C588" t="s">
        <v>65</v>
      </c>
      <c r="D588">
        <v>81</v>
      </c>
      <c r="E588">
        <v>138.79435953291099</v>
      </c>
      <c r="F588">
        <v>16.863269388465</v>
      </c>
      <c r="G588" t="s">
        <v>66</v>
      </c>
      <c r="H588">
        <v>6</v>
      </c>
      <c r="I588">
        <v>81</v>
      </c>
      <c r="J588">
        <v>4.5479256810884001</v>
      </c>
      <c r="K588" t="b">
        <f t="shared" si="47"/>
        <v>1</v>
      </c>
      <c r="L588">
        <f t="shared" si="48"/>
        <v>160.20555460246439</v>
      </c>
      <c r="M588">
        <f t="shared" si="49"/>
        <v>320.41110920492878</v>
      </c>
      <c r="N588">
        <f t="shared" si="45"/>
        <v>845.41189763833449</v>
      </c>
      <c r="O588" s="21">
        <f t="shared" si="46"/>
        <v>970.94275516645075</v>
      </c>
    </row>
    <row r="589" spans="1:15" x14ac:dyDescent="0.35">
      <c r="A589" t="s">
        <v>66</v>
      </c>
      <c r="B589">
        <v>6</v>
      </c>
      <c r="C589" t="s">
        <v>65</v>
      </c>
      <c r="D589">
        <v>82</v>
      </c>
      <c r="E589">
        <v>139.849606331883</v>
      </c>
      <c r="F589">
        <v>17.218966553698099</v>
      </c>
      <c r="G589" t="s">
        <v>66</v>
      </c>
      <c r="H589">
        <v>6</v>
      </c>
      <c r="I589">
        <v>82</v>
      </c>
      <c r="J589">
        <v>4.5857100899074403</v>
      </c>
      <c r="K589" t="b">
        <f t="shared" si="47"/>
        <v>1</v>
      </c>
      <c r="L589">
        <f t="shared" si="48"/>
        <v>161.65428297548854</v>
      </c>
      <c r="M589">
        <f t="shared" si="49"/>
        <v>323.30856595097708</v>
      </c>
      <c r="N589">
        <f t="shared" si="45"/>
        <v>853.05690224532214</v>
      </c>
      <c r="O589" s="21">
        <f t="shared" si="46"/>
        <v>979.72292712417288</v>
      </c>
    </row>
    <row r="590" spans="1:15" x14ac:dyDescent="0.35">
      <c r="A590" t="s">
        <v>66</v>
      </c>
      <c r="B590">
        <v>6</v>
      </c>
      <c r="C590" t="s">
        <v>65</v>
      </c>
      <c r="D590">
        <v>83</v>
      </c>
      <c r="E590">
        <v>140.879314334518</v>
      </c>
      <c r="F590">
        <v>17.562367169322101</v>
      </c>
      <c r="G590" t="s">
        <v>66</v>
      </c>
      <c r="H590">
        <v>6</v>
      </c>
      <c r="I590">
        <v>83</v>
      </c>
      <c r="J590">
        <v>4.6224990529586698</v>
      </c>
      <c r="K590" t="b">
        <f t="shared" si="47"/>
        <v>1</v>
      </c>
      <c r="L590">
        <f t="shared" si="48"/>
        <v>163.06418055679876</v>
      </c>
      <c r="M590">
        <f t="shared" si="49"/>
        <v>326.12836111359752</v>
      </c>
      <c r="N590">
        <f t="shared" si="45"/>
        <v>860.4969950226847</v>
      </c>
      <c r="O590" s="21">
        <f t="shared" si="46"/>
        <v>988.2677609502955</v>
      </c>
    </row>
    <row r="591" spans="1:15" x14ac:dyDescent="0.35">
      <c r="A591" t="s">
        <v>66</v>
      </c>
      <c r="B591">
        <v>6</v>
      </c>
      <c r="C591" t="s">
        <v>65</v>
      </c>
      <c r="D591">
        <v>84</v>
      </c>
      <c r="E591">
        <v>141.88296543099801</v>
      </c>
      <c r="F591">
        <v>17.895030916518301</v>
      </c>
      <c r="G591" t="s">
        <v>66</v>
      </c>
      <c r="H591">
        <v>6</v>
      </c>
      <c r="I591">
        <v>84</v>
      </c>
      <c r="J591">
        <v>4.6583265488604599</v>
      </c>
      <c r="K591" t="b">
        <f t="shared" si="47"/>
        <v>1</v>
      </c>
      <c r="L591">
        <f t="shared" si="48"/>
        <v>164.43632289637677</v>
      </c>
      <c r="M591">
        <f t="shared" si="49"/>
        <v>328.87264579275353</v>
      </c>
      <c r="N591">
        <f t="shared" si="45"/>
        <v>867.73785169591963</v>
      </c>
      <c r="O591" s="21">
        <f t="shared" si="46"/>
        <v>996.5837751295561</v>
      </c>
    </row>
    <row r="592" spans="1:15" x14ac:dyDescent="0.35">
      <c r="A592" t="s">
        <v>66</v>
      </c>
      <c r="B592">
        <v>6</v>
      </c>
      <c r="C592" t="s">
        <v>65</v>
      </c>
      <c r="D592">
        <v>85</v>
      </c>
      <c r="E592">
        <v>142.86059246496399</v>
      </c>
      <c r="F592">
        <v>18.217945594053901</v>
      </c>
      <c r="G592" t="s">
        <v>66</v>
      </c>
      <c r="H592">
        <v>6</v>
      </c>
      <c r="I592">
        <v>85</v>
      </c>
      <c r="J592">
        <v>4.6932166141768397</v>
      </c>
      <c r="K592" t="b">
        <f t="shared" si="47"/>
        <v>1</v>
      </c>
      <c r="L592">
        <f t="shared" si="48"/>
        <v>165.77175467319472</v>
      </c>
      <c r="M592">
        <f t="shared" si="49"/>
        <v>331.54350934638944</v>
      </c>
      <c r="N592">
        <f t="shared" si="45"/>
        <v>874.78498508282178</v>
      </c>
      <c r="O592" s="21">
        <f t="shared" si="46"/>
        <v>1004.6773010496649</v>
      </c>
    </row>
    <row r="593" spans="1:15" x14ac:dyDescent="0.35">
      <c r="A593" t="s">
        <v>66</v>
      </c>
      <c r="B593">
        <v>6</v>
      </c>
      <c r="C593" t="s">
        <v>65</v>
      </c>
      <c r="D593">
        <v>86</v>
      </c>
      <c r="E593">
        <v>143.81253272212001</v>
      </c>
      <c r="F593">
        <v>18.531770522776998</v>
      </c>
      <c r="G593" t="s">
        <v>66</v>
      </c>
      <c r="H593">
        <v>6</v>
      </c>
      <c r="I593">
        <v>86</v>
      </c>
      <c r="J593">
        <v>4.7271901440283202</v>
      </c>
      <c r="K593" t="b">
        <f t="shared" si="47"/>
        <v>1</v>
      </c>
      <c r="L593">
        <f t="shared" si="48"/>
        <v>167.07149338892535</v>
      </c>
      <c r="M593">
        <f t="shared" si="49"/>
        <v>334.14298677785069</v>
      </c>
      <c r="N593">
        <f t="shared" si="45"/>
        <v>881.64376458535799</v>
      </c>
      <c r="O593" s="21">
        <f t="shared" si="46"/>
        <v>1012.5545053874263</v>
      </c>
    </row>
    <row r="594" spans="1:15" x14ac:dyDescent="0.35">
      <c r="A594" t="s">
        <v>66</v>
      </c>
      <c r="B594">
        <v>6</v>
      </c>
      <c r="C594" t="s">
        <v>65</v>
      </c>
      <c r="D594">
        <v>87</v>
      </c>
      <c r="E594">
        <v>144.73928718161</v>
      </c>
      <c r="F594">
        <v>18.836975803568802</v>
      </c>
      <c r="G594" t="s">
        <v>66</v>
      </c>
      <c r="H594">
        <v>6</v>
      </c>
      <c r="I594">
        <v>87</v>
      </c>
      <c r="J594">
        <v>4.7602675789580697</v>
      </c>
      <c r="K594" t="b">
        <f t="shared" si="47"/>
        <v>1</v>
      </c>
      <c r="L594">
        <f t="shared" si="48"/>
        <v>168.33653056413686</v>
      </c>
      <c r="M594">
        <f t="shared" si="49"/>
        <v>336.67306112827373</v>
      </c>
      <c r="N594">
        <f t="shared" si="45"/>
        <v>888.31942250204145</v>
      </c>
      <c r="O594" s="21">
        <f t="shared" si="46"/>
        <v>1020.2213973584052</v>
      </c>
    </row>
    <row r="595" spans="1:15" x14ac:dyDescent="0.35">
      <c r="A595" t="s">
        <v>66</v>
      </c>
      <c r="B595">
        <v>6</v>
      </c>
      <c r="C595" t="s">
        <v>65</v>
      </c>
      <c r="D595">
        <v>88</v>
      </c>
      <c r="E595">
        <v>145.64144039520301</v>
      </c>
      <c r="F595">
        <v>19.133921880796699</v>
      </c>
      <c r="G595" t="s">
        <v>66</v>
      </c>
      <c r="H595">
        <v>6</v>
      </c>
      <c r="I595">
        <v>88</v>
      </c>
      <c r="J595">
        <v>4.7924697522980004</v>
      </c>
      <c r="K595" t="b">
        <f t="shared" si="47"/>
        <v>1</v>
      </c>
      <c r="L595">
        <f t="shared" si="48"/>
        <v>169.56783202829769</v>
      </c>
      <c r="M595">
        <f t="shared" si="49"/>
        <v>339.13566405659537</v>
      </c>
      <c r="N595">
        <f t="shared" si="45"/>
        <v>894.8170555582991</v>
      </c>
      <c r="O595" s="21">
        <f t="shared" si="46"/>
        <v>1027.6838304745313</v>
      </c>
    </row>
    <row r="596" spans="1:15" x14ac:dyDescent="0.35">
      <c r="A596" t="s">
        <v>66</v>
      </c>
      <c r="B596">
        <v>6</v>
      </c>
      <c r="C596" t="s">
        <v>65</v>
      </c>
      <c r="D596">
        <v>89</v>
      </c>
      <c r="E596">
        <v>146.519615070079</v>
      </c>
      <c r="F596">
        <v>19.4229049374886</v>
      </c>
      <c r="G596" t="s">
        <v>66</v>
      </c>
      <c r="H596">
        <v>6</v>
      </c>
      <c r="I596">
        <v>89</v>
      </c>
      <c r="J596">
        <v>4.8238179799650496</v>
      </c>
      <c r="K596" t="b">
        <f t="shared" si="47"/>
        <v>1</v>
      </c>
      <c r="L596">
        <f t="shared" si="48"/>
        <v>170.76633798753264</v>
      </c>
      <c r="M596">
        <f t="shared" si="49"/>
        <v>341.53267597506527</v>
      </c>
      <c r="N596">
        <f t="shared" si="45"/>
        <v>901.14162526402447</v>
      </c>
      <c r="O596" s="21">
        <f t="shared" si="46"/>
        <v>1034.9475029547432</v>
      </c>
    </row>
    <row r="597" spans="1:15" x14ac:dyDescent="0.35">
      <c r="A597" t="s">
        <v>66</v>
      </c>
      <c r="B597">
        <v>6</v>
      </c>
      <c r="C597" t="s">
        <v>65</v>
      </c>
      <c r="D597">
        <v>90</v>
      </c>
      <c r="E597">
        <v>147.37444649031201</v>
      </c>
      <c r="F597">
        <v>19.704182756282901</v>
      </c>
      <c r="G597" t="s">
        <v>66</v>
      </c>
      <c r="H597">
        <v>6</v>
      </c>
      <c r="I597">
        <v>90</v>
      </c>
      <c r="J597">
        <v>4.8543338861961098</v>
      </c>
      <c r="K597" t="b">
        <f t="shared" si="47"/>
        <v>1</v>
      </c>
      <c r="L597">
        <f t="shared" si="48"/>
        <v>171.93296313279103</v>
      </c>
      <c r="M597">
        <f t="shared" si="49"/>
        <v>343.86592626558206</v>
      </c>
      <c r="N597">
        <f t="shared" si="45"/>
        <v>907.29795848438539</v>
      </c>
      <c r="O597" s="21">
        <f t="shared" si="46"/>
        <v>1042.0179583805516</v>
      </c>
    </row>
    <row r="598" spans="1:15" x14ac:dyDescent="0.35">
      <c r="A598" t="s">
        <v>66</v>
      </c>
      <c r="B598">
        <v>6</v>
      </c>
      <c r="C598" t="s">
        <v>65</v>
      </c>
      <c r="D598">
        <v>91</v>
      </c>
      <c r="E598">
        <v>148.20656826388301</v>
      </c>
      <c r="F598">
        <v>19.9779894256483</v>
      </c>
      <c r="G598" t="s">
        <v>66</v>
      </c>
      <c r="H598">
        <v>6</v>
      </c>
      <c r="I598">
        <v>91</v>
      </c>
      <c r="J598">
        <v>4.8840391757145296</v>
      </c>
      <c r="K598" t="b">
        <f t="shared" si="47"/>
        <v>1</v>
      </c>
      <c r="L598">
        <f t="shared" si="48"/>
        <v>173.06859686524584</v>
      </c>
      <c r="M598">
        <f t="shared" si="49"/>
        <v>346.13719373049167</v>
      </c>
      <c r="N598">
        <f t="shared" si="45"/>
        <v>913.29074862926564</v>
      </c>
      <c r="O598" s="21">
        <f t="shared" si="46"/>
        <v>1048.9005870620958</v>
      </c>
    </row>
    <row r="599" spans="1:15" x14ac:dyDescent="0.35">
      <c r="A599" t="s">
        <v>66</v>
      </c>
      <c r="B599">
        <v>6</v>
      </c>
      <c r="C599" t="s">
        <v>65</v>
      </c>
      <c r="D599">
        <v>92</v>
      </c>
      <c r="E599">
        <v>149.01660452452899</v>
      </c>
      <c r="F599">
        <v>20.2445436848007</v>
      </c>
      <c r="G599" t="s">
        <v>66</v>
      </c>
      <c r="H599">
        <v>6</v>
      </c>
      <c r="I599">
        <v>92</v>
      </c>
      <c r="J599">
        <v>4.9129554315666697</v>
      </c>
      <c r="K599" t="b">
        <f t="shared" si="47"/>
        <v>1</v>
      </c>
      <c r="L599">
        <f t="shared" si="48"/>
        <v>174.17410364089636</v>
      </c>
      <c r="M599">
        <f t="shared" si="49"/>
        <v>348.34820728179272</v>
      </c>
      <c r="N599">
        <f t="shared" si="45"/>
        <v>919.12455747174863</v>
      </c>
      <c r="O599" s="21">
        <f t="shared" si="46"/>
        <v>1055.6006281266446</v>
      </c>
    </row>
    <row r="600" spans="1:15" x14ac:dyDescent="0.35">
      <c r="A600" t="s">
        <v>66</v>
      </c>
      <c r="B600">
        <v>6</v>
      </c>
      <c r="C600" t="s">
        <v>65</v>
      </c>
      <c r="D600">
        <v>93</v>
      </c>
      <c r="E600">
        <v>149.80516580407399</v>
      </c>
      <c r="F600">
        <v>20.504053646940399</v>
      </c>
      <c r="G600" t="s">
        <v>66</v>
      </c>
      <c r="H600">
        <v>6</v>
      </c>
      <c r="I600">
        <v>93</v>
      </c>
      <c r="J600">
        <v>4.9411039603044697</v>
      </c>
      <c r="K600" t="b">
        <f t="shared" si="47"/>
        <v>1</v>
      </c>
      <c r="L600">
        <f t="shared" si="48"/>
        <v>175.25032341131887</v>
      </c>
      <c r="M600">
        <f t="shared" si="49"/>
        <v>350.50064682263775</v>
      </c>
      <c r="N600">
        <f t="shared" si="45"/>
        <v>924.80381747397826</v>
      </c>
      <c r="O600" s="21">
        <f t="shared" si="46"/>
        <v>1062.1231721898114</v>
      </c>
    </row>
    <row r="601" spans="1:15" x14ac:dyDescent="0.35">
      <c r="A601" t="s">
        <v>66</v>
      </c>
      <c r="B601">
        <v>6</v>
      </c>
      <c r="C601" t="s">
        <v>65</v>
      </c>
      <c r="D601">
        <v>94</v>
      </c>
      <c r="E601">
        <v>150.57284698489599</v>
      </c>
      <c r="F601">
        <v>20.756719465224101</v>
      </c>
      <c r="G601" t="s">
        <v>66</v>
      </c>
      <c r="H601">
        <v>6</v>
      </c>
      <c r="I601">
        <v>94</v>
      </c>
      <c r="J601">
        <v>4.9685056832861196</v>
      </c>
      <c r="K601" t="b">
        <f t="shared" si="47"/>
        <v>1</v>
      </c>
      <c r="L601">
        <f t="shared" si="48"/>
        <v>176.29807213340621</v>
      </c>
      <c r="M601">
        <f t="shared" si="49"/>
        <v>352.59614426681242</v>
      </c>
      <c r="N601">
        <f t="shared" si="45"/>
        <v>930.33283447707765</v>
      </c>
      <c r="O601" s="21">
        <f t="shared" si="46"/>
        <v>1068.4731644448862</v>
      </c>
    </row>
    <row r="602" spans="1:15" x14ac:dyDescent="0.35">
      <c r="A602" t="s">
        <v>66</v>
      </c>
      <c r="B602">
        <v>6</v>
      </c>
      <c r="C602" t="s">
        <v>65</v>
      </c>
      <c r="D602">
        <v>95</v>
      </c>
      <c r="E602">
        <v>151.320226425036</v>
      </c>
      <c r="F602">
        <v>21.002734833924599</v>
      </c>
      <c r="G602" t="s">
        <v>66</v>
      </c>
      <c r="H602">
        <v>6</v>
      </c>
      <c r="I602">
        <v>95</v>
      </c>
      <c r="J602">
        <v>4.9951810655074302</v>
      </c>
      <c r="K602" t="b">
        <f t="shared" si="47"/>
        <v>1</v>
      </c>
      <c r="L602">
        <f t="shared" si="48"/>
        <v>177.31814232446803</v>
      </c>
      <c r="M602">
        <f t="shared" si="49"/>
        <v>354.63628464893605</v>
      </c>
      <c r="N602">
        <f t="shared" si="45"/>
        <v>935.71579063043816</v>
      </c>
      <c r="O602" s="21">
        <f t="shared" si="46"/>
        <v>1074.6554080270789</v>
      </c>
    </row>
    <row r="603" spans="1:15" x14ac:dyDescent="0.35">
      <c r="A603" t="s">
        <v>66</v>
      </c>
      <c r="B603">
        <v>6</v>
      </c>
      <c r="C603" t="s">
        <v>65</v>
      </c>
      <c r="D603">
        <v>96</v>
      </c>
      <c r="E603">
        <v>152.047865738626</v>
      </c>
      <c r="F603">
        <v>21.242287833281999</v>
      </c>
      <c r="G603" t="s">
        <v>66</v>
      </c>
      <c r="H603">
        <v>6</v>
      </c>
      <c r="I603">
        <v>96</v>
      </c>
      <c r="J603">
        <v>5.0211500724636897</v>
      </c>
      <c r="K603" t="b">
        <f t="shared" si="47"/>
        <v>1</v>
      </c>
      <c r="L603">
        <f t="shared" si="48"/>
        <v>178.31130364437169</v>
      </c>
      <c r="M603">
        <f t="shared" si="49"/>
        <v>356.62260728874338</v>
      </c>
      <c r="N603">
        <f t="shared" si="45"/>
        <v>940.95674746370287</v>
      </c>
      <c r="O603" s="21">
        <f t="shared" si="46"/>
        <v>1080.6745675416466</v>
      </c>
    </row>
    <row r="604" spans="1:15" x14ac:dyDescent="0.35">
      <c r="A604" t="s">
        <v>66</v>
      </c>
      <c r="B604">
        <v>6</v>
      </c>
      <c r="C604" t="s">
        <v>65</v>
      </c>
      <c r="D604">
        <v>97</v>
      </c>
      <c r="E604">
        <v>152.75630993722501</v>
      </c>
      <c r="F604">
        <v>21.4755614073256</v>
      </c>
      <c r="G604" t="s">
        <v>66</v>
      </c>
      <c r="H604">
        <v>6</v>
      </c>
      <c r="I604">
        <v>97</v>
      </c>
      <c r="J604">
        <v>5.0464321469183302</v>
      </c>
      <c r="K604" t="b">
        <f t="shared" si="47"/>
        <v>1</v>
      </c>
      <c r="L604">
        <f t="shared" si="48"/>
        <v>179.27830349146893</v>
      </c>
      <c r="M604">
        <f t="shared" si="49"/>
        <v>358.55660698293786</v>
      </c>
      <c r="N604">
        <f t="shared" si="45"/>
        <v>946.05964903149834</v>
      </c>
      <c r="O604" s="21">
        <f t="shared" si="46"/>
        <v>1086.5351726755691</v>
      </c>
    </row>
    <row r="605" spans="1:15" x14ac:dyDescent="0.35">
      <c r="A605" t="s">
        <v>66</v>
      </c>
      <c r="B605">
        <v>6</v>
      </c>
      <c r="C605" t="s">
        <v>65</v>
      </c>
      <c r="D605">
        <v>98</v>
      </c>
      <c r="E605">
        <v>153.44608776479799</v>
      </c>
      <c r="F605">
        <v>21.7027336388599</v>
      </c>
      <c r="G605" t="s">
        <v>66</v>
      </c>
      <c r="H605">
        <v>6</v>
      </c>
      <c r="I605">
        <v>98</v>
      </c>
      <c r="J605">
        <v>5.0710461993409304</v>
      </c>
      <c r="K605" t="b">
        <f t="shared" si="47"/>
        <v>1</v>
      </c>
      <c r="L605">
        <f t="shared" si="48"/>
        <v>180.21986760299885</v>
      </c>
      <c r="M605">
        <f t="shared" si="49"/>
        <v>360.43973520599769</v>
      </c>
      <c r="N605">
        <f t="shared" si="45"/>
        <v>951.02832508178813</v>
      </c>
      <c r="O605" s="21">
        <f t="shared" si="46"/>
        <v>1092.2416218363567</v>
      </c>
    </row>
    <row r="606" spans="1:15" x14ac:dyDescent="0.35">
      <c r="A606" t="s">
        <v>66</v>
      </c>
      <c r="B606">
        <v>6</v>
      </c>
      <c r="C606" t="s">
        <v>65</v>
      </c>
      <c r="D606">
        <v>99</v>
      </c>
      <c r="E606">
        <v>154.11771213166401</v>
      </c>
      <c r="F606">
        <v>21.923977914495801</v>
      </c>
      <c r="G606" t="s">
        <v>66</v>
      </c>
      <c r="H606">
        <v>6</v>
      </c>
      <c r="I606">
        <v>99</v>
      </c>
      <c r="J606">
        <v>5.0950106074948396</v>
      </c>
      <c r="K606" t="b">
        <f t="shared" si="47"/>
        <v>1</v>
      </c>
      <c r="L606">
        <f t="shared" si="48"/>
        <v>181.13670065365463</v>
      </c>
      <c r="M606">
        <f t="shared" si="49"/>
        <v>362.27340130730926</v>
      </c>
      <c r="N606">
        <f t="shared" si="45"/>
        <v>955.86649421453626</v>
      </c>
      <c r="O606" s="21">
        <f t="shared" si="46"/>
        <v>1097.7981857797249</v>
      </c>
    </row>
    <row r="607" spans="1:15" x14ac:dyDescent="0.35">
      <c r="A607" t="s">
        <v>66</v>
      </c>
      <c r="B607">
        <v>6</v>
      </c>
      <c r="C607" t="s">
        <v>65</v>
      </c>
      <c r="D607">
        <v>100</v>
      </c>
      <c r="E607">
        <v>154.771680594044</v>
      </c>
      <c r="F607">
        <v>22.139463032003398</v>
      </c>
      <c r="G607" t="s">
        <v>66</v>
      </c>
      <c r="H607">
        <v>6</v>
      </c>
      <c r="I607">
        <v>100</v>
      </c>
      <c r="J607">
        <v>5.1183432220130003</v>
      </c>
      <c r="K607" t="b">
        <f t="shared" si="47"/>
        <v>1</v>
      </c>
      <c r="L607">
        <f t="shared" si="48"/>
        <v>182.0294868480604</v>
      </c>
      <c r="M607">
        <f t="shared" si="49"/>
        <v>364.0589736961208</v>
      </c>
      <c r="N607">
        <f t="shared" si="45"/>
        <v>960.57776700823433</v>
      </c>
      <c r="O607" s="21">
        <f t="shared" si="46"/>
        <v>1103.2090112003659</v>
      </c>
    </row>
    <row r="608" spans="1:15" x14ac:dyDescent="0.35">
      <c r="A608" t="s">
        <v>66</v>
      </c>
      <c r="B608">
        <v>8</v>
      </c>
      <c r="C608" t="s">
        <v>65</v>
      </c>
      <c r="D608">
        <v>0</v>
      </c>
      <c r="E608">
        <v>0</v>
      </c>
      <c r="F608">
        <v>0</v>
      </c>
      <c r="G608" t="s">
        <v>66</v>
      </c>
      <c r="H608">
        <v>8</v>
      </c>
      <c r="I608">
        <v>0</v>
      </c>
      <c r="J608">
        <v>0</v>
      </c>
      <c r="K608" t="b">
        <f t="shared" si="47"/>
        <v>1</v>
      </c>
      <c r="L608">
        <f t="shared" si="48"/>
        <v>0</v>
      </c>
      <c r="M608">
        <f t="shared" si="49"/>
        <v>0</v>
      </c>
      <c r="N608">
        <f t="shared" si="45"/>
        <v>0</v>
      </c>
      <c r="O608" s="21">
        <f t="shared" si="46"/>
        <v>0</v>
      </c>
    </row>
    <row r="609" spans="1:15" x14ac:dyDescent="0.35">
      <c r="A609" t="s">
        <v>66</v>
      </c>
      <c r="B609">
        <v>8</v>
      </c>
      <c r="C609" t="s">
        <v>65</v>
      </c>
      <c r="D609">
        <v>1</v>
      </c>
      <c r="E609">
        <v>2.4571037490241001E-2</v>
      </c>
      <c r="F609" s="15">
        <v>1.2763512698482001E-4</v>
      </c>
      <c r="G609" t="s">
        <v>66</v>
      </c>
      <c r="H609">
        <v>8</v>
      </c>
      <c r="I609">
        <v>1</v>
      </c>
      <c r="J609" s="15">
        <v>2.7796082194909998E-4</v>
      </c>
      <c r="K609" t="b">
        <f t="shared" si="47"/>
        <v>1</v>
      </c>
      <c r="L609">
        <f t="shared" si="48"/>
        <v>2.497663343917492E-2</v>
      </c>
      <c r="M609">
        <f t="shared" si="49"/>
        <v>4.995326687834984E-2</v>
      </c>
      <c r="N609">
        <f t="shared" si="45"/>
        <v>0.13180281498245341</v>
      </c>
      <c r="O609" s="21">
        <f t="shared" si="46"/>
        <v>0.1513735359949995</v>
      </c>
    </row>
    <row r="610" spans="1:15" x14ac:dyDescent="0.35">
      <c r="A610" t="s">
        <v>66</v>
      </c>
      <c r="B610">
        <v>8</v>
      </c>
      <c r="C610" t="s">
        <v>65</v>
      </c>
      <c r="D610">
        <v>2</v>
      </c>
      <c r="E610">
        <v>5.5284834353042302E-2</v>
      </c>
      <c r="F610" s="15">
        <v>4.1098510889114002E-4</v>
      </c>
      <c r="G610" t="s">
        <v>66</v>
      </c>
      <c r="H610">
        <v>8</v>
      </c>
      <c r="I610">
        <v>2</v>
      </c>
      <c r="J610" s="15">
        <v>8.0021290366116002E-4</v>
      </c>
      <c r="K610" t="b">
        <f t="shared" si="47"/>
        <v>1</v>
      </c>
      <c r="L610">
        <f t="shared" si="48"/>
        <v>5.6496032365594605E-2</v>
      </c>
      <c r="M610">
        <f t="shared" si="49"/>
        <v>0.11299206473118921</v>
      </c>
      <c r="N610">
        <f t="shared" si="45"/>
        <v>0.29813209691606651</v>
      </c>
      <c r="O610" s="21">
        <f t="shared" si="46"/>
        <v>0.3424001961551188</v>
      </c>
    </row>
    <row r="611" spans="1:15" x14ac:dyDescent="0.35">
      <c r="A611" t="s">
        <v>66</v>
      </c>
      <c r="B611">
        <v>8</v>
      </c>
      <c r="C611" t="s">
        <v>65</v>
      </c>
      <c r="D611">
        <v>3</v>
      </c>
      <c r="E611">
        <v>9.3677080431544005E-2</v>
      </c>
      <c r="F611" s="15">
        <v>8.8526447725404995E-4</v>
      </c>
      <c r="G611" t="s">
        <v>66</v>
      </c>
      <c r="H611">
        <v>8</v>
      </c>
      <c r="I611">
        <v>3</v>
      </c>
      <c r="J611">
        <v>1.56550245656667E-3</v>
      </c>
      <c r="K611" t="b">
        <f t="shared" si="47"/>
        <v>1</v>
      </c>
      <c r="L611">
        <f t="shared" si="48"/>
        <v>9.6127847365364727E-2</v>
      </c>
      <c r="M611">
        <f t="shared" si="49"/>
        <v>0.19225569473072945</v>
      </c>
      <c r="N611">
        <f t="shared" si="45"/>
        <v>0.50727096235020963</v>
      </c>
      <c r="O611" s="21">
        <f t="shared" si="46"/>
        <v>0.58259301433554378</v>
      </c>
    </row>
    <row r="612" spans="1:15" x14ac:dyDescent="0.35">
      <c r="A612" t="s">
        <v>66</v>
      </c>
      <c r="B612">
        <v>8</v>
      </c>
      <c r="C612" t="s">
        <v>65</v>
      </c>
      <c r="D612">
        <v>4</v>
      </c>
      <c r="E612">
        <v>0.14166738802967099</v>
      </c>
      <c r="F612">
        <v>1.5946028219583201E-3</v>
      </c>
      <c r="G612" t="s">
        <v>66</v>
      </c>
      <c r="H612">
        <v>8</v>
      </c>
      <c r="I612">
        <v>4</v>
      </c>
      <c r="J612">
        <v>2.5962806387924298E-3</v>
      </c>
      <c r="K612" t="b">
        <f t="shared" si="47"/>
        <v>1</v>
      </c>
      <c r="L612">
        <f t="shared" si="48"/>
        <v>0.14585827149042174</v>
      </c>
      <c r="M612">
        <f t="shared" si="49"/>
        <v>0.29171654298084349</v>
      </c>
      <c r="N612">
        <f t="shared" si="45"/>
        <v>0.76970064111040493</v>
      </c>
      <c r="O612" s="21">
        <f t="shared" si="46"/>
        <v>0.88398952418437415</v>
      </c>
    </row>
    <row r="613" spans="1:15" x14ac:dyDescent="0.35">
      <c r="A613" t="s">
        <v>66</v>
      </c>
      <c r="B613">
        <v>8</v>
      </c>
      <c r="C613" t="s">
        <v>65</v>
      </c>
      <c r="D613">
        <v>5</v>
      </c>
      <c r="E613">
        <v>0.20165527252732901</v>
      </c>
      <c r="F613">
        <v>2.5942702130617602E-3</v>
      </c>
      <c r="G613" t="s">
        <v>66</v>
      </c>
      <c r="H613">
        <v>8</v>
      </c>
      <c r="I613">
        <v>5</v>
      </c>
      <c r="J613">
        <v>3.9348956766848998E-3</v>
      </c>
      <c r="K613" t="b">
        <f t="shared" si="47"/>
        <v>1</v>
      </c>
      <c r="L613">
        <f t="shared" si="48"/>
        <v>0.20818443841707568</v>
      </c>
      <c r="M613">
        <f t="shared" si="49"/>
        <v>0.41636887683415136</v>
      </c>
      <c r="N613">
        <f t="shared" si="45"/>
        <v>1.0985986196151751</v>
      </c>
      <c r="O613" s="21">
        <f t="shared" si="46"/>
        <v>1.2617238691943979</v>
      </c>
    </row>
    <row r="614" spans="1:15" x14ac:dyDescent="0.35">
      <c r="A614" t="s">
        <v>66</v>
      </c>
      <c r="B614">
        <v>8</v>
      </c>
      <c r="C614" t="s">
        <v>65</v>
      </c>
      <c r="D614">
        <v>6</v>
      </c>
      <c r="E614">
        <v>0.27664012814940298</v>
      </c>
      <c r="F614">
        <v>3.9534590783574597E-3</v>
      </c>
      <c r="G614" t="s">
        <v>66</v>
      </c>
      <c r="H614">
        <v>8</v>
      </c>
      <c r="I614">
        <v>6</v>
      </c>
      <c r="J614">
        <v>5.6428959338560396E-3</v>
      </c>
      <c r="K614" t="b">
        <f t="shared" si="47"/>
        <v>1</v>
      </c>
      <c r="L614">
        <f t="shared" si="48"/>
        <v>0.28623648316161648</v>
      </c>
      <c r="M614">
        <f t="shared" si="49"/>
        <v>0.57247296632323297</v>
      </c>
      <c r="N614">
        <f t="shared" si="45"/>
        <v>1.5104827607473166</v>
      </c>
      <c r="O614" s="21">
        <f t="shared" si="46"/>
        <v>1.7347665646158574</v>
      </c>
    </row>
    <row r="615" spans="1:15" x14ac:dyDescent="0.35">
      <c r="A615" t="s">
        <v>66</v>
      </c>
      <c r="B615">
        <v>8</v>
      </c>
      <c r="C615" t="s">
        <v>65</v>
      </c>
      <c r="D615">
        <v>7</v>
      </c>
      <c r="E615">
        <v>0.370371197676995</v>
      </c>
      <c r="F615">
        <v>5.7587616476010104E-3</v>
      </c>
      <c r="G615" t="s">
        <v>66</v>
      </c>
      <c r="H615">
        <v>8</v>
      </c>
      <c r="I615">
        <v>7</v>
      </c>
      <c r="J615">
        <v>7.8024982124107103E-3</v>
      </c>
      <c r="K615" t="b">
        <f t="shared" si="47"/>
        <v>1</v>
      </c>
      <c r="L615">
        <f t="shared" si="48"/>
        <v>0.38393245753700672</v>
      </c>
      <c r="M615">
        <f t="shared" si="49"/>
        <v>0.76786491507401344</v>
      </c>
      <c r="N615">
        <f t="shared" si="45"/>
        <v>2.0260287996675816</v>
      </c>
      <c r="O615" s="21">
        <f t="shared" si="46"/>
        <v>2.326863379012162</v>
      </c>
    </row>
    <row r="616" spans="1:15" x14ac:dyDescent="0.35">
      <c r="A616" t="s">
        <v>66</v>
      </c>
      <c r="B616">
        <v>8</v>
      </c>
      <c r="C616" t="s">
        <v>65</v>
      </c>
      <c r="D616">
        <v>8</v>
      </c>
      <c r="E616">
        <v>0.487535034586486</v>
      </c>
      <c r="F616">
        <v>8.1185168521506496E-3</v>
      </c>
      <c r="G616" t="s">
        <v>66</v>
      </c>
      <c r="H616">
        <v>8</v>
      </c>
      <c r="I616">
        <v>8</v>
      </c>
      <c r="J616">
        <v>1.0519776503640501E-2</v>
      </c>
      <c r="K616" t="b">
        <f t="shared" si="47"/>
        <v>1</v>
      </c>
      <c r="L616">
        <f t="shared" si="48"/>
        <v>0.50617332794227721</v>
      </c>
      <c r="M616">
        <f t="shared" si="49"/>
        <v>1.0123466558845544</v>
      </c>
      <c r="N616">
        <f t="shared" si="45"/>
        <v>2.671099355895922</v>
      </c>
      <c r="O616" s="21">
        <f t="shared" si="46"/>
        <v>3.0677171390441043</v>
      </c>
    </row>
    <row r="617" spans="1:15" x14ac:dyDescent="0.35">
      <c r="A617" t="s">
        <v>66</v>
      </c>
      <c r="B617">
        <v>8</v>
      </c>
      <c r="C617" t="s">
        <v>65</v>
      </c>
      <c r="D617">
        <v>9</v>
      </c>
      <c r="E617">
        <v>0.63398983072334703</v>
      </c>
      <c r="F617">
        <v>1.1168244041043E-2</v>
      </c>
      <c r="G617" t="s">
        <v>66</v>
      </c>
      <c r="H617">
        <v>8</v>
      </c>
      <c r="I617">
        <v>9</v>
      </c>
      <c r="J617">
        <v>1.39294356904028E-2</v>
      </c>
      <c r="K617" t="b">
        <f t="shared" si="47"/>
        <v>1</v>
      </c>
      <c r="L617">
        <f t="shared" si="48"/>
        <v>0.65908751045479286</v>
      </c>
      <c r="M617">
        <f t="shared" si="49"/>
        <v>1.3181750209095857</v>
      </c>
      <c r="N617">
        <f t="shared" si="45"/>
        <v>3.4780343559619675</v>
      </c>
      <c r="O617" s="21">
        <f t="shared" si="46"/>
        <v>3.9944697603320778</v>
      </c>
    </row>
    <row r="618" spans="1:15" x14ac:dyDescent="0.35">
      <c r="A618" t="s">
        <v>66</v>
      </c>
      <c r="B618">
        <v>8</v>
      </c>
      <c r="C618" t="s">
        <v>65</v>
      </c>
      <c r="D618">
        <v>10</v>
      </c>
      <c r="E618">
        <v>0.81705832589442595</v>
      </c>
      <c r="F618">
        <v>1.50774352148677E-2</v>
      </c>
      <c r="G618" t="s">
        <v>66</v>
      </c>
      <c r="H618">
        <v>8</v>
      </c>
      <c r="I618">
        <v>10</v>
      </c>
      <c r="J618">
        <v>1.82012409208306E-2</v>
      </c>
      <c r="K618" t="b">
        <f t="shared" si="47"/>
        <v>1</v>
      </c>
      <c r="L618">
        <f t="shared" si="48"/>
        <v>0.8503370020301243</v>
      </c>
      <c r="M618">
        <f t="shared" si="49"/>
        <v>1.7006740040602486</v>
      </c>
      <c r="N618">
        <f t="shared" si="45"/>
        <v>4.4872665014782287</v>
      </c>
      <c r="O618" s="21">
        <f t="shared" si="46"/>
        <v>5.1535575880613589</v>
      </c>
    </row>
    <row r="619" spans="1:15" x14ac:dyDescent="0.35">
      <c r="A619" t="s">
        <v>66</v>
      </c>
      <c r="B619">
        <v>8</v>
      </c>
      <c r="C619" t="s">
        <v>65</v>
      </c>
      <c r="D619">
        <v>11</v>
      </c>
      <c r="E619">
        <v>1.04589394485827</v>
      </c>
      <c r="F619">
        <v>2.00580454042265E-2</v>
      </c>
      <c r="G619" t="s">
        <v>66</v>
      </c>
      <c r="H619">
        <v>8</v>
      </c>
      <c r="I619">
        <v>11</v>
      </c>
      <c r="J619">
        <v>2.3548328386940799E-2</v>
      </c>
      <c r="K619" t="b">
        <f t="shared" si="47"/>
        <v>1</v>
      </c>
      <c r="L619">
        <f t="shared" si="48"/>
        <v>1.0895003186494374</v>
      </c>
      <c r="M619">
        <f t="shared" si="49"/>
        <v>2.1790006372988748</v>
      </c>
      <c r="N619">
        <f t="shared" si="45"/>
        <v>5.7493420509205144</v>
      </c>
      <c r="O619" s="21">
        <f t="shared" si="46"/>
        <v>6.6030322342390146</v>
      </c>
    </row>
    <row r="620" spans="1:15" x14ac:dyDescent="0.35">
      <c r="A620" t="s">
        <v>66</v>
      </c>
      <c r="B620">
        <v>8</v>
      </c>
      <c r="C620" t="s">
        <v>65</v>
      </c>
      <c r="D620">
        <v>12</v>
      </c>
      <c r="E620">
        <v>1.33193846856308</v>
      </c>
      <c r="F620">
        <v>2.6375105726340501E-2</v>
      </c>
      <c r="G620" t="s">
        <v>66</v>
      </c>
      <c r="H620">
        <v>8</v>
      </c>
      <c r="I620">
        <v>12</v>
      </c>
      <c r="J620">
        <v>3.0237758419626198E-2</v>
      </c>
      <c r="K620" t="b">
        <f t="shared" si="47"/>
        <v>1</v>
      </c>
      <c r="L620">
        <f t="shared" si="48"/>
        <v>1.3885513327090468</v>
      </c>
      <c r="M620">
        <f t="shared" si="49"/>
        <v>2.7771026654180937</v>
      </c>
      <c r="N620">
        <f t="shared" si="45"/>
        <v>7.3274476660108014</v>
      </c>
      <c r="O620" s="21">
        <f t="shared" si="46"/>
        <v>8.4154626224790707</v>
      </c>
    </row>
    <row r="621" spans="1:15" x14ac:dyDescent="0.35">
      <c r="A621" t="s">
        <v>66</v>
      </c>
      <c r="B621">
        <v>8</v>
      </c>
      <c r="C621" t="s">
        <v>65</v>
      </c>
      <c r="D621">
        <v>13</v>
      </c>
      <c r="E621">
        <v>1.6894941231940901</v>
      </c>
      <c r="F621">
        <v>3.4359989786836097E-2</v>
      </c>
      <c r="G621" t="s">
        <v>66</v>
      </c>
      <c r="H621">
        <v>8</v>
      </c>
      <c r="I621">
        <v>13</v>
      </c>
      <c r="J621">
        <v>3.8603807336055E-2</v>
      </c>
      <c r="K621" t="b">
        <f t="shared" si="47"/>
        <v>1</v>
      </c>
      <c r="L621">
        <f t="shared" si="48"/>
        <v>1.7624579203169812</v>
      </c>
      <c r="M621">
        <f t="shared" si="49"/>
        <v>3.5249158406339625</v>
      </c>
      <c r="N621">
        <f t="shared" si="45"/>
        <v>9.300569500353463</v>
      </c>
      <c r="O621" s="21">
        <f t="shared" si="46"/>
        <v>10.681563153436249</v>
      </c>
    </row>
    <row r="622" spans="1:15" x14ac:dyDescent="0.35">
      <c r="A622" t="s">
        <v>66</v>
      </c>
      <c r="B622">
        <v>8</v>
      </c>
      <c r="C622" t="s">
        <v>65</v>
      </c>
      <c r="D622">
        <v>14</v>
      </c>
      <c r="E622">
        <v>2.1364386914828501</v>
      </c>
      <c r="F622">
        <v>4.4426996760573101E-2</v>
      </c>
      <c r="G622" t="s">
        <v>66</v>
      </c>
      <c r="H622">
        <v>8</v>
      </c>
      <c r="I622">
        <v>14</v>
      </c>
      <c r="J622">
        <v>4.9064644753753703E-2</v>
      </c>
      <c r="K622" t="b">
        <f t="shared" si="47"/>
        <v>1</v>
      </c>
      <c r="L622">
        <f t="shared" si="48"/>
        <v>2.2299303329971769</v>
      </c>
      <c r="M622">
        <f t="shared" si="49"/>
        <v>4.4598606659943538</v>
      </c>
      <c r="N622">
        <f t="shared" si="45"/>
        <v>11.767442390486421</v>
      </c>
      <c r="O622" s="21">
        <f t="shared" si="46"/>
        <v>13.51472929089198</v>
      </c>
    </row>
    <row r="623" spans="1:15" x14ac:dyDescent="0.35">
      <c r="A623" t="s">
        <v>66</v>
      </c>
      <c r="B623">
        <v>8</v>
      </c>
      <c r="C623" t="s">
        <v>65</v>
      </c>
      <c r="D623">
        <v>15</v>
      </c>
      <c r="E623">
        <v>2.6951194018438098</v>
      </c>
      <c r="F623">
        <v>5.7094080318918397E-2</v>
      </c>
      <c r="G623" t="s">
        <v>66</v>
      </c>
      <c r="H623">
        <v>8</v>
      </c>
      <c r="I623">
        <v>15</v>
      </c>
      <c r="J623">
        <v>6.2143219970031902E-2</v>
      </c>
      <c r="K623" t="b">
        <f t="shared" si="47"/>
        <v>1</v>
      </c>
      <c r="L623">
        <f t="shared" si="48"/>
        <v>2.81435670213276</v>
      </c>
      <c r="M623">
        <f t="shared" si="49"/>
        <v>5.62871340426552</v>
      </c>
      <c r="N623">
        <f t="shared" si="45"/>
        <v>14.85148655479029</v>
      </c>
      <c r="O623" s="21">
        <f t="shared" si="46"/>
        <v>17.05670728565309</v>
      </c>
    </row>
    <row r="624" spans="1:15" x14ac:dyDescent="0.35">
      <c r="A624" t="s">
        <v>66</v>
      </c>
      <c r="B624">
        <v>8</v>
      </c>
      <c r="C624" t="s">
        <v>65</v>
      </c>
      <c r="D624">
        <v>16</v>
      </c>
      <c r="E624">
        <v>3.39347028979501</v>
      </c>
      <c r="F624">
        <v>7.3008759862788805E-2</v>
      </c>
      <c r="G624" t="s">
        <v>66</v>
      </c>
      <c r="H624">
        <v>8</v>
      </c>
      <c r="I624">
        <v>16</v>
      </c>
      <c r="J624">
        <v>7.8493395807295405E-2</v>
      </c>
      <c r="K624" t="b">
        <f t="shared" si="47"/>
        <v>1</v>
      </c>
      <c r="L624">
        <f t="shared" si="48"/>
        <v>3.5449724454650942</v>
      </c>
      <c r="M624">
        <f t="shared" si="49"/>
        <v>7.0899448909301883</v>
      </c>
      <c r="N624">
        <f t="shared" si="45"/>
        <v>18.706978604037435</v>
      </c>
      <c r="O624" s="21">
        <f t="shared" si="46"/>
        <v>21.484681487667235</v>
      </c>
    </row>
    <row r="625" spans="1:15" x14ac:dyDescent="0.35">
      <c r="A625" t="s">
        <v>66</v>
      </c>
      <c r="B625">
        <v>8</v>
      </c>
      <c r="C625" t="s">
        <v>65</v>
      </c>
      <c r="D625">
        <v>17</v>
      </c>
      <c r="E625">
        <v>4.2664088997340102</v>
      </c>
      <c r="F625">
        <v>9.2980509635687297E-2</v>
      </c>
      <c r="G625" t="s">
        <v>66</v>
      </c>
      <c r="H625">
        <v>8</v>
      </c>
      <c r="I625">
        <v>17</v>
      </c>
      <c r="J625">
        <v>9.8932633187663502E-2</v>
      </c>
      <c r="K625" t="b">
        <f t="shared" si="47"/>
        <v>1</v>
      </c>
      <c r="L625">
        <f t="shared" si="48"/>
        <v>4.4583220425573611</v>
      </c>
      <c r="M625">
        <f t="shared" si="49"/>
        <v>8.9166440851147222</v>
      </c>
      <c r="N625">
        <f t="shared" si="45"/>
        <v>23.526765396081061</v>
      </c>
      <c r="O625" s="21">
        <f t="shared" si="46"/>
        <v>27.020133591256734</v>
      </c>
    </row>
    <row r="626" spans="1:15" x14ac:dyDescent="0.35">
      <c r="A626" t="s">
        <v>66</v>
      </c>
      <c r="B626">
        <v>8</v>
      </c>
      <c r="C626" t="s">
        <v>65</v>
      </c>
      <c r="D626">
        <v>18</v>
      </c>
      <c r="E626">
        <v>5.3575821621577404</v>
      </c>
      <c r="F626">
        <v>0.118021245184579</v>
      </c>
      <c r="G626" t="s">
        <v>66</v>
      </c>
      <c r="H626">
        <v>8</v>
      </c>
      <c r="I626">
        <v>18</v>
      </c>
      <c r="J626">
        <v>0.124482858665907</v>
      </c>
      <c r="K626" t="b">
        <f t="shared" si="47"/>
        <v>1</v>
      </c>
      <c r="L626">
        <f t="shared" si="48"/>
        <v>5.6000862660082262</v>
      </c>
      <c r="M626">
        <f t="shared" si="49"/>
        <v>11.200172532016452</v>
      </c>
      <c r="N626">
        <f t="shared" si="45"/>
        <v>29.551906416929953</v>
      </c>
      <c r="O626" s="21">
        <f t="shared" si="46"/>
        <v>33.93991676368622</v>
      </c>
    </row>
    <row r="627" spans="1:15" x14ac:dyDescent="0.35">
      <c r="A627" t="s">
        <v>66</v>
      </c>
      <c r="B627">
        <v>8</v>
      </c>
      <c r="C627" t="s">
        <v>65</v>
      </c>
      <c r="D627">
        <v>19</v>
      </c>
      <c r="E627">
        <v>6.7215487401874201</v>
      </c>
      <c r="F627">
        <v>0.14939593150347999</v>
      </c>
      <c r="G627" t="s">
        <v>66</v>
      </c>
      <c r="H627">
        <v>8</v>
      </c>
      <c r="I627">
        <v>19</v>
      </c>
      <c r="J627">
        <v>0.156421557121007</v>
      </c>
      <c r="K627" t="b">
        <f t="shared" si="47"/>
        <v>1</v>
      </c>
      <c r="L627">
        <f t="shared" si="48"/>
        <v>7.027366228811907</v>
      </c>
      <c r="M627">
        <f t="shared" si="49"/>
        <v>14.054732457623814</v>
      </c>
      <c r="N627">
        <f t="shared" si="45"/>
        <v>37.083726801118239</v>
      </c>
      <c r="O627" s="21">
        <f t="shared" si="46"/>
        <v>42.590098356435796</v>
      </c>
    </row>
    <row r="628" spans="1:15" x14ac:dyDescent="0.35">
      <c r="A628" t="s">
        <v>66</v>
      </c>
      <c r="B628">
        <v>8</v>
      </c>
      <c r="C628" t="s">
        <v>65</v>
      </c>
      <c r="D628">
        <v>20</v>
      </c>
      <c r="E628">
        <v>8.4265069627245204</v>
      </c>
      <c r="F628">
        <v>0.18868584327840801</v>
      </c>
      <c r="G628" t="s">
        <v>66</v>
      </c>
      <c r="H628">
        <v>8</v>
      </c>
      <c r="I628">
        <v>20</v>
      </c>
      <c r="J628">
        <v>0.19634564354123801</v>
      </c>
      <c r="K628" t="b">
        <f t="shared" si="47"/>
        <v>1</v>
      </c>
      <c r="L628">
        <f t="shared" si="48"/>
        <v>8.811538449544166</v>
      </c>
      <c r="M628">
        <f t="shared" si="49"/>
        <v>17.623076899088332</v>
      </c>
      <c r="N628">
        <f t="shared" si="45"/>
        <v>46.498883638755494</v>
      </c>
      <c r="O628" s="21">
        <f t="shared" si="46"/>
        <v>53.403263330570702</v>
      </c>
    </row>
    <row r="629" spans="1:15" x14ac:dyDescent="0.35">
      <c r="A629" t="s">
        <v>66</v>
      </c>
      <c r="B629">
        <v>8</v>
      </c>
      <c r="C629" t="s">
        <v>65</v>
      </c>
      <c r="D629">
        <v>21</v>
      </c>
      <c r="E629">
        <v>10.557704740895799</v>
      </c>
      <c r="F629">
        <v>0.23786764025708099</v>
      </c>
      <c r="G629" t="s">
        <v>66</v>
      </c>
      <c r="H629">
        <v>8</v>
      </c>
      <c r="I629">
        <v>21</v>
      </c>
      <c r="J629">
        <v>0.24625130707009099</v>
      </c>
      <c r="K629" t="b">
        <f t="shared" si="47"/>
        <v>1</v>
      </c>
      <c r="L629">
        <f t="shared" si="48"/>
        <v>11.041823688222971</v>
      </c>
      <c r="M629">
        <f t="shared" si="49"/>
        <v>22.083647376445942</v>
      </c>
      <c r="N629">
        <f t="shared" si="45"/>
        <v>58.268198882443116</v>
      </c>
      <c r="O629" s="21">
        <f t="shared" si="46"/>
        <v>66.920143564987697</v>
      </c>
    </row>
    <row r="630" spans="1:15" x14ac:dyDescent="0.35">
      <c r="A630" t="s">
        <v>66</v>
      </c>
      <c r="B630">
        <v>8</v>
      </c>
      <c r="C630" t="s">
        <v>65</v>
      </c>
      <c r="D630">
        <v>22</v>
      </c>
      <c r="E630">
        <v>13.219371000000001</v>
      </c>
      <c r="F630">
        <v>0.299400103249369</v>
      </c>
      <c r="G630" t="s">
        <v>66</v>
      </c>
      <c r="H630">
        <v>8</v>
      </c>
      <c r="I630">
        <v>22</v>
      </c>
      <c r="J630">
        <v>0.30860745013962798</v>
      </c>
      <c r="K630" t="b">
        <f t="shared" si="47"/>
        <v>1</v>
      </c>
      <c r="L630">
        <f t="shared" si="48"/>
        <v>13.827378553388996</v>
      </c>
      <c r="M630">
        <f t="shared" si="49"/>
        <v>27.654757106777993</v>
      </c>
      <c r="N630">
        <f t="shared" si="45"/>
        <v>72.967696851656967</v>
      </c>
      <c r="O630" s="21">
        <f t="shared" si="46"/>
        <v>83.802294262963613</v>
      </c>
    </row>
    <row r="631" spans="1:15" x14ac:dyDescent="0.35">
      <c r="A631" t="s">
        <v>66</v>
      </c>
      <c r="B631">
        <v>8</v>
      </c>
      <c r="C631" t="s">
        <v>65</v>
      </c>
      <c r="D631">
        <v>23</v>
      </c>
      <c r="E631">
        <v>16.136208</v>
      </c>
      <c r="F631">
        <v>0.37423820575188699</v>
      </c>
      <c r="G631" t="s">
        <v>66</v>
      </c>
      <c r="H631">
        <v>8</v>
      </c>
      <c r="I631">
        <v>23</v>
      </c>
      <c r="J631">
        <v>0.38189546159993798</v>
      </c>
      <c r="K631" t="b">
        <f t="shared" si="47"/>
        <v>1</v>
      </c>
      <c r="L631">
        <f t="shared" si="48"/>
        <v>16.892341667351825</v>
      </c>
      <c r="M631">
        <f t="shared" si="49"/>
        <v>33.784683334703651</v>
      </c>
      <c r="N631">
        <f t="shared" si="45"/>
        <v>89.141644682595384</v>
      </c>
      <c r="O631" s="21">
        <f t="shared" si="46"/>
        <v>102.37782828698076</v>
      </c>
    </row>
    <row r="632" spans="1:15" x14ac:dyDescent="0.35">
      <c r="A632" t="s">
        <v>66</v>
      </c>
      <c r="B632">
        <v>8</v>
      </c>
      <c r="C632" t="s">
        <v>65</v>
      </c>
      <c r="D632">
        <v>24</v>
      </c>
      <c r="E632">
        <v>19.053045000000001</v>
      </c>
      <c r="F632">
        <v>0.46198277857933101</v>
      </c>
      <c r="G632" t="s">
        <v>66</v>
      </c>
      <c r="H632">
        <v>8</v>
      </c>
      <c r="I632">
        <v>24</v>
      </c>
      <c r="J632">
        <v>0.46232732688863498</v>
      </c>
      <c r="K632" t="b">
        <f t="shared" si="47"/>
        <v>1</v>
      </c>
      <c r="L632">
        <f t="shared" si="48"/>
        <v>19.977355105467964</v>
      </c>
      <c r="M632">
        <f t="shared" si="49"/>
        <v>39.954710210935929</v>
      </c>
      <c r="N632">
        <f t="shared" si="45"/>
        <v>105.42139897344572</v>
      </c>
      <c r="O632" s="21">
        <f t="shared" si="46"/>
        <v>121.07487942707857</v>
      </c>
    </row>
    <row r="633" spans="1:15" x14ac:dyDescent="0.35">
      <c r="A633" t="s">
        <v>66</v>
      </c>
      <c r="B633">
        <v>8</v>
      </c>
      <c r="C633" t="s">
        <v>65</v>
      </c>
      <c r="D633">
        <v>25</v>
      </c>
      <c r="E633">
        <v>21.969881999999998</v>
      </c>
      <c r="F633">
        <v>0.56224662762195099</v>
      </c>
      <c r="G633" t="s">
        <v>66</v>
      </c>
      <c r="H633">
        <v>8</v>
      </c>
      <c r="I633">
        <v>25</v>
      </c>
      <c r="J633">
        <v>0.54754553585599697</v>
      </c>
      <c r="K633" t="b">
        <f t="shared" si="47"/>
        <v>1</v>
      </c>
      <c r="L633">
        <f t="shared" si="48"/>
        <v>23.079674163477947</v>
      </c>
      <c r="M633">
        <f t="shared" si="49"/>
        <v>46.159348326955893</v>
      </c>
      <c r="N633">
        <f t="shared" si="45"/>
        <v>121.7924757967174</v>
      </c>
      <c r="O633" s="21">
        <f t="shared" si="46"/>
        <v>139.87681311198756</v>
      </c>
    </row>
    <row r="634" spans="1:15" x14ac:dyDescent="0.35">
      <c r="A634" t="s">
        <v>66</v>
      </c>
      <c r="B634">
        <v>8</v>
      </c>
      <c r="C634" t="s">
        <v>65</v>
      </c>
      <c r="D634">
        <v>26</v>
      </c>
      <c r="E634">
        <v>24.886718999999999</v>
      </c>
      <c r="F634">
        <v>0.67465417459329202</v>
      </c>
      <c r="G634" t="s">
        <v>66</v>
      </c>
      <c r="H634">
        <v>8</v>
      </c>
      <c r="I634">
        <v>26</v>
      </c>
      <c r="J634">
        <v>0.63605054336556499</v>
      </c>
      <c r="K634" t="b">
        <f t="shared" si="47"/>
        <v>1</v>
      </c>
      <c r="L634">
        <f t="shared" si="48"/>
        <v>26.197423717958856</v>
      </c>
      <c r="M634">
        <f t="shared" si="49"/>
        <v>52.394847435917711</v>
      </c>
      <c r="N634">
        <f t="shared" si="45"/>
        <v>138.24498004199924</v>
      </c>
      <c r="O634" s="21">
        <f t="shared" si="46"/>
        <v>158.7722649573264</v>
      </c>
    </row>
    <row r="635" spans="1:15" x14ac:dyDescent="0.35">
      <c r="A635" t="s">
        <v>66</v>
      </c>
      <c r="B635">
        <v>8</v>
      </c>
      <c r="C635" t="s">
        <v>65</v>
      </c>
      <c r="D635">
        <v>27</v>
      </c>
      <c r="E635">
        <v>27.803556</v>
      </c>
      <c r="F635">
        <v>0.79884110855549395</v>
      </c>
      <c r="G635" t="s">
        <v>66</v>
      </c>
      <c r="H635">
        <v>8</v>
      </c>
      <c r="I635">
        <v>27</v>
      </c>
      <c r="J635">
        <v>0.72686551147518497</v>
      </c>
      <c r="K635" t="b">
        <f t="shared" si="47"/>
        <v>1</v>
      </c>
      <c r="L635">
        <f t="shared" si="48"/>
        <v>29.329262620030679</v>
      </c>
      <c r="M635">
        <f t="shared" si="49"/>
        <v>58.658525240061358</v>
      </c>
      <c r="N635">
        <f t="shared" ref="N635:N698" si="50">M635/(1-0.621)</f>
        <v>154.77183440649435</v>
      </c>
      <c r="O635" s="21">
        <f t="shared" ref="O635:O698" si="51">M635/0.33</f>
        <v>177.75310678806471</v>
      </c>
    </row>
    <row r="636" spans="1:15" x14ac:dyDescent="0.35">
      <c r="A636" t="s">
        <v>66</v>
      </c>
      <c r="B636">
        <v>8</v>
      </c>
      <c r="C636" t="s">
        <v>65</v>
      </c>
      <c r="D636">
        <v>28</v>
      </c>
      <c r="E636">
        <v>30.720392999999898</v>
      </c>
      <c r="F636">
        <v>0.93445404789882902</v>
      </c>
      <c r="G636" t="s">
        <v>66</v>
      </c>
      <c r="H636">
        <v>8</v>
      </c>
      <c r="I636">
        <v>28</v>
      </c>
      <c r="J636">
        <v>0.81933806521351704</v>
      </c>
      <c r="K636" t="b">
        <f t="shared" si="47"/>
        <v>1</v>
      </c>
      <c r="L636">
        <f t="shared" si="48"/>
        <v>32.474185113112242</v>
      </c>
      <c r="M636">
        <f t="shared" si="49"/>
        <v>64.948370226224483</v>
      </c>
      <c r="N636">
        <f t="shared" si="50"/>
        <v>171.36773146761078</v>
      </c>
      <c r="O636" s="21">
        <f t="shared" si="51"/>
        <v>196.81324310977115</v>
      </c>
    </row>
    <row r="637" spans="1:15" x14ac:dyDescent="0.35">
      <c r="A637" t="s">
        <v>66</v>
      </c>
      <c r="B637">
        <v>8</v>
      </c>
      <c r="C637" t="s">
        <v>65</v>
      </c>
      <c r="D637">
        <v>29</v>
      </c>
      <c r="E637">
        <v>33.637230000000002</v>
      </c>
      <c r="F637">
        <v>1.0811502124618599</v>
      </c>
      <c r="G637" t="s">
        <v>66</v>
      </c>
      <c r="H637">
        <v>8</v>
      </c>
      <c r="I637">
        <v>29</v>
      </c>
      <c r="J637">
        <v>0.91302160645851005</v>
      </c>
      <c r="K637" t="b">
        <f t="shared" si="47"/>
        <v>1</v>
      </c>
      <c r="L637">
        <f t="shared" si="48"/>
        <v>35.631401818920367</v>
      </c>
      <c r="M637">
        <f t="shared" si="49"/>
        <v>71.262803637840733</v>
      </c>
      <c r="N637">
        <f t="shared" si="50"/>
        <v>188.02850564074072</v>
      </c>
      <c r="O637" s="21">
        <f t="shared" si="51"/>
        <v>215.94788981163856</v>
      </c>
    </row>
    <row r="638" spans="1:15" x14ac:dyDescent="0.35">
      <c r="A638" t="s">
        <v>66</v>
      </c>
      <c r="B638">
        <v>8</v>
      </c>
      <c r="C638" t="s">
        <v>65</v>
      </c>
      <c r="D638">
        <v>30</v>
      </c>
      <c r="E638">
        <v>37.121732999999999</v>
      </c>
      <c r="F638">
        <v>1.2415458666880099</v>
      </c>
      <c r="G638" t="s">
        <v>66</v>
      </c>
      <c r="H638">
        <v>8</v>
      </c>
      <c r="I638">
        <v>30</v>
      </c>
      <c r="J638">
        <v>1.0140249071990901</v>
      </c>
      <c r="K638" t="b">
        <f t="shared" si="47"/>
        <v>1</v>
      </c>
      <c r="L638">
        <f t="shared" si="48"/>
        <v>39.377303773887093</v>
      </c>
      <c r="M638">
        <f t="shared" si="49"/>
        <v>78.754607547774185</v>
      </c>
      <c r="N638">
        <f t="shared" si="50"/>
        <v>207.79579827908756</v>
      </c>
      <c r="O638" s="21">
        <f t="shared" si="51"/>
        <v>238.650325902346</v>
      </c>
    </row>
    <row r="639" spans="1:15" x14ac:dyDescent="0.35">
      <c r="A639" t="s">
        <v>66</v>
      </c>
      <c r="B639">
        <v>8</v>
      </c>
      <c r="C639" t="s">
        <v>65</v>
      </c>
      <c r="D639">
        <v>31</v>
      </c>
      <c r="E639">
        <v>40.606236000000003</v>
      </c>
      <c r="F639">
        <v>1.41523002588737</v>
      </c>
      <c r="G639" t="s">
        <v>66</v>
      </c>
      <c r="H639">
        <v>8</v>
      </c>
      <c r="I639">
        <v>31</v>
      </c>
      <c r="J639">
        <v>1.11974064468255</v>
      </c>
      <c r="K639" t="b">
        <f t="shared" si="47"/>
        <v>1</v>
      </c>
      <c r="L639">
        <f t="shared" si="48"/>
        <v>43.141206670569922</v>
      </c>
      <c r="M639">
        <f t="shared" si="49"/>
        <v>86.282413341139844</v>
      </c>
      <c r="N639">
        <f t="shared" si="50"/>
        <v>227.65808269430039</v>
      </c>
      <c r="O639" s="21">
        <f t="shared" si="51"/>
        <v>261.46185860951465</v>
      </c>
    </row>
    <row r="640" spans="1:15" x14ac:dyDescent="0.35">
      <c r="A640" t="s">
        <v>66</v>
      </c>
      <c r="B640">
        <v>8</v>
      </c>
      <c r="C640" t="s">
        <v>65</v>
      </c>
      <c r="D640">
        <v>32</v>
      </c>
      <c r="E640">
        <v>44.090738999999999</v>
      </c>
      <c r="F640">
        <v>1.6018040349107501</v>
      </c>
      <c r="G640" t="s">
        <v>66</v>
      </c>
      <c r="H640">
        <v>8</v>
      </c>
      <c r="I640">
        <v>32</v>
      </c>
      <c r="J640">
        <v>1.22856557262771</v>
      </c>
      <c r="K640" t="b">
        <f t="shared" si="47"/>
        <v>1</v>
      </c>
      <c r="L640">
        <f t="shared" si="48"/>
        <v>46.921108607538457</v>
      </c>
      <c r="M640">
        <f t="shared" si="49"/>
        <v>93.842217215076914</v>
      </c>
      <c r="N640">
        <f t="shared" si="50"/>
        <v>247.60479476273591</v>
      </c>
      <c r="O640" s="21">
        <f t="shared" si="51"/>
        <v>284.37035519720274</v>
      </c>
    </row>
    <row r="641" spans="1:15" x14ac:dyDescent="0.35">
      <c r="A641" t="s">
        <v>66</v>
      </c>
      <c r="B641">
        <v>8</v>
      </c>
      <c r="C641" t="s">
        <v>65</v>
      </c>
      <c r="D641">
        <v>33</v>
      </c>
      <c r="E641">
        <v>47.575241999999903</v>
      </c>
      <c r="F641">
        <v>1.8008811982634201</v>
      </c>
      <c r="G641" t="s">
        <v>66</v>
      </c>
      <c r="H641">
        <v>8</v>
      </c>
      <c r="I641">
        <v>33</v>
      </c>
      <c r="J641">
        <v>1.33949376177274</v>
      </c>
      <c r="K641" t="b">
        <f t="shared" si="47"/>
        <v>1</v>
      </c>
      <c r="L641">
        <f t="shared" si="48"/>
        <v>50.715616960036058</v>
      </c>
      <c r="M641">
        <f t="shared" si="49"/>
        <v>101.43123392007212</v>
      </c>
      <c r="N641">
        <f t="shared" si="50"/>
        <v>267.62858554108738</v>
      </c>
      <c r="O641" s="21">
        <f t="shared" si="51"/>
        <v>307.36737551537004</v>
      </c>
    </row>
    <row r="642" spans="1:15" x14ac:dyDescent="0.35">
      <c r="A642" t="s">
        <v>66</v>
      </c>
      <c r="B642">
        <v>8</v>
      </c>
      <c r="C642" t="s">
        <v>65</v>
      </c>
      <c r="D642">
        <v>34</v>
      </c>
      <c r="E642">
        <v>51.059744999999999</v>
      </c>
      <c r="F642">
        <v>2.0120864213155198</v>
      </c>
      <c r="G642" t="s">
        <v>66</v>
      </c>
      <c r="H642">
        <v>8</v>
      </c>
      <c r="I642">
        <v>34</v>
      </c>
      <c r="J642">
        <v>1.45187957764882</v>
      </c>
      <c r="K642" t="b">
        <f t="shared" ref="K642:K705" si="52">H642=B642</f>
        <v>1</v>
      </c>
      <c r="L642">
        <f t="shared" ref="L642:L705" si="53">E642+F642+J642</f>
        <v>54.52371099896434</v>
      </c>
      <c r="M642">
        <f t="shared" ref="M642:M705" si="54">L642*2</f>
        <v>109.04742199792868</v>
      </c>
      <c r="N642">
        <f t="shared" si="50"/>
        <v>287.72406859611789</v>
      </c>
      <c r="O642" s="21">
        <f t="shared" si="51"/>
        <v>330.44673332705656</v>
      </c>
    </row>
    <row r="643" spans="1:15" x14ac:dyDescent="0.35">
      <c r="A643" t="s">
        <v>66</v>
      </c>
      <c r="B643">
        <v>8</v>
      </c>
      <c r="C643" t="s">
        <v>65</v>
      </c>
      <c r="D643">
        <v>35</v>
      </c>
      <c r="E643">
        <v>54.924705000000003</v>
      </c>
      <c r="F643">
        <v>2.2370321596760601</v>
      </c>
      <c r="G643" t="s">
        <v>66</v>
      </c>
      <c r="H643">
        <v>8</v>
      </c>
      <c r="I643">
        <v>35</v>
      </c>
      <c r="J643">
        <v>1.56960233836332</v>
      </c>
      <c r="K643" t="b">
        <f t="shared" si="52"/>
        <v>1</v>
      </c>
      <c r="L643">
        <f t="shared" si="53"/>
        <v>58.731339498039382</v>
      </c>
      <c r="M643">
        <f t="shared" si="54"/>
        <v>117.46267899607876</v>
      </c>
      <c r="N643">
        <f t="shared" si="50"/>
        <v>309.9279129184136</v>
      </c>
      <c r="O643" s="21">
        <f t="shared" si="51"/>
        <v>355.94751210932958</v>
      </c>
    </row>
    <row r="644" spans="1:15" x14ac:dyDescent="0.35">
      <c r="A644" t="s">
        <v>66</v>
      </c>
      <c r="B644">
        <v>8</v>
      </c>
      <c r="C644" t="s">
        <v>65</v>
      </c>
      <c r="D644">
        <v>36</v>
      </c>
      <c r="E644">
        <v>58.789664999999999</v>
      </c>
      <c r="F644">
        <v>2.4753061978857702</v>
      </c>
      <c r="G644" t="s">
        <v>66</v>
      </c>
      <c r="H644">
        <v>8</v>
      </c>
      <c r="I644">
        <v>36</v>
      </c>
      <c r="J644">
        <v>1.6907783988543299</v>
      </c>
      <c r="K644" t="b">
        <f t="shared" si="52"/>
        <v>1</v>
      </c>
      <c r="L644">
        <f t="shared" si="53"/>
        <v>62.955749596740098</v>
      </c>
      <c r="M644">
        <f t="shared" si="54"/>
        <v>125.9114991934802</v>
      </c>
      <c r="N644">
        <f t="shared" si="50"/>
        <v>332.22031449467067</v>
      </c>
      <c r="O644" s="21">
        <f t="shared" si="51"/>
        <v>381.54999755600056</v>
      </c>
    </row>
    <row r="645" spans="1:15" x14ac:dyDescent="0.35">
      <c r="A645" t="s">
        <v>66</v>
      </c>
      <c r="B645">
        <v>8</v>
      </c>
      <c r="C645" t="s">
        <v>65</v>
      </c>
      <c r="D645">
        <v>37</v>
      </c>
      <c r="E645">
        <v>62.654624999999903</v>
      </c>
      <c r="F645">
        <v>2.7265086869492001</v>
      </c>
      <c r="G645" t="s">
        <v>66</v>
      </c>
      <c r="H645">
        <v>8</v>
      </c>
      <c r="I645">
        <v>37</v>
      </c>
      <c r="J645">
        <v>1.8142448651274199</v>
      </c>
      <c r="K645" t="b">
        <f t="shared" si="52"/>
        <v>1</v>
      </c>
      <c r="L645">
        <f t="shared" si="53"/>
        <v>67.195378552076519</v>
      </c>
      <c r="M645">
        <f t="shared" si="54"/>
        <v>134.39075710415304</v>
      </c>
      <c r="N645">
        <f t="shared" si="50"/>
        <v>354.59302666003441</v>
      </c>
      <c r="O645" s="21">
        <f t="shared" si="51"/>
        <v>407.24471849743344</v>
      </c>
    </row>
    <row r="646" spans="1:15" x14ac:dyDescent="0.35">
      <c r="A646" t="s">
        <v>66</v>
      </c>
      <c r="B646">
        <v>8</v>
      </c>
      <c r="C646" t="s">
        <v>65</v>
      </c>
      <c r="D646">
        <v>38</v>
      </c>
      <c r="E646">
        <v>66.519584999999907</v>
      </c>
      <c r="F646">
        <v>2.9902517733407299</v>
      </c>
      <c r="G646" t="s">
        <v>66</v>
      </c>
      <c r="H646">
        <v>8</v>
      </c>
      <c r="I646">
        <v>38</v>
      </c>
      <c r="J646">
        <v>1.9392687562522</v>
      </c>
      <c r="K646" t="b">
        <f t="shared" si="52"/>
        <v>1</v>
      </c>
      <c r="L646">
        <f t="shared" si="53"/>
        <v>71.449105529592842</v>
      </c>
      <c r="M646">
        <f t="shared" si="54"/>
        <v>142.89821105918568</v>
      </c>
      <c r="N646">
        <f t="shared" si="50"/>
        <v>377.04013472080658</v>
      </c>
      <c r="O646" s="21">
        <f t="shared" si="51"/>
        <v>433.02488199753236</v>
      </c>
    </row>
    <row r="647" spans="1:15" x14ac:dyDescent="0.35">
      <c r="A647" t="s">
        <v>66</v>
      </c>
      <c r="B647">
        <v>8</v>
      </c>
      <c r="C647" t="s">
        <v>65</v>
      </c>
      <c r="D647">
        <v>39</v>
      </c>
      <c r="E647">
        <v>70.384545000000003</v>
      </c>
      <c r="F647">
        <v>3.2661592391404999</v>
      </c>
      <c r="G647" t="s">
        <v>66</v>
      </c>
      <c r="H647">
        <v>8</v>
      </c>
      <c r="I647">
        <v>39</v>
      </c>
      <c r="J647">
        <v>2.0653772623032598</v>
      </c>
      <c r="K647" t="b">
        <f t="shared" si="52"/>
        <v>1</v>
      </c>
      <c r="L647">
        <f t="shared" si="53"/>
        <v>75.716081501443767</v>
      </c>
      <c r="M647">
        <f t="shared" si="54"/>
        <v>151.43216300288753</v>
      </c>
      <c r="N647">
        <f t="shared" si="50"/>
        <v>399.55715831896447</v>
      </c>
      <c r="O647" s="21">
        <f t="shared" si="51"/>
        <v>458.8853424329925</v>
      </c>
    </row>
    <row r="648" spans="1:15" x14ac:dyDescent="0.35">
      <c r="A648" t="s">
        <v>66</v>
      </c>
      <c r="B648">
        <v>8</v>
      </c>
      <c r="C648" t="s">
        <v>65</v>
      </c>
      <c r="D648">
        <v>40</v>
      </c>
      <c r="E648">
        <v>74.309894999999997</v>
      </c>
      <c r="F648">
        <v>3.5541798509662899</v>
      </c>
      <c r="G648" t="s">
        <v>66</v>
      </c>
      <c r="H648">
        <v>8</v>
      </c>
      <c r="I648">
        <v>40</v>
      </c>
      <c r="J648">
        <v>2.1929409622309701</v>
      </c>
      <c r="K648" t="b">
        <f t="shared" si="52"/>
        <v>1</v>
      </c>
      <c r="L648">
        <f t="shared" si="53"/>
        <v>80.057015813197253</v>
      </c>
      <c r="M648">
        <f t="shared" si="54"/>
        <v>160.11403162639451</v>
      </c>
      <c r="N648">
        <f t="shared" si="50"/>
        <v>422.46446339418077</v>
      </c>
      <c r="O648" s="21">
        <f t="shared" si="51"/>
        <v>485.1940352314985</v>
      </c>
    </row>
    <row r="649" spans="1:15" x14ac:dyDescent="0.35">
      <c r="A649" t="s">
        <v>66</v>
      </c>
      <c r="B649">
        <v>8</v>
      </c>
      <c r="C649" t="s">
        <v>65</v>
      </c>
      <c r="D649">
        <v>41</v>
      </c>
      <c r="E649">
        <v>78.235245000000006</v>
      </c>
      <c r="F649">
        <v>3.8539502144373001</v>
      </c>
      <c r="G649" t="s">
        <v>66</v>
      </c>
      <c r="H649">
        <v>8</v>
      </c>
      <c r="I649">
        <v>41</v>
      </c>
      <c r="J649">
        <v>2.3214944344805901</v>
      </c>
      <c r="K649" t="b">
        <f t="shared" si="52"/>
        <v>1</v>
      </c>
      <c r="L649">
        <f t="shared" si="53"/>
        <v>84.410689648917895</v>
      </c>
      <c r="M649">
        <f t="shared" si="54"/>
        <v>168.82137929783579</v>
      </c>
      <c r="N649">
        <f t="shared" si="50"/>
        <v>445.43899550880155</v>
      </c>
      <c r="O649" s="21">
        <f t="shared" si="51"/>
        <v>511.57993726616905</v>
      </c>
    </row>
    <row r="650" spans="1:15" x14ac:dyDescent="0.35">
      <c r="A650" t="s">
        <v>66</v>
      </c>
      <c r="B650">
        <v>8</v>
      </c>
      <c r="C650" t="s">
        <v>65</v>
      </c>
      <c r="D650">
        <v>42</v>
      </c>
      <c r="E650">
        <v>82.160595000000001</v>
      </c>
      <c r="F650">
        <v>4.1651178370041801</v>
      </c>
      <c r="G650" t="s">
        <v>66</v>
      </c>
      <c r="H650">
        <v>8</v>
      </c>
      <c r="I650">
        <v>42</v>
      </c>
      <c r="J650">
        <v>2.4507373774979602</v>
      </c>
      <c r="K650" t="b">
        <f t="shared" si="52"/>
        <v>1</v>
      </c>
      <c r="L650">
        <f t="shared" si="53"/>
        <v>88.776450214502134</v>
      </c>
      <c r="M650">
        <f t="shared" si="54"/>
        <v>177.55290042900427</v>
      </c>
      <c r="N650">
        <f t="shared" si="50"/>
        <v>468.47730983906138</v>
      </c>
      <c r="O650" s="21">
        <f t="shared" si="51"/>
        <v>538.03909220910384</v>
      </c>
    </row>
    <row r="651" spans="1:15" x14ac:dyDescent="0.35">
      <c r="A651" t="s">
        <v>66</v>
      </c>
      <c r="B651">
        <v>8</v>
      </c>
      <c r="C651" t="s">
        <v>65</v>
      </c>
      <c r="D651">
        <v>43</v>
      </c>
      <c r="E651">
        <v>86.085944999999995</v>
      </c>
      <c r="F651">
        <v>4.4873408008940503</v>
      </c>
      <c r="G651" t="s">
        <v>66</v>
      </c>
      <c r="H651">
        <v>8</v>
      </c>
      <c r="I651">
        <v>43</v>
      </c>
      <c r="J651">
        <v>2.5804711995001401</v>
      </c>
      <c r="K651" t="b">
        <f t="shared" si="52"/>
        <v>1</v>
      </c>
      <c r="L651">
        <f t="shared" si="53"/>
        <v>93.153757000394179</v>
      </c>
      <c r="M651">
        <f t="shared" si="54"/>
        <v>186.30751400078836</v>
      </c>
      <c r="N651">
        <f t="shared" si="50"/>
        <v>491.57655409178989</v>
      </c>
      <c r="O651" s="21">
        <f t="shared" si="51"/>
        <v>564.56822424481322</v>
      </c>
    </row>
    <row r="652" spans="1:15" x14ac:dyDescent="0.35">
      <c r="A652" t="s">
        <v>66</v>
      </c>
      <c r="B652">
        <v>8</v>
      </c>
      <c r="C652" t="s">
        <v>65</v>
      </c>
      <c r="D652">
        <v>44</v>
      </c>
      <c r="E652">
        <v>90.011295000000004</v>
      </c>
      <c r="F652">
        <v>4.8202874458672298</v>
      </c>
      <c r="G652" t="s">
        <v>66</v>
      </c>
      <c r="H652">
        <v>8</v>
      </c>
      <c r="I652">
        <v>44</v>
      </c>
      <c r="J652">
        <v>2.7105612525164302</v>
      </c>
      <c r="K652" t="b">
        <f t="shared" si="52"/>
        <v>1</v>
      </c>
      <c r="L652">
        <f t="shared" si="53"/>
        <v>97.542143698383668</v>
      </c>
      <c r="M652">
        <f t="shared" si="54"/>
        <v>195.08428739676734</v>
      </c>
      <c r="N652">
        <f t="shared" si="50"/>
        <v>514.73426753764466</v>
      </c>
      <c r="O652" s="21">
        <f t="shared" si="51"/>
        <v>591.16450726293135</v>
      </c>
    </row>
    <row r="653" spans="1:15" x14ac:dyDescent="0.35">
      <c r="A653" t="s">
        <v>66</v>
      </c>
      <c r="B653">
        <v>8</v>
      </c>
      <c r="C653" t="s">
        <v>65</v>
      </c>
      <c r="D653">
        <v>45</v>
      </c>
      <c r="E653">
        <v>93.761513999999906</v>
      </c>
      <c r="F653">
        <v>5.16272633729122</v>
      </c>
      <c r="G653" t="s">
        <v>66</v>
      </c>
      <c r="H653">
        <v>8</v>
      </c>
      <c r="I653">
        <v>45</v>
      </c>
      <c r="J653">
        <v>2.83893284353569</v>
      </c>
      <c r="K653" t="b">
        <f t="shared" si="52"/>
        <v>1</v>
      </c>
      <c r="L653">
        <f t="shared" si="53"/>
        <v>101.76317318082681</v>
      </c>
      <c r="M653">
        <f t="shared" si="54"/>
        <v>203.52634636165362</v>
      </c>
      <c r="N653">
        <f t="shared" si="50"/>
        <v>537.00882945027342</v>
      </c>
      <c r="O653" s="21">
        <f t="shared" si="51"/>
        <v>616.74650412622304</v>
      </c>
    </row>
    <row r="654" spans="1:15" x14ac:dyDescent="0.35">
      <c r="A654" t="s">
        <v>66</v>
      </c>
      <c r="B654">
        <v>8</v>
      </c>
      <c r="C654" t="s">
        <v>65</v>
      </c>
      <c r="D654">
        <v>46</v>
      </c>
      <c r="E654">
        <v>97.511732999999893</v>
      </c>
      <c r="F654">
        <v>5.5143727077724796</v>
      </c>
      <c r="G654" t="s">
        <v>66</v>
      </c>
      <c r="H654">
        <v>8</v>
      </c>
      <c r="I654">
        <v>46</v>
      </c>
      <c r="J654">
        <v>2.9662548442265302</v>
      </c>
      <c r="K654" t="b">
        <f t="shared" si="52"/>
        <v>1</v>
      </c>
      <c r="L654">
        <f t="shared" si="53"/>
        <v>105.9923605519989</v>
      </c>
      <c r="M654">
        <f t="shared" si="54"/>
        <v>211.9847211039978</v>
      </c>
      <c r="N654">
        <f t="shared" si="50"/>
        <v>559.32644090764586</v>
      </c>
      <c r="O654" s="21">
        <f t="shared" si="51"/>
        <v>642.37794273938721</v>
      </c>
    </row>
    <row r="655" spans="1:15" x14ac:dyDescent="0.35">
      <c r="A655" t="s">
        <v>66</v>
      </c>
      <c r="B655">
        <v>8</v>
      </c>
      <c r="C655" t="s">
        <v>65</v>
      </c>
      <c r="D655">
        <v>47</v>
      </c>
      <c r="E655">
        <v>101.26195199999999</v>
      </c>
      <c r="F655">
        <v>5.8749503329393002</v>
      </c>
      <c r="G655" t="s">
        <v>66</v>
      </c>
      <c r="H655">
        <v>8</v>
      </c>
      <c r="I655">
        <v>47</v>
      </c>
      <c r="J655">
        <v>3.0929234110696799</v>
      </c>
      <c r="K655" t="b">
        <f t="shared" si="52"/>
        <v>1</v>
      </c>
      <c r="L655">
        <f t="shared" si="53"/>
        <v>110.22982574400898</v>
      </c>
      <c r="M655">
        <f t="shared" si="54"/>
        <v>220.45965148801795</v>
      </c>
      <c r="N655">
        <f t="shared" si="50"/>
        <v>581.68773479688116</v>
      </c>
      <c r="O655" s="21">
        <f t="shared" si="51"/>
        <v>668.05954996369076</v>
      </c>
    </row>
    <row r="656" spans="1:15" x14ac:dyDescent="0.35">
      <c r="A656" t="s">
        <v>66</v>
      </c>
      <c r="B656">
        <v>8</v>
      </c>
      <c r="C656" t="s">
        <v>65</v>
      </c>
      <c r="D656">
        <v>48</v>
      </c>
      <c r="E656">
        <v>105.012171</v>
      </c>
      <c r="F656">
        <v>6.2441912751511204</v>
      </c>
      <c r="G656" t="s">
        <v>66</v>
      </c>
      <c r="H656">
        <v>8</v>
      </c>
      <c r="I656">
        <v>48</v>
      </c>
      <c r="J656">
        <v>3.2191761973792201</v>
      </c>
      <c r="K656" t="b">
        <f t="shared" si="52"/>
        <v>1</v>
      </c>
      <c r="L656">
        <f t="shared" si="53"/>
        <v>114.47553847253035</v>
      </c>
      <c r="M656">
        <f t="shared" si="54"/>
        <v>228.95107694506069</v>
      </c>
      <c r="N656">
        <f t="shared" si="50"/>
        <v>604.09255130622876</v>
      </c>
      <c r="O656" s="21">
        <f t="shared" si="51"/>
        <v>693.79114225775959</v>
      </c>
    </row>
    <row r="657" spans="1:15" x14ac:dyDescent="0.35">
      <c r="A657" t="s">
        <v>66</v>
      </c>
      <c r="B657">
        <v>8</v>
      </c>
      <c r="C657" t="s">
        <v>65</v>
      </c>
      <c r="D657">
        <v>49</v>
      </c>
      <c r="E657">
        <v>108.76239</v>
      </c>
      <c r="F657">
        <v>6.6218356348965903</v>
      </c>
      <c r="G657" t="s">
        <v>66</v>
      </c>
      <c r="H657">
        <v>8</v>
      </c>
      <c r="I657">
        <v>49</v>
      </c>
      <c r="J657">
        <v>3.3451580303369499</v>
      </c>
      <c r="K657" t="b">
        <f t="shared" si="52"/>
        <v>1</v>
      </c>
      <c r="L657">
        <f t="shared" si="53"/>
        <v>118.72938366523353</v>
      </c>
      <c r="M657">
        <f t="shared" si="54"/>
        <v>237.45876733046705</v>
      </c>
      <c r="N657">
        <f t="shared" si="50"/>
        <v>626.54028319384452</v>
      </c>
      <c r="O657" s="21">
        <f t="shared" si="51"/>
        <v>719.57202221353646</v>
      </c>
    </row>
    <row r="658" spans="1:15" x14ac:dyDescent="0.35">
      <c r="A658" t="s">
        <v>66</v>
      </c>
      <c r="B658">
        <v>8</v>
      </c>
      <c r="C658" t="s">
        <v>65</v>
      </c>
      <c r="D658">
        <v>50</v>
      </c>
      <c r="E658">
        <v>112.20462000000001</v>
      </c>
      <c r="F658">
        <v>7.0060314498496901</v>
      </c>
      <c r="G658" t="s">
        <v>66</v>
      </c>
      <c r="H658">
        <v>8</v>
      </c>
      <c r="I658">
        <v>50</v>
      </c>
      <c r="J658">
        <v>3.46747470018708</v>
      </c>
      <c r="K658" t="b">
        <f t="shared" si="52"/>
        <v>1</v>
      </c>
      <c r="L658">
        <f t="shared" si="53"/>
        <v>122.67812615003677</v>
      </c>
      <c r="M658">
        <f t="shared" si="54"/>
        <v>245.35625230007355</v>
      </c>
      <c r="N658">
        <f t="shared" si="50"/>
        <v>647.3779744065265</v>
      </c>
      <c r="O658" s="21">
        <f t="shared" si="51"/>
        <v>743.50379484870768</v>
      </c>
    </row>
    <row r="659" spans="1:15" x14ac:dyDescent="0.35">
      <c r="A659" t="s">
        <v>66</v>
      </c>
      <c r="B659">
        <v>8</v>
      </c>
      <c r="C659" t="s">
        <v>65</v>
      </c>
      <c r="D659">
        <v>51</v>
      </c>
      <c r="E659">
        <v>115.557360594969</v>
      </c>
      <c r="F659">
        <v>7.4747359633395103</v>
      </c>
      <c r="G659" t="s">
        <v>66</v>
      </c>
      <c r="H659">
        <v>8</v>
      </c>
      <c r="I659">
        <v>51</v>
      </c>
      <c r="J659">
        <v>3.58646397785916</v>
      </c>
      <c r="K659" t="b">
        <f t="shared" si="52"/>
        <v>1</v>
      </c>
      <c r="L659">
        <f t="shared" si="53"/>
        <v>126.61856053616766</v>
      </c>
      <c r="M659">
        <f t="shared" si="54"/>
        <v>253.23712107233533</v>
      </c>
      <c r="N659">
        <f t="shared" si="50"/>
        <v>668.17182340985573</v>
      </c>
      <c r="O659" s="21">
        <f t="shared" si="51"/>
        <v>767.38521537071313</v>
      </c>
    </row>
    <row r="660" spans="1:15" x14ac:dyDescent="0.35">
      <c r="A660" t="s">
        <v>66</v>
      </c>
      <c r="B660">
        <v>8</v>
      </c>
      <c r="C660" t="s">
        <v>65</v>
      </c>
      <c r="D660">
        <v>52</v>
      </c>
      <c r="E660">
        <v>118.770435542234</v>
      </c>
      <c r="F660">
        <v>8.0677511583064305</v>
      </c>
      <c r="G660" t="s">
        <v>66</v>
      </c>
      <c r="H660">
        <v>8</v>
      </c>
      <c r="I660">
        <v>52</v>
      </c>
      <c r="J660">
        <v>3.7017399095979102</v>
      </c>
      <c r="K660" t="b">
        <f t="shared" si="52"/>
        <v>1</v>
      </c>
      <c r="L660">
        <f t="shared" si="53"/>
        <v>130.53992661013834</v>
      </c>
      <c r="M660">
        <f t="shared" si="54"/>
        <v>261.07985322027668</v>
      </c>
      <c r="N660">
        <f t="shared" si="50"/>
        <v>688.86504807460858</v>
      </c>
      <c r="O660" s="21">
        <f t="shared" si="51"/>
        <v>791.15107036447478</v>
      </c>
    </row>
    <row r="661" spans="1:15" x14ac:dyDescent="0.35">
      <c r="A661" t="s">
        <v>66</v>
      </c>
      <c r="B661">
        <v>8</v>
      </c>
      <c r="C661" t="s">
        <v>65</v>
      </c>
      <c r="D661">
        <v>53</v>
      </c>
      <c r="E661">
        <v>121.894923428881</v>
      </c>
      <c r="F661">
        <v>8.7344744867515107</v>
      </c>
      <c r="G661" t="s">
        <v>66</v>
      </c>
      <c r="H661">
        <v>8</v>
      </c>
      <c r="I661">
        <v>53</v>
      </c>
      <c r="J661">
        <v>3.8136185869352501</v>
      </c>
      <c r="K661" t="b">
        <f t="shared" si="52"/>
        <v>1</v>
      </c>
      <c r="L661">
        <f t="shared" si="53"/>
        <v>134.44301650256779</v>
      </c>
      <c r="M661">
        <f t="shared" si="54"/>
        <v>268.88603300513557</v>
      </c>
      <c r="N661">
        <f t="shared" si="50"/>
        <v>709.46182850959258</v>
      </c>
      <c r="O661" s="21">
        <f t="shared" si="51"/>
        <v>814.80616062162289</v>
      </c>
    </row>
    <row r="662" spans="1:15" x14ac:dyDescent="0.35">
      <c r="A662" t="s">
        <v>66</v>
      </c>
      <c r="B662">
        <v>8</v>
      </c>
      <c r="C662" t="s">
        <v>65</v>
      </c>
      <c r="D662">
        <v>54</v>
      </c>
      <c r="E662">
        <v>124.95998707808801</v>
      </c>
      <c r="F662">
        <v>9.4458833439961492</v>
      </c>
      <c r="G662" t="s">
        <v>66</v>
      </c>
      <c r="H662">
        <v>8</v>
      </c>
      <c r="I662">
        <v>54</v>
      </c>
      <c r="J662">
        <v>3.9226114746076601</v>
      </c>
      <c r="K662" t="b">
        <f t="shared" si="52"/>
        <v>1</v>
      </c>
      <c r="L662">
        <f t="shared" si="53"/>
        <v>138.32848189669181</v>
      </c>
      <c r="M662">
        <f t="shared" si="54"/>
        <v>276.65696379338362</v>
      </c>
      <c r="N662">
        <f t="shared" si="50"/>
        <v>729.96560367647396</v>
      </c>
      <c r="O662" s="21">
        <f t="shared" si="51"/>
        <v>838.35443573752605</v>
      </c>
    </row>
    <row r="663" spans="1:15" x14ac:dyDescent="0.35">
      <c r="A663" t="s">
        <v>66</v>
      </c>
      <c r="B663">
        <v>8</v>
      </c>
      <c r="C663" t="s">
        <v>65</v>
      </c>
      <c r="D663">
        <v>55</v>
      </c>
      <c r="E663">
        <v>127.640066810147</v>
      </c>
      <c r="F663">
        <v>10.1499014623426</v>
      </c>
      <c r="G663" t="s">
        <v>66</v>
      </c>
      <c r="H663">
        <v>8</v>
      </c>
      <c r="I663">
        <v>55</v>
      </c>
      <c r="J663">
        <v>4.0253478192253498</v>
      </c>
      <c r="K663" t="b">
        <f t="shared" si="52"/>
        <v>1</v>
      </c>
      <c r="L663">
        <f t="shared" si="53"/>
        <v>141.81531609171495</v>
      </c>
      <c r="M663">
        <f t="shared" si="54"/>
        <v>283.6306321834299</v>
      </c>
      <c r="N663">
        <f t="shared" si="50"/>
        <v>748.36578412514484</v>
      </c>
      <c r="O663" s="21">
        <f t="shared" si="51"/>
        <v>859.48676419221181</v>
      </c>
    </row>
    <row r="664" spans="1:15" x14ac:dyDescent="0.35">
      <c r="A664" t="s">
        <v>66</v>
      </c>
      <c r="B664">
        <v>8</v>
      </c>
      <c r="C664" t="s">
        <v>65</v>
      </c>
      <c r="D664">
        <v>56</v>
      </c>
      <c r="E664">
        <v>130.31162403840301</v>
      </c>
      <c r="F664">
        <v>10.8503588522813</v>
      </c>
      <c r="G664" t="s">
        <v>66</v>
      </c>
      <c r="H664">
        <v>8</v>
      </c>
      <c r="I664">
        <v>56</v>
      </c>
      <c r="J664">
        <v>4.1239644513319904</v>
      </c>
      <c r="K664" t="b">
        <f t="shared" si="52"/>
        <v>1</v>
      </c>
      <c r="L664">
        <f t="shared" si="53"/>
        <v>145.2859473420163</v>
      </c>
      <c r="M664">
        <f t="shared" si="54"/>
        <v>290.5718946840326</v>
      </c>
      <c r="N664">
        <f t="shared" si="50"/>
        <v>766.68046090773771</v>
      </c>
      <c r="O664" s="21">
        <f t="shared" si="51"/>
        <v>880.52089298191697</v>
      </c>
    </row>
    <row r="665" spans="1:15" x14ac:dyDescent="0.35">
      <c r="A665" t="s">
        <v>66</v>
      </c>
      <c r="B665">
        <v>8</v>
      </c>
      <c r="C665" t="s">
        <v>65</v>
      </c>
      <c r="D665">
        <v>57</v>
      </c>
      <c r="E665">
        <v>132.972263322446</v>
      </c>
      <c r="F665">
        <v>11.549499924726099</v>
      </c>
      <c r="G665" t="s">
        <v>66</v>
      </c>
      <c r="H665">
        <v>8</v>
      </c>
      <c r="I665">
        <v>57</v>
      </c>
      <c r="J665">
        <v>4.2197456283132304</v>
      </c>
      <c r="K665" t="b">
        <f t="shared" si="52"/>
        <v>1</v>
      </c>
      <c r="L665">
        <f t="shared" si="53"/>
        <v>148.74150887548532</v>
      </c>
      <c r="M665">
        <f t="shared" si="54"/>
        <v>297.48301775097065</v>
      </c>
      <c r="N665">
        <f t="shared" si="50"/>
        <v>784.91561411865609</v>
      </c>
      <c r="O665" s="21">
        <f t="shared" si="51"/>
        <v>901.46369015445646</v>
      </c>
    </row>
    <row r="666" spans="1:15" x14ac:dyDescent="0.35">
      <c r="A666" t="s">
        <v>66</v>
      </c>
      <c r="B666">
        <v>8</v>
      </c>
      <c r="C666" t="s">
        <v>65</v>
      </c>
      <c r="D666">
        <v>58</v>
      </c>
      <c r="E666">
        <v>135.620529063936</v>
      </c>
      <c r="F666">
        <v>12.248636823707001</v>
      </c>
      <c r="G666" t="s">
        <v>66</v>
      </c>
      <c r="H666">
        <v>8</v>
      </c>
      <c r="I666">
        <v>58</v>
      </c>
      <c r="J666">
        <v>4.31347876729994</v>
      </c>
      <c r="K666" t="b">
        <f t="shared" si="52"/>
        <v>1</v>
      </c>
      <c r="L666">
        <f t="shared" si="53"/>
        <v>152.18264465494292</v>
      </c>
      <c r="M666">
        <f t="shared" si="54"/>
        <v>304.36528930988584</v>
      </c>
      <c r="N666">
        <f t="shared" si="50"/>
        <v>803.07464197859065</v>
      </c>
      <c r="O666" s="21">
        <f t="shared" si="51"/>
        <v>922.31905851480553</v>
      </c>
    </row>
    <row r="667" spans="1:15" x14ac:dyDescent="0.35">
      <c r="A667" t="s">
        <v>66</v>
      </c>
      <c r="B667">
        <v>8</v>
      </c>
      <c r="C667" t="s">
        <v>65</v>
      </c>
      <c r="D667">
        <v>59</v>
      </c>
      <c r="E667">
        <v>138.25551759729299</v>
      </c>
      <c r="F667">
        <v>12.9485333029695</v>
      </c>
      <c r="G667" t="s">
        <v>66</v>
      </c>
      <c r="H667">
        <v>8</v>
      </c>
      <c r="I667">
        <v>59</v>
      </c>
      <c r="J667">
        <v>4.4056579027659497</v>
      </c>
      <c r="K667" t="b">
        <f t="shared" si="52"/>
        <v>1</v>
      </c>
      <c r="L667">
        <f t="shared" si="53"/>
        <v>155.60970880302844</v>
      </c>
      <c r="M667">
        <f t="shared" si="54"/>
        <v>311.21941760605688</v>
      </c>
      <c r="N667">
        <f t="shared" si="50"/>
        <v>821.15941320859338</v>
      </c>
      <c r="O667" s="21">
        <f t="shared" si="51"/>
        <v>943.08914426077843</v>
      </c>
    </row>
    <row r="668" spans="1:15" x14ac:dyDescent="0.35">
      <c r="A668" t="s">
        <v>66</v>
      </c>
      <c r="B668">
        <v>8</v>
      </c>
      <c r="C668" t="s">
        <v>65</v>
      </c>
      <c r="D668">
        <v>60</v>
      </c>
      <c r="E668">
        <v>140.52486480278199</v>
      </c>
      <c r="F668">
        <v>13.6120026291198</v>
      </c>
      <c r="G668" t="s">
        <v>66</v>
      </c>
      <c r="H668">
        <v>8</v>
      </c>
      <c r="I668">
        <v>60</v>
      </c>
      <c r="J668">
        <v>4.4926213293718904</v>
      </c>
      <c r="K668" t="b">
        <f t="shared" si="52"/>
        <v>1</v>
      </c>
      <c r="L668">
        <f t="shared" si="53"/>
        <v>158.62948876127371</v>
      </c>
      <c r="M668">
        <f t="shared" si="54"/>
        <v>317.25897752254741</v>
      </c>
      <c r="N668">
        <f t="shared" si="50"/>
        <v>837.0949275001251</v>
      </c>
      <c r="O668" s="21">
        <f t="shared" si="51"/>
        <v>961.39084097741636</v>
      </c>
    </row>
    <row r="669" spans="1:15" x14ac:dyDescent="0.35">
      <c r="A669" t="s">
        <v>66</v>
      </c>
      <c r="B669">
        <v>8</v>
      </c>
      <c r="C669" t="s">
        <v>65</v>
      </c>
      <c r="D669">
        <v>61</v>
      </c>
      <c r="E669">
        <v>142.80553073665101</v>
      </c>
      <c r="F669">
        <v>14.2543616702207</v>
      </c>
      <c r="G669" t="s">
        <v>66</v>
      </c>
      <c r="H669">
        <v>8</v>
      </c>
      <c r="I669">
        <v>61</v>
      </c>
      <c r="J669">
        <v>4.5763451028656501</v>
      </c>
      <c r="K669" t="b">
        <f t="shared" si="52"/>
        <v>1</v>
      </c>
      <c r="L669">
        <f t="shared" si="53"/>
        <v>161.63623750973736</v>
      </c>
      <c r="M669">
        <f t="shared" si="54"/>
        <v>323.27247501947471</v>
      </c>
      <c r="N669">
        <f t="shared" si="50"/>
        <v>852.9616755131259</v>
      </c>
      <c r="O669" s="21">
        <f t="shared" si="51"/>
        <v>979.61356066507483</v>
      </c>
    </row>
    <row r="670" spans="1:15" x14ac:dyDescent="0.35">
      <c r="A670" t="s">
        <v>66</v>
      </c>
      <c r="B670">
        <v>8</v>
      </c>
      <c r="C670" t="s">
        <v>65</v>
      </c>
      <c r="D670">
        <v>62</v>
      </c>
      <c r="E670">
        <v>145.088448460009</v>
      </c>
      <c r="F670">
        <v>14.8845023033467</v>
      </c>
      <c r="G670" t="s">
        <v>66</v>
      </c>
      <c r="H670">
        <v>8</v>
      </c>
      <c r="I670">
        <v>62</v>
      </c>
      <c r="J670">
        <v>4.6579461452595101</v>
      </c>
      <c r="K670" t="b">
        <f t="shared" si="52"/>
        <v>1</v>
      </c>
      <c r="L670">
        <f t="shared" si="53"/>
        <v>164.6308969086152</v>
      </c>
      <c r="M670">
        <f t="shared" si="54"/>
        <v>329.2617938172304</v>
      </c>
      <c r="N670">
        <f t="shared" si="50"/>
        <v>868.76462748609606</v>
      </c>
      <c r="O670" s="21">
        <f t="shared" si="51"/>
        <v>997.76301156736474</v>
      </c>
    </row>
    <row r="671" spans="1:15" x14ac:dyDescent="0.35">
      <c r="A671" t="s">
        <v>66</v>
      </c>
      <c r="B671">
        <v>8</v>
      </c>
      <c r="C671" t="s">
        <v>65</v>
      </c>
      <c r="D671">
        <v>63</v>
      </c>
      <c r="E671">
        <v>147.36834257114</v>
      </c>
      <c r="F671">
        <v>15.507574275282201</v>
      </c>
      <c r="G671" t="s">
        <v>66</v>
      </c>
      <c r="H671">
        <v>8</v>
      </c>
      <c r="I671">
        <v>63</v>
      </c>
      <c r="J671">
        <v>4.7380686051909002</v>
      </c>
      <c r="K671" t="b">
        <f t="shared" si="52"/>
        <v>1</v>
      </c>
      <c r="L671">
        <f t="shared" si="53"/>
        <v>167.6139854516131</v>
      </c>
      <c r="M671">
        <f t="shared" si="54"/>
        <v>335.22797090322621</v>
      </c>
      <c r="N671">
        <f t="shared" si="50"/>
        <v>884.5065195335784</v>
      </c>
      <c r="O671" s="21">
        <f t="shared" si="51"/>
        <v>1015.8423360703824</v>
      </c>
    </row>
    <row r="672" spans="1:15" x14ac:dyDescent="0.35">
      <c r="A672" t="s">
        <v>66</v>
      </c>
      <c r="B672">
        <v>8</v>
      </c>
      <c r="C672" t="s">
        <v>65</v>
      </c>
      <c r="D672">
        <v>64</v>
      </c>
      <c r="E672">
        <v>149.64213807932501</v>
      </c>
      <c r="F672">
        <v>16.1265556358479</v>
      </c>
      <c r="G672" t="s">
        <v>66</v>
      </c>
      <c r="H672">
        <v>8</v>
      </c>
      <c r="I672">
        <v>64</v>
      </c>
      <c r="J672">
        <v>4.8170940460733798</v>
      </c>
      <c r="K672" t="b">
        <f t="shared" si="52"/>
        <v>1</v>
      </c>
      <c r="L672">
        <f t="shared" si="53"/>
        <v>170.58578776124628</v>
      </c>
      <c r="M672">
        <f t="shared" si="54"/>
        <v>341.17157552249256</v>
      </c>
      <c r="N672">
        <f t="shared" si="50"/>
        <v>900.18885362135234</v>
      </c>
      <c r="O672" s="21">
        <f t="shared" si="51"/>
        <v>1033.8532591590683</v>
      </c>
    </row>
    <row r="673" spans="1:15" x14ac:dyDescent="0.35">
      <c r="A673" t="s">
        <v>66</v>
      </c>
      <c r="B673">
        <v>8</v>
      </c>
      <c r="C673" t="s">
        <v>65</v>
      </c>
      <c r="D673">
        <v>65</v>
      </c>
      <c r="E673">
        <v>151.56358011475299</v>
      </c>
      <c r="F673">
        <v>16.709747863549101</v>
      </c>
      <c r="G673" t="s">
        <v>66</v>
      </c>
      <c r="H673">
        <v>8</v>
      </c>
      <c r="I673">
        <v>65</v>
      </c>
      <c r="J673">
        <v>4.8913594059823096</v>
      </c>
      <c r="K673" t="b">
        <f t="shared" si="52"/>
        <v>1</v>
      </c>
      <c r="L673">
        <f t="shared" si="53"/>
        <v>173.16468738428441</v>
      </c>
      <c r="M673">
        <f t="shared" si="54"/>
        <v>346.32937476856881</v>
      </c>
      <c r="N673">
        <f t="shared" si="50"/>
        <v>913.797822608361</v>
      </c>
      <c r="O673" s="21">
        <f t="shared" si="51"/>
        <v>1049.4829538441479</v>
      </c>
    </row>
    <row r="674" spans="1:15" x14ac:dyDescent="0.35">
      <c r="A674" t="s">
        <v>66</v>
      </c>
      <c r="B674">
        <v>8</v>
      </c>
      <c r="C674" t="s">
        <v>65</v>
      </c>
      <c r="D674">
        <v>66</v>
      </c>
      <c r="E674">
        <v>153.498148022674</v>
      </c>
      <c r="F674">
        <v>17.271893947181901</v>
      </c>
      <c r="G674" t="s">
        <v>66</v>
      </c>
      <c r="H674">
        <v>8</v>
      </c>
      <c r="I674">
        <v>66</v>
      </c>
      <c r="J674">
        <v>4.9627091691951701</v>
      </c>
      <c r="K674" t="b">
        <f t="shared" si="52"/>
        <v>1</v>
      </c>
      <c r="L674">
        <f t="shared" si="53"/>
        <v>175.73275113905106</v>
      </c>
      <c r="M674">
        <f t="shared" si="54"/>
        <v>351.46550227810212</v>
      </c>
      <c r="N674">
        <f t="shared" si="50"/>
        <v>927.34961023245944</v>
      </c>
      <c r="O674" s="21">
        <f t="shared" si="51"/>
        <v>1065.0469766003093</v>
      </c>
    </row>
    <row r="675" spans="1:15" x14ac:dyDescent="0.35">
      <c r="A675" t="s">
        <v>66</v>
      </c>
      <c r="B675">
        <v>8</v>
      </c>
      <c r="C675" t="s">
        <v>65</v>
      </c>
      <c r="D675">
        <v>67</v>
      </c>
      <c r="E675">
        <v>155.43720357663301</v>
      </c>
      <c r="F675">
        <v>17.821488170027699</v>
      </c>
      <c r="G675" t="s">
        <v>66</v>
      </c>
      <c r="H675">
        <v>8</v>
      </c>
      <c r="I675">
        <v>67</v>
      </c>
      <c r="J675">
        <v>5.0321817478845903</v>
      </c>
      <c r="K675" t="b">
        <f t="shared" si="52"/>
        <v>1</v>
      </c>
      <c r="L675">
        <f t="shared" si="53"/>
        <v>178.29087349454528</v>
      </c>
      <c r="M675">
        <f t="shared" si="54"/>
        <v>356.58174698909056</v>
      </c>
      <c r="N675">
        <f t="shared" si="50"/>
        <v>940.84893664667698</v>
      </c>
      <c r="O675" s="21">
        <f t="shared" si="51"/>
        <v>1080.5507484517896</v>
      </c>
    </row>
    <row r="676" spans="1:15" x14ac:dyDescent="0.35">
      <c r="A676" t="s">
        <v>66</v>
      </c>
      <c r="B676">
        <v>8</v>
      </c>
      <c r="C676" t="s">
        <v>65</v>
      </c>
      <c r="D676">
        <v>68</v>
      </c>
      <c r="E676">
        <v>157.37576769061101</v>
      </c>
      <c r="F676">
        <v>18.3634188608061</v>
      </c>
      <c r="G676" t="s">
        <v>66</v>
      </c>
      <c r="H676">
        <v>8</v>
      </c>
      <c r="I676">
        <v>68</v>
      </c>
      <c r="J676">
        <v>5.10037361967923</v>
      </c>
      <c r="K676" t="b">
        <f t="shared" si="52"/>
        <v>1</v>
      </c>
      <c r="L676">
        <f t="shared" si="53"/>
        <v>180.83956017109634</v>
      </c>
      <c r="M676">
        <f t="shared" si="54"/>
        <v>361.67912034219268</v>
      </c>
      <c r="N676">
        <f t="shared" si="50"/>
        <v>954.29847055987511</v>
      </c>
      <c r="O676" s="21">
        <f t="shared" si="51"/>
        <v>1095.9973343702809</v>
      </c>
    </row>
    <row r="677" spans="1:15" x14ac:dyDescent="0.35">
      <c r="A677" t="s">
        <v>66</v>
      </c>
      <c r="B677">
        <v>8</v>
      </c>
      <c r="C677" t="s">
        <v>65</v>
      </c>
      <c r="D677">
        <v>69</v>
      </c>
      <c r="E677">
        <v>159.31096785307801</v>
      </c>
      <c r="F677">
        <v>18.900498556771499</v>
      </c>
      <c r="G677" t="s">
        <v>66</v>
      </c>
      <c r="H677">
        <v>8</v>
      </c>
      <c r="I677">
        <v>69</v>
      </c>
      <c r="J677">
        <v>5.1676367527767404</v>
      </c>
      <c r="K677" t="b">
        <f t="shared" si="52"/>
        <v>1</v>
      </c>
      <c r="L677">
        <f t="shared" si="53"/>
        <v>183.37910316262625</v>
      </c>
      <c r="M677">
        <f t="shared" si="54"/>
        <v>366.7582063252525</v>
      </c>
      <c r="N677">
        <f t="shared" si="50"/>
        <v>967.69975283707788</v>
      </c>
      <c r="O677" s="21">
        <f t="shared" si="51"/>
        <v>1111.3885040159166</v>
      </c>
    </row>
    <row r="678" spans="1:15" x14ac:dyDescent="0.35">
      <c r="A678" t="s">
        <v>66</v>
      </c>
      <c r="B678">
        <v>8</v>
      </c>
      <c r="C678" t="s">
        <v>65</v>
      </c>
      <c r="D678">
        <v>70</v>
      </c>
      <c r="E678">
        <v>160.98349405862999</v>
      </c>
      <c r="F678">
        <v>19.404698939429601</v>
      </c>
      <c r="G678" t="s">
        <v>66</v>
      </c>
      <c r="H678">
        <v>8</v>
      </c>
      <c r="I678">
        <v>70</v>
      </c>
      <c r="J678">
        <v>5.2312712322462698</v>
      </c>
      <c r="K678" t="b">
        <f t="shared" si="52"/>
        <v>1</v>
      </c>
      <c r="L678">
        <f t="shared" si="53"/>
        <v>185.61946423030585</v>
      </c>
      <c r="M678">
        <f t="shared" si="54"/>
        <v>371.2389284606117</v>
      </c>
      <c r="N678">
        <f t="shared" si="50"/>
        <v>979.52223868235274</v>
      </c>
      <c r="O678" s="21">
        <f t="shared" si="51"/>
        <v>1124.9664498806414</v>
      </c>
    </row>
    <row r="679" spans="1:15" x14ac:dyDescent="0.35">
      <c r="A679" t="s">
        <v>66</v>
      </c>
      <c r="B679">
        <v>8</v>
      </c>
      <c r="C679" t="s">
        <v>65</v>
      </c>
      <c r="D679">
        <v>71</v>
      </c>
      <c r="E679">
        <v>162.66943336031699</v>
      </c>
      <c r="F679">
        <v>19.8895723640026</v>
      </c>
      <c r="G679" t="s">
        <v>66</v>
      </c>
      <c r="H679">
        <v>8</v>
      </c>
      <c r="I679">
        <v>71</v>
      </c>
      <c r="J679">
        <v>5.2927144099296797</v>
      </c>
      <c r="K679" t="b">
        <f t="shared" si="52"/>
        <v>1</v>
      </c>
      <c r="L679">
        <f t="shared" si="53"/>
        <v>187.85172013424926</v>
      </c>
      <c r="M679">
        <f t="shared" si="54"/>
        <v>375.70344026849853</v>
      </c>
      <c r="N679">
        <f t="shared" si="50"/>
        <v>991.30195321503572</v>
      </c>
      <c r="O679" s="21">
        <f t="shared" si="51"/>
        <v>1138.4952735409045</v>
      </c>
    </row>
    <row r="680" spans="1:15" x14ac:dyDescent="0.35">
      <c r="A680" t="s">
        <v>66</v>
      </c>
      <c r="B680">
        <v>8</v>
      </c>
      <c r="C680" t="s">
        <v>65</v>
      </c>
      <c r="D680">
        <v>72</v>
      </c>
      <c r="E680">
        <v>164.3608816272</v>
      </c>
      <c r="F680">
        <v>20.362881295733501</v>
      </c>
      <c r="G680" t="s">
        <v>66</v>
      </c>
      <c r="H680">
        <v>8</v>
      </c>
      <c r="I680">
        <v>72</v>
      </c>
      <c r="J680">
        <v>5.3527646652205298</v>
      </c>
      <c r="K680" t="b">
        <f t="shared" si="52"/>
        <v>1</v>
      </c>
      <c r="L680">
        <f t="shared" si="53"/>
        <v>190.07652758815402</v>
      </c>
      <c r="M680">
        <f t="shared" si="54"/>
        <v>380.15305517630804</v>
      </c>
      <c r="N680">
        <f t="shared" si="50"/>
        <v>1003.0423619427653</v>
      </c>
      <c r="O680" s="21">
        <f t="shared" si="51"/>
        <v>1151.9789550797213</v>
      </c>
    </row>
    <row r="681" spans="1:15" x14ac:dyDescent="0.35">
      <c r="A681" t="s">
        <v>66</v>
      </c>
      <c r="B681">
        <v>8</v>
      </c>
      <c r="C681" t="s">
        <v>65</v>
      </c>
      <c r="D681">
        <v>73</v>
      </c>
      <c r="E681">
        <v>166.053308982348</v>
      </c>
      <c r="F681">
        <v>20.829067169913198</v>
      </c>
      <c r="G681" t="s">
        <v>66</v>
      </c>
      <c r="H681">
        <v>8</v>
      </c>
      <c r="I681">
        <v>73</v>
      </c>
      <c r="J681">
        <v>5.41187441303504</v>
      </c>
      <c r="K681" t="b">
        <f t="shared" si="52"/>
        <v>1</v>
      </c>
      <c r="L681">
        <f t="shared" si="53"/>
        <v>192.29425056529624</v>
      </c>
      <c r="M681">
        <f t="shared" si="54"/>
        <v>384.58850113059248</v>
      </c>
      <c r="N681">
        <f t="shared" si="50"/>
        <v>1014.7453855688456</v>
      </c>
      <c r="O681" s="21">
        <f t="shared" si="51"/>
        <v>1165.4197003957347</v>
      </c>
    </row>
    <row r="682" spans="1:15" x14ac:dyDescent="0.35">
      <c r="A682" t="s">
        <v>66</v>
      </c>
      <c r="B682">
        <v>8</v>
      </c>
      <c r="C682" t="s">
        <v>65</v>
      </c>
      <c r="D682">
        <v>74</v>
      </c>
      <c r="E682">
        <v>167.744118094604</v>
      </c>
      <c r="F682">
        <v>21.290669960812899</v>
      </c>
      <c r="G682" t="s">
        <v>66</v>
      </c>
      <c r="H682">
        <v>8</v>
      </c>
      <c r="I682">
        <v>74</v>
      </c>
      <c r="J682">
        <v>5.4703072364526504</v>
      </c>
      <c r="K682" t="b">
        <f t="shared" si="52"/>
        <v>1</v>
      </c>
      <c r="L682">
        <f t="shared" si="53"/>
        <v>194.50509529186954</v>
      </c>
      <c r="M682">
        <f t="shared" si="54"/>
        <v>389.01019058373907</v>
      </c>
      <c r="N682">
        <f t="shared" si="50"/>
        <v>1026.4121123581506</v>
      </c>
      <c r="O682" s="21">
        <f t="shared" si="51"/>
        <v>1178.8187593446637</v>
      </c>
    </row>
    <row r="683" spans="1:15" x14ac:dyDescent="0.35">
      <c r="A683" t="s">
        <v>66</v>
      </c>
      <c r="B683">
        <v>8</v>
      </c>
      <c r="C683" t="s">
        <v>65</v>
      </c>
      <c r="D683">
        <v>75</v>
      </c>
      <c r="E683">
        <v>169.246248933229</v>
      </c>
      <c r="F683">
        <v>21.730820682609</v>
      </c>
      <c r="G683" t="s">
        <v>66</v>
      </c>
      <c r="H683">
        <v>8</v>
      </c>
      <c r="I683">
        <v>75</v>
      </c>
      <c r="J683">
        <v>5.5261229997374297</v>
      </c>
      <c r="K683" t="b">
        <f t="shared" si="52"/>
        <v>1</v>
      </c>
      <c r="L683">
        <f t="shared" si="53"/>
        <v>196.50319261557541</v>
      </c>
      <c r="M683">
        <f t="shared" si="54"/>
        <v>393.00638523115083</v>
      </c>
      <c r="N683">
        <f t="shared" si="50"/>
        <v>1036.9561615597647</v>
      </c>
      <c r="O683" s="21">
        <f t="shared" si="51"/>
        <v>1190.9284400943964</v>
      </c>
    </row>
    <row r="684" spans="1:15" x14ac:dyDescent="0.35">
      <c r="A684" t="s">
        <v>66</v>
      </c>
      <c r="B684">
        <v>8</v>
      </c>
      <c r="C684" t="s">
        <v>65</v>
      </c>
      <c r="D684">
        <v>76</v>
      </c>
      <c r="E684">
        <v>170.756180313199</v>
      </c>
      <c r="F684">
        <v>22.1582034474478</v>
      </c>
      <c r="G684" t="s">
        <v>66</v>
      </c>
      <c r="H684">
        <v>8</v>
      </c>
      <c r="I684">
        <v>76</v>
      </c>
      <c r="J684">
        <v>5.5803340590363799</v>
      </c>
      <c r="K684" t="b">
        <f t="shared" si="52"/>
        <v>1</v>
      </c>
      <c r="L684">
        <f t="shared" si="53"/>
        <v>198.49471781968316</v>
      </c>
      <c r="M684">
        <f t="shared" si="54"/>
        <v>396.98943563936632</v>
      </c>
      <c r="N684">
        <f t="shared" si="50"/>
        <v>1047.465529391468</v>
      </c>
      <c r="O684" s="21">
        <f t="shared" si="51"/>
        <v>1202.9982898162616</v>
      </c>
    </row>
    <row r="685" spans="1:15" x14ac:dyDescent="0.35">
      <c r="A685" t="s">
        <v>66</v>
      </c>
      <c r="B685">
        <v>8</v>
      </c>
      <c r="C685" t="s">
        <v>65</v>
      </c>
      <c r="D685">
        <v>77</v>
      </c>
      <c r="E685">
        <v>172.26885860744301</v>
      </c>
      <c r="F685">
        <v>22.577771010609599</v>
      </c>
      <c r="G685" t="s">
        <v>66</v>
      </c>
      <c r="H685">
        <v>8</v>
      </c>
      <c r="I685">
        <v>77</v>
      </c>
      <c r="J685">
        <v>5.6335091350229396</v>
      </c>
      <c r="K685" t="b">
        <f t="shared" si="52"/>
        <v>1</v>
      </c>
      <c r="L685">
        <f t="shared" si="53"/>
        <v>200.48013875307555</v>
      </c>
      <c r="M685">
        <f t="shared" si="54"/>
        <v>400.9602775061511</v>
      </c>
      <c r="N685">
        <f t="shared" si="50"/>
        <v>1057.9426847127997</v>
      </c>
      <c r="O685" s="21">
        <f t="shared" si="51"/>
        <v>1215.0311439580337</v>
      </c>
    </row>
    <row r="686" spans="1:15" x14ac:dyDescent="0.35">
      <c r="A686" t="s">
        <v>66</v>
      </c>
      <c r="B686">
        <v>8</v>
      </c>
      <c r="C686" t="s">
        <v>65</v>
      </c>
      <c r="D686">
        <v>78</v>
      </c>
      <c r="E686">
        <v>173.78139694736601</v>
      </c>
      <c r="F686">
        <v>22.992345813719101</v>
      </c>
      <c r="G686" t="s">
        <v>66</v>
      </c>
      <c r="H686">
        <v>8</v>
      </c>
      <c r="I686">
        <v>78</v>
      </c>
      <c r="J686">
        <v>5.6859747658645103</v>
      </c>
      <c r="K686" t="b">
        <f t="shared" si="52"/>
        <v>1</v>
      </c>
      <c r="L686">
        <f t="shared" si="53"/>
        <v>202.45971752694962</v>
      </c>
      <c r="M686">
        <f t="shared" si="54"/>
        <v>404.91943505389924</v>
      </c>
      <c r="N686">
        <f t="shared" si="50"/>
        <v>1068.389010696304</v>
      </c>
      <c r="O686" s="21">
        <f t="shared" si="51"/>
        <v>1227.0285910724219</v>
      </c>
    </row>
    <row r="687" spans="1:15" x14ac:dyDescent="0.35">
      <c r="A687" t="s">
        <v>66</v>
      </c>
      <c r="B687">
        <v>8</v>
      </c>
      <c r="C687" t="s">
        <v>65</v>
      </c>
      <c r="D687">
        <v>79</v>
      </c>
      <c r="E687">
        <v>175.29214483379999</v>
      </c>
      <c r="F687">
        <v>23.403535446785401</v>
      </c>
      <c r="G687" t="s">
        <v>66</v>
      </c>
      <c r="H687">
        <v>8</v>
      </c>
      <c r="I687">
        <v>79</v>
      </c>
      <c r="J687">
        <v>5.7379239535958702</v>
      </c>
      <c r="K687" t="b">
        <f t="shared" si="52"/>
        <v>1</v>
      </c>
      <c r="L687">
        <f t="shared" si="53"/>
        <v>204.43360423418127</v>
      </c>
      <c r="M687">
        <f t="shared" si="54"/>
        <v>408.86720846836255</v>
      </c>
      <c r="N687">
        <f t="shared" si="50"/>
        <v>1078.8052993888193</v>
      </c>
      <c r="O687" s="21">
        <f t="shared" si="51"/>
        <v>1238.9915408132199</v>
      </c>
    </row>
    <row r="688" spans="1:15" x14ac:dyDescent="0.35">
      <c r="A688" t="s">
        <v>66</v>
      </c>
      <c r="B688">
        <v>8</v>
      </c>
      <c r="C688" t="s">
        <v>65</v>
      </c>
      <c r="D688">
        <v>80</v>
      </c>
      <c r="E688">
        <v>176.625575820552</v>
      </c>
      <c r="F688">
        <v>23.820153755171098</v>
      </c>
      <c r="G688" t="s">
        <v>66</v>
      </c>
      <c r="H688">
        <v>8</v>
      </c>
      <c r="I688">
        <v>80</v>
      </c>
      <c r="J688">
        <v>5.7874999629960104</v>
      </c>
      <c r="K688" t="b">
        <f t="shared" si="52"/>
        <v>1</v>
      </c>
      <c r="L688">
        <f t="shared" si="53"/>
        <v>206.23322953871912</v>
      </c>
      <c r="M688">
        <f t="shared" si="54"/>
        <v>412.46645907743823</v>
      </c>
      <c r="N688">
        <f t="shared" si="50"/>
        <v>1088.302002842845</v>
      </c>
      <c r="O688" s="21">
        <f t="shared" si="51"/>
        <v>1249.8983608407218</v>
      </c>
    </row>
    <row r="689" spans="1:15" x14ac:dyDescent="0.35">
      <c r="A689" t="s">
        <v>66</v>
      </c>
      <c r="B689">
        <v>8</v>
      </c>
      <c r="C689" t="s">
        <v>65</v>
      </c>
      <c r="D689">
        <v>81</v>
      </c>
      <c r="E689">
        <v>177.93430574281001</v>
      </c>
      <c r="F689">
        <v>24.214635093406201</v>
      </c>
      <c r="G689" t="s">
        <v>66</v>
      </c>
      <c r="H689">
        <v>8</v>
      </c>
      <c r="I689">
        <v>81</v>
      </c>
      <c r="J689">
        <v>5.8352688165468498</v>
      </c>
      <c r="K689" t="b">
        <f t="shared" si="52"/>
        <v>1</v>
      </c>
      <c r="L689">
        <f t="shared" si="53"/>
        <v>207.98420965276307</v>
      </c>
      <c r="M689">
        <f t="shared" si="54"/>
        <v>415.96841930552614</v>
      </c>
      <c r="N689">
        <f t="shared" si="50"/>
        <v>1097.5420034446599</v>
      </c>
      <c r="O689" s="21">
        <f t="shared" si="51"/>
        <v>1260.5103615318974</v>
      </c>
    </row>
    <row r="690" spans="1:15" x14ac:dyDescent="0.35">
      <c r="A690" t="s">
        <v>66</v>
      </c>
      <c r="B690">
        <v>8</v>
      </c>
      <c r="C690" t="s">
        <v>65</v>
      </c>
      <c r="D690">
        <v>82</v>
      </c>
      <c r="E690">
        <v>179.21425322531201</v>
      </c>
      <c r="F690">
        <v>24.592300245144799</v>
      </c>
      <c r="G690" t="s">
        <v>66</v>
      </c>
      <c r="H690">
        <v>8</v>
      </c>
      <c r="I690">
        <v>82</v>
      </c>
      <c r="J690">
        <v>5.8815284563498196</v>
      </c>
      <c r="K690" t="b">
        <f t="shared" si="52"/>
        <v>1</v>
      </c>
      <c r="L690">
        <f t="shared" si="53"/>
        <v>209.68808192680663</v>
      </c>
      <c r="M690">
        <f t="shared" si="54"/>
        <v>419.37616385361326</v>
      </c>
      <c r="N690">
        <f t="shared" si="50"/>
        <v>1106.5334138617764</v>
      </c>
      <c r="O690" s="21">
        <f t="shared" si="51"/>
        <v>1270.8368601624643</v>
      </c>
    </row>
    <row r="691" spans="1:15" x14ac:dyDescent="0.35">
      <c r="A691" t="s">
        <v>66</v>
      </c>
      <c r="B691">
        <v>8</v>
      </c>
      <c r="C691" t="s">
        <v>65</v>
      </c>
      <c r="D691">
        <v>83</v>
      </c>
      <c r="E691">
        <v>180.46351700560899</v>
      </c>
      <c r="F691">
        <v>24.956288585018601</v>
      </c>
      <c r="G691" t="s">
        <v>66</v>
      </c>
      <c r="H691">
        <v>8</v>
      </c>
      <c r="I691">
        <v>83</v>
      </c>
      <c r="J691">
        <v>5.9264414101541298</v>
      </c>
      <c r="K691" t="b">
        <f t="shared" si="52"/>
        <v>1</v>
      </c>
      <c r="L691">
        <f t="shared" si="53"/>
        <v>211.34624700078172</v>
      </c>
      <c r="M691">
        <f t="shared" si="54"/>
        <v>422.69249400156343</v>
      </c>
      <c r="N691">
        <f t="shared" si="50"/>
        <v>1115.2836253339403</v>
      </c>
      <c r="O691" s="21">
        <f t="shared" si="51"/>
        <v>1280.8863454592831</v>
      </c>
    </row>
    <row r="692" spans="1:15" x14ac:dyDescent="0.35">
      <c r="A692" t="s">
        <v>66</v>
      </c>
      <c r="B692">
        <v>8</v>
      </c>
      <c r="C692" t="s">
        <v>65</v>
      </c>
      <c r="D692">
        <v>84</v>
      </c>
      <c r="E692">
        <v>181.681424140562</v>
      </c>
      <c r="F692">
        <v>25.3084953747932</v>
      </c>
      <c r="G692" t="s">
        <v>66</v>
      </c>
      <c r="H692">
        <v>8</v>
      </c>
      <c r="I692">
        <v>84</v>
      </c>
      <c r="J692">
        <v>5.9701026084783004</v>
      </c>
      <c r="K692" t="b">
        <f t="shared" si="52"/>
        <v>1</v>
      </c>
      <c r="L692">
        <f t="shared" si="53"/>
        <v>212.96002212383351</v>
      </c>
      <c r="M692">
        <f t="shared" si="54"/>
        <v>425.92004424766702</v>
      </c>
      <c r="N692">
        <f t="shared" si="50"/>
        <v>1123.7995890439763</v>
      </c>
      <c r="O692" s="21">
        <f t="shared" si="51"/>
        <v>1290.6668007505061</v>
      </c>
    </row>
    <row r="693" spans="1:15" x14ac:dyDescent="0.35">
      <c r="A693" t="s">
        <v>66</v>
      </c>
      <c r="B693">
        <v>8</v>
      </c>
      <c r="C693" t="s">
        <v>65</v>
      </c>
      <c r="D693">
        <v>85</v>
      </c>
      <c r="E693">
        <v>182.867987635059</v>
      </c>
      <c r="F693">
        <v>25.650106171930599</v>
      </c>
      <c r="G693" t="s">
        <v>66</v>
      </c>
      <c r="H693">
        <v>8</v>
      </c>
      <c r="I693">
        <v>85</v>
      </c>
      <c r="J693">
        <v>6.0125736274666099</v>
      </c>
      <c r="K693" t="b">
        <f t="shared" si="52"/>
        <v>1</v>
      </c>
      <c r="L693">
        <f t="shared" si="53"/>
        <v>214.53066743445621</v>
      </c>
      <c r="M693">
        <f t="shared" si="54"/>
        <v>429.06133486891241</v>
      </c>
      <c r="N693">
        <f t="shared" si="50"/>
        <v>1132.0879547992413</v>
      </c>
      <c r="O693" s="21">
        <f t="shared" si="51"/>
        <v>1300.1858632391284</v>
      </c>
    </row>
    <row r="694" spans="1:15" x14ac:dyDescent="0.35">
      <c r="A694" t="s">
        <v>66</v>
      </c>
      <c r="B694">
        <v>8</v>
      </c>
      <c r="C694" t="s">
        <v>65</v>
      </c>
      <c r="D694">
        <v>86</v>
      </c>
      <c r="E694">
        <v>184.012411071504</v>
      </c>
      <c r="F694">
        <v>25.981901146134302</v>
      </c>
      <c r="G694" t="s">
        <v>66</v>
      </c>
      <c r="H694">
        <v>8</v>
      </c>
      <c r="I694">
        <v>86</v>
      </c>
      <c r="J694">
        <v>6.0538997219868698</v>
      </c>
      <c r="K694" t="b">
        <f t="shared" si="52"/>
        <v>1</v>
      </c>
      <c r="L694">
        <f t="shared" si="53"/>
        <v>216.04821193962519</v>
      </c>
      <c r="M694">
        <f t="shared" si="54"/>
        <v>432.09642387925038</v>
      </c>
      <c r="N694">
        <f t="shared" si="50"/>
        <v>1140.0961052222965</v>
      </c>
      <c r="O694" s="21">
        <f t="shared" si="51"/>
        <v>1309.383102664395</v>
      </c>
    </row>
    <row r="695" spans="1:15" x14ac:dyDescent="0.35">
      <c r="A695" t="s">
        <v>66</v>
      </c>
      <c r="B695">
        <v>8</v>
      </c>
      <c r="C695" t="s">
        <v>65</v>
      </c>
      <c r="D695">
        <v>87</v>
      </c>
      <c r="E695">
        <v>185.12536311205</v>
      </c>
      <c r="F695">
        <v>26.304428188798099</v>
      </c>
      <c r="G695" t="s">
        <v>66</v>
      </c>
      <c r="H695">
        <v>8</v>
      </c>
      <c r="I695">
        <v>87</v>
      </c>
      <c r="J695">
        <v>6.09411814241607</v>
      </c>
      <c r="K695" t="b">
        <f t="shared" si="52"/>
        <v>1</v>
      </c>
      <c r="L695">
        <f t="shared" si="53"/>
        <v>217.52390944326416</v>
      </c>
      <c r="M695">
        <f t="shared" si="54"/>
        <v>435.04781888652832</v>
      </c>
      <c r="N695">
        <f t="shared" si="50"/>
        <v>1147.8834271412356</v>
      </c>
      <c r="O695" s="21">
        <f t="shared" si="51"/>
        <v>1318.3267238985707</v>
      </c>
    </row>
    <row r="696" spans="1:15" x14ac:dyDescent="0.35">
      <c r="A696" t="s">
        <v>66</v>
      </c>
      <c r="B696">
        <v>8</v>
      </c>
      <c r="C696" t="s">
        <v>65</v>
      </c>
      <c r="D696">
        <v>88</v>
      </c>
      <c r="E696">
        <v>186.20897480007301</v>
      </c>
      <c r="F696">
        <v>26.6181012868329</v>
      </c>
      <c r="G696" t="s">
        <v>66</v>
      </c>
      <c r="H696">
        <v>8</v>
      </c>
      <c r="I696">
        <v>88</v>
      </c>
      <c r="J696">
        <v>6.1332621016177296</v>
      </c>
      <c r="K696" t="b">
        <f t="shared" si="52"/>
        <v>1</v>
      </c>
      <c r="L696">
        <f t="shared" si="53"/>
        <v>218.96033818852365</v>
      </c>
      <c r="M696">
        <f t="shared" si="54"/>
        <v>437.9206763770473</v>
      </c>
      <c r="N696">
        <f t="shared" si="50"/>
        <v>1155.4635260608109</v>
      </c>
      <c r="O696" s="21">
        <f t="shared" si="51"/>
        <v>1327.032352657719</v>
      </c>
    </row>
    <row r="697" spans="1:15" x14ac:dyDescent="0.35">
      <c r="A697" t="s">
        <v>66</v>
      </c>
      <c r="B697">
        <v>8</v>
      </c>
      <c r="C697" t="s">
        <v>65</v>
      </c>
      <c r="D697">
        <v>89</v>
      </c>
      <c r="E697">
        <v>187.26398111628299</v>
      </c>
      <c r="F697">
        <v>26.9232563665011</v>
      </c>
      <c r="G697" t="s">
        <v>66</v>
      </c>
      <c r="H697">
        <v>8</v>
      </c>
      <c r="I697">
        <v>89</v>
      </c>
      <c r="J697">
        <v>6.1713626114413502</v>
      </c>
      <c r="K697" t="b">
        <f t="shared" si="52"/>
        <v>1</v>
      </c>
      <c r="L697">
        <f t="shared" si="53"/>
        <v>220.35860009422544</v>
      </c>
      <c r="M697">
        <f t="shared" si="54"/>
        <v>440.71720018845087</v>
      </c>
      <c r="N697">
        <f t="shared" si="50"/>
        <v>1162.842216856071</v>
      </c>
      <c r="O697" s="21">
        <f t="shared" si="51"/>
        <v>1335.50666723773</v>
      </c>
    </row>
    <row r="698" spans="1:15" x14ac:dyDescent="0.35">
      <c r="A698" t="s">
        <v>66</v>
      </c>
      <c r="B698">
        <v>8</v>
      </c>
      <c r="C698" t="s">
        <v>65</v>
      </c>
      <c r="D698">
        <v>90</v>
      </c>
      <c r="E698">
        <v>188.29113272778</v>
      </c>
      <c r="F698">
        <v>27.220182955817702</v>
      </c>
      <c r="G698" t="s">
        <v>66</v>
      </c>
      <c r="H698">
        <v>8</v>
      </c>
      <c r="I698">
        <v>90</v>
      </c>
      <c r="J698">
        <v>6.2084493009841601</v>
      </c>
      <c r="K698" t="b">
        <f t="shared" si="52"/>
        <v>1</v>
      </c>
      <c r="L698">
        <f t="shared" si="53"/>
        <v>221.71976498458187</v>
      </c>
      <c r="M698">
        <f t="shared" si="54"/>
        <v>443.43952996916374</v>
      </c>
      <c r="N698">
        <f t="shared" si="50"/>
        <v>1170.0251450373714</v>
      </c>
      <c r="O698" s="21">
        <f t="shared" si="51"/>
        <v>1343.7561514217082</v>
      </c>
    </row>
    <row r="699" spans="1:15" x14ac:dyDescent="0.35">
      <c r="A699" t="s">
        <v>66</v>
      </c>
      <c r="B699">
        <v>8</v>
      </c>
      <c r="C699" t="s">
        <v>65</v>
      </c>
      <c r="D699">
        <v>91</v>
      </c>
      <c r="E699">
        <v>189.291178783356</v>
      </c>
      <c r="F699">
        <v>27.5091421109551</v>
      </c>
      <c r="G699" t="s">
        <v>66</v>
      </c>
      <c r="H699">
        <v>8</v>
      </c>
      <c r="I699">
        <v>91</v>
      </c>
      <c r="J699">
        <v>6.2445507641783502</v>
      </c>
      <c r="K699" t="b">
        <f t="shared" si="52"/>
        <v>1</v>
      </c>
      <c r="L699">
        <f t="shared" si="53"/>
        <v>223.04487165848946</v>
      </c>
      <c r="M699">
        <f t="shared" si="54"/>
        <v>446.08974331697891</v>
      </c>
      <c r="N699">
        <f t="shared" ref="N699:N762" si="55">M699/(1-0.621)</f>
        <v>1177.0177923930842</v>
      </c>
      <c r="O699" s="21">
        <f t="shared" ref="O699:O762" si="56">M699/0.33</f>
        <v>1351.7871009605421</v>
      </c>
    </row>
    <row r="700" spans="1:15" x14ac:dyDescent="0.35">
      <c r="A700" t="s">
        <v>66</v>
      </c>
      <c r="B700">
        <v>8</v>
      </c>
      <c r="C700" t="s">
        <v>65</v>
      </c>
      <c r="D700">
        <v>92</v>
      </c>
      <c r="E700">
        <v>190.264857536118</v>
      </c>
      <c r="F700">
        <v>27.790376548839799</v>
      </c>
      <c r="G700" t="s">
        <v>66</v>
      </c>
      <c r="H700">
        <v>8</v>
      </c>
      <c r="I700">
        <v>92</v>
      </c>
      <c r="J700">
        <v>6.2796947000504399</v>
      </c>
      <c r="K700" t="b">
        <f t="shared" si="52"/>
        <v>1</v>
      </c>
      <c r="L700">
        <f t="shared" si="53"/>
        <v>224.33492878500823</v>
      </c>
      <c r="M700">
        <f t="shared" si="54"/>
        <v>448.66985757001646</v>
      </c>
      <c r="N700">
        <f t="shared" si="55"/>
        <v>1183.825481715083</v>
      </c>
      <c r="O700" s="21">
        <f t="shared" si="56"/>
        <v>1359.6056290000499</v>
      </c>
    </row>
    <row r="701" spans="1:15" x14ac:dyDescent="0.35">
      <c r="A701" t="s">
        <v>66</v>
      </c>
      <c r="B701">
        <v>8</v>
      </c>
      <c r="C701" t="s">
        <v>65</v>
      </c>
      <c r="D701">
        <v>93</v>
      </c>
      <c r="E701">
        <v>191.21289139496099</v>
      </c>
      <c r="F701">
        <v>28.064116364024599</v>
      </c>
      <c r="G701" t="s">
        <v>66</v>
      </c>
      <c r="H701">
        <v>8</v>
      </c>
      <c r="I701">
        <v>93</v>
      </c>
      <c r="J701">
        <v>6.3139079683213399</v>
      </c>
      <c r="K701" t="b">
        <f t="shared" si="52"/>
        <v>1</v>
      </c>
      <c r="L701">
        <f t="shared" si="53"/>
        <v>225.59091572730691</v>
      </c>
      <c r="M701">
        <f t="shared" si="54"/>
        <v>451.18183145461381</v>
      </c>
      <c r="N701">
        <f t="shared" si="55"/>
        <v>1190.4533811467384</v>
      </c>
      <c r="O701" s="21">
        <f t="shared" si="56"/>
        <v>1367.2176710745873</v>
      </c>
    </row>
    <row r="702" spans="1:15" x14ac:dyDescent="0.35">
      <c r="A702" t="s">
        <v>66</v>
      </c>
      <c r="B702">
        <v>8</v>
      </c>
      <c r="C702" t="s">
        <v>65</v>
      </c>
      <c r="D702">
        <v>94</v>
      </c>
      <c r="E702">
        <v>192.135984473961</v>
      </c>
      <c r="F702">
        <v>28.3305822488533</v>
      </c>
      <c r="G702" t="s">
        <v>66</v>
      </c>
      <c r="H702">
        <v>8</v>
      </c>
      <c r="I702">
        <v>94</v>
      </c>
      <c r="J702">
        <v>6.3472166148883096</v>
      </c>
      <c r="K702" t="b">
        <f t="shared" si="52"/>
        <v>1</v>
      </c>
      <c r="L702">
        <f t="shared" si="53"/>
        <v>226.8137833377026</v>
      </c>
      <c r="M702">
        <f t="shared" si="54"/>
        <v>453.62756667540521</v>
      </c>
      <c r="N702">
        <f t="shared" si="55"/>
        <v>1196.9065083783778</v>
      </c>
      <c r="O702" s="21">
        <f t="shared" si="56"/>
        <v>1374.6289899254703</v>
      </c>
    </row>
    <row r="703" spans="1:15" x14ac:dyDescent="0.35">
      <c r="A703" t="s">
        <v>66</v>
      </c>
      <c r="B703">
        <v>8</v>
      </c>
      <c r="C703" t="s">
        <v>65</v>
      </c>
      <c r="D703">
        <v>95</v>
      </c>
      <c r="E703">
        <v>193.03482154335799</v>
      </c>
      <c r="F703">
        <v>28.589987306141801</v>
      </c>
      <c r="G703" t="s">
        <v>66</v>
      </c>
      <c r="H703">
        <v>8</v>
      </c>
      <c r="I703">
        <v>95</v>
      </c>
      <c r="J703">
        <v>6.3796458897023403</v>
      </c>
      <c r="K703" t="b">
        <f t="shared" si="52"/>
        <v>1</v>
      </c>
      <c r="L703">
        <f t="shared" si="53"/>
        <v>228.00445473920215</v>
      </c>
      <c r="M703">
        <f t="shared" si="54"/>
        <v>456.00890947840429</v>
      </c>
      <c r="N703">
        <f t="shared" si="55"/>
        <v>1203.1897347715153</v>
      </c>
      <c r="O703" s="21">
        <f t="shared" si="56"/>
        <v>1381.8451802375887</v>
      </c>
    </row>
    <row r="704" spans="1:15" x14ac:dyDescent="0.35">
      <c r="A704" t="s">
        <v>66</v>
      </c>
      <c r="B704">
        <v>8</v>
      </c>
      <c r="C704" t="s">
        <v>65</v>
      </c>
      <c r="D704">
        <v>96</v>
      </c>
      <c r="E704">
        <v>193.91006776035701</v>
      </c>
      <c r="F704">
        <v>28.8425380719538</v>
      </c>
      <c r="G704" t="s">
        <v>66</v>
      </c>
      <c r="H704">
        <v>8</v>
      </c>
      <c r="I704">
        <v>96</v>
      </c>
      <c r="J704">
        <v>6.4112202651289198</v>
      </c>
      <c r="K704" t="b">
        <f t="shared" si="52"/>
        <v>1</v>
      </c>
      <c r="L704">
        <f t="shared" si="53"/>
        <v>229.16382609743974</v>
      </c>
      <c r="M704">
        <f t="shared" si="54"/>
        <v>458.32765219487948</v>
      </c>
      <c r="N704">
        <f t="shared" si="55"/>
        <v>1209.3077894323997</v>
      </c>
      <c r="O704" s="21">
        <f t="shared" si="56"/>
        <v>1388.8716733178164</v>
      </c>
    </row>
    <row r="705" spans="1:15" x14ac:dyDescent="0.35">
      <c r="A705" t="s">
        <v>66</v>
      </c>
      <c r="B705">
        <v>8</v>
      </c>
      <c r="C705" t="s">
        <v>65</v>
      </c>
      <c r="D705">
        <v>97</v>
      </c>
      <c r="E705">
        <v>194.762368827572</v>
      </c>
      <c r="F705">
        <v>29.088435098110899</v>
      </c>
      <c r="G705" t="s">
        <v>66</v>
      </c>
      <c r="H705">
        <v>8</v>
      </c>
      <c r="I705">
        <v>97</v>
      </c>
      <c r="J705">
        <v>6.4419634568057997</v>
      </c>
      <c r="K705" t="b">
        <f t="shared" si="52"/>
        <v>1</v>
      </c>
      <c r="L705">
        <f t="shared" si="53"/>
        <v>230.29276738248871</v>
      </c>
      <c r="M705">
        <f t="shared" si="54"/>
        <v>460.58553476497741</v>
      </c>
      <c r="N705">
        <f t="shared" si="55"/>
        <v>1215.2652632321303</v>
      </c>
      <c r="O705" s="21">
        <f t="shared" si="56"/>
        <v>1395.7137417120528</v>
      </c>
    </row>
    <row r="706" spans="1:15" x14ac:dyDescent="0.35">
      <c r="A706" t="s">
        <v>66</v>
      </c>
      <c r="B706">
        <v>8</v>
      </c>
      <c r="C706" t="s">
        <v>65</v>
      </c>
      <c r="D706">
        <v>98</v>
      </c>
      <c r="E706">
        <v>195.59235138</v>
      </c>
      <c r="F706">
        <v>29.3278732919715</v>
      </c>
      <c r="G706" t="s">
        <v>66</v>
      </c>
      <c r="H706">
        <v>8</v>
      </c>
      <c r="I706">
        <v>98</v>
      </c>
      <c r="J706">
        <v>6.4718984467489999</v>
      </c>
      <c r="K706" t="b">
        <f t="shared" ref="K706:K769" si="57">H706=B706</f>
        <v>1</v>
      </c>
      <c r="L706">
        <f t="shared" ref="L706:L769" si="58">E706+F706+J706</f>
        <v>231.39212311872049</v>
      </c>
      <c r="M706">
        <f t="shared" ref="M706:M769" si="59">L706*2</f>
        <v>462.78424623744098</v>
      </c>
      <c r="N706">
        <f t="shared" si="55"/>
        <v>1221.0666127636964</v>
      </c>
      <c r="O706" s="21">
        <f t="shared" si="56"/>
        <v>1402.376503749821</v>
      </c>
    </row>
    <row r="707" spans="1:15" x14ac:dyDescent="0.35">
      <c r="A707" t="s">
        <v>66</v>
      </c>
      <c r="B707">
        <v>8</v>
      </c>
      <c r="C707" t="s">
        <v>65</v>
      </c>
      <c r="D707">
        <v>99</v>
      </c>
      <c r="E707">
        <v>196.40062348837299</v>
      </c>
      <c r="F707">
        <v>29.561042124716199</v>
      </c>
      <c r="G707" t="s">
        <v>66</v>
      </c>
      <c r="H707">
        <v>8</v>
      </c>
      <c r="I707">
        <v>99</v>
      </c>
      <c r="J707">
        <v>6.5010475078332997</v>
      </c>
      <c r="K707" t="b">
        <f t="shared" si="57"/>
        <v>1</v>
      </c>
      <c r="L707">
        <f t="shared" si="58"/>
        <v>232.4627131209225</v>
      </c>
      <c r="M707">
        <f t="shared" si="59"/>
        <v>464.925426241845</v>
      </c>
      <c r="N707">
        <f t="shared" si="55"/>
        <v>1226.7161642265039</v>
      </c>
      <c r="O707" s="21">
        <f t="shared" si="56"/>
        <v>1408.8649280055909</v>
      </c>
    </row>
    <row r="708" spans="1:15" x14ac:dyDescent="0.35">
      <c r="A708" t="s">
        <v>66</v>
      </c>
      <c r="B708">
        <v>8</v>
      </c>
      <c r="C708" t="s">
        <v>65</v>
      </c>
      <c r="D708">
        <v>100</v>
      </c>
      <c r="E708">
        <v>197.18777521595101</v>
      </c>
      <c r="F708">
        <v>29.788125770479901</v>
      </c>
      <c r="G708" t="s">
        <v>66</v>
      </c>
      <c r="H708">
        <v>8</v>
      </c>
      <c r="I708">
        <v>100</v>
      </c>
      <c r="J708">
        <v>6.5294322287836799</v>
      </c>
      <c r="K708" t="b">
        <f t="shared" si="57"/>
        <v>1</v>
      </c>
      <c r="L708">
        <f t="shared" si="58"/>
        <v>233.50533321521459</v>
      </c>
      <c r="M708">
        <f t="shared" si="59"/>
        <v>467.01066643042918</v>
      </c>
      <c r="N708">
        <f t="shared" si="55"/>
        <v>1232.2181172306839</v>
      </c>
      <c r="O708" s="21">
        <f t="shared" si="56"/>
        <v>1415.1838376679671</v>
      </c>
    </row>
    <row r="709" spans="1:15" x14ac:dyDescent="0.35">
      <c r="A709" t="s">
        <v>66</v>
      </c>
      <c r="B709">
        <v>10</v>
      </c>
      <c r="C709" t="s">
        <v>65</v>
      </c>
      <c r="D709">
        <v>0</v>
      </c>
      <c r="E709">
        <v>0</v>
      </c>
      <c r="F709">
        <v>0</v>
      </c>
      <c r="G709" t="s">
        <v>66</v>
      </c>
      <c r="H709">
        <v>10</v>
      </c>
      <c r="I709">
        <v>0</v>
      </c>
      <c r="J709">
        <v>0</v>
      </c>
      <c r="K709" t="b">
        <f t="shared" si="57"/>
        <v>1</v>
      </c>
      <c r="L709">
        <f t="shared" si="58"/>
        <v>0</v>
      </c>
      <c r="M709">
        <f t="shared" si="59"/>
        <v>0</v>
      </c>
      <c r="N709">
        <f t="shared" si="55"/>
        <v>0</v>
      </c>
      <c r="O709" s="21">
        <f t="shared" si="56"/>
        <v>0</v>
      </c>
    </row>
    <row r="710" spans="1:15" x14ac:dyDescent="0.35">
      <c r="A710" t="s">
        <v>66</v>
      </c>
      <c r="B710">
        <v>10</v>
      </c>
      <c r="C710" t="s">
        <v>65</v>
      </c>
      <c r="D710">
        <v>1</v>
      </c>
      <c r="E710">
        <v>4.1333135533389097E-2</v>
      </c>
      <c r="F710" s="15">
        <v>2.1470644064502001E-4</v>
      </c>
      <c r="G710" t="s">
        <v>66</v>
      </c>
      <c r="H710">
        <v>10</v>
      </c>
      <c r="I710">
        <v>1</v>
      </c>
      <c r="J710" s="15">
        <v>4.6758271119636002E-4</v>
      </c>
      <c r="K710" t="b">
        <f t="shared" si="57"/>
        <v>1</v>
      </c>
      <c r="L710">
        <f t="shared" si="58"/>
        <v>4.2015424685230479E-2</v>
      </c>
      <c r="M710">
        <f t="shared" si="59"/>
        <v>8.4030849370460958E-2</v>
      </c>
      <c r="N710">
        <f t="shared" si="55"/>
        <v>0.22171728066084687</v>
      </c>
      <c r="O710" s="21">
        <f t="shared" si="56"/>
        <v>0.25463893748624533</v>
      </c>
    </row>
    <row r="711" spans="1:15" x14ac:dyDescent="0.35">
      <c r="A711" t="s">
        <v>66</v>
      </c>
      <c r="B711">
        <v>10</v>
      </c>
      <c r="C711" t="s">
        <v>65</v>
      </c>
      <c r="D711">
        <v>2</v>
      </c>
      <c r="E711">
        <v>9.2999554950125504E-2</v>
      </c>
      <c r="F711" s="15">
        <v>6.9135473887698003E-4</v>
      </c>
      <c r="G711" t="s">
        <v>66</v>
      </c>
      <c r="H711">
        <v>10</v>
      </c>
      <c r="I711">
        <v>2</v>
      </c>
      <c r="J711">
        <v>1.34610955747109E-3</v>
      </c>
      <c r="K711" t="b">
        <f t="shared" si="57"/>
        <v>1</v>
      </c>
      <c r="L711">
        <f t="shared" si="58"/>
        <v>9.5037019246473578E-2</v>
      </c>
      <c r="M711">
        <f t="shared" si="59"/>
        <v>0.19007403849294716</v>
      </c>
      <c r="N711">
        <f t="shared" si="55"/>
        <v>0.50151461343785531</v>
      </c>
      <c r="O711" s="21">
        <f t="shared" si="56"/>
        <v>0.57598193482711257</v>
      </c>
    </row>
    <row r="712" spans="1:15" x14ac:dyDescent="0.35">
      <c r="A712" t="s">
        <v>66</v>
      </c>
      <c r="B712">
        <v>10</v>
      </c>
      <c r="C712" t="s">
        <v>65</v>
      </c>
      <c r="D712">
        <v>3</v>
      </c>
      <c r="E712">
        <v>0.15758257922104599</v>
      </c>
      <c r="F712">
        <v>1.4891824016698299E-3</v>
      </c>
      <c r="G712" t="s">
        <v>66</v>
      </c>
      <c r="H712">
        <v>10</v>
      </c>
      <c r="I712">
        <v>3</v>
      </c>
      <c r="J712">
        <v>2.6334714291500198E-3</v>
      </c>
      <c r="K712" t="b">
        <f t="shared" si="57"/>
        <v>1</v>
      </c>
      <c r="L712">
        <f t="shared" si="58"/>
        <v>0.16170523305186585</v>
      </c>
      <c r="M712">
        <f t="shared" si="59"/>
        <v>0.3234104661037317</v>
      </c>
      <c r="N712">
        <f t="shared" si="55"/>
        <v>0.85332576808372473</v>
      </c>
      <c r="O712" s="21">
        <f t="shared" si="56"/>
        <v>0.98003171546585355</v>
      </c>
    </row>
    <row r="713" spans="1:15" x14ac:dyDescent="0.35">
      <c r="A713" t="s">
        <v>66</v>
      </c>
      <c r="B713">
        <v>10</v>
      </c>
      <c r="C713" t="s">
        <v>65</v>
      </c>
      <c r="D713">
        <v>4</v>
      </c>
      <c r="E713">
        <v>0.23831135955969601</v>
      </c>
      <c r="F713">
        <v>2.68242375146372E-3</v>
      </c>
      <c r="G713" t="s">
        <v>66</v>
      </c>
      <c r="H713">
        <v>10</v>
      </c>
      <c r="I713">
        <v>4</v>
      </c>
      <c r="J713">
        <v>4.3674354234550803E-3</v>
      </c>
      <c r="K713" t="b">
        <f t="shared" si="57"/>
        <v>1</v>
      </c>
      <c r="L713">
        <f t="shared" si="58"/>
        <v>0.24536121873461481</v>
      </c>
      <c r="M713">
        <f t="shared" si="59"/>
        <v>0.49072243746922961</v>
      </c>
      <c r="N713">
        <f t="shared" si="55"/>
        <v>1.2947821569108962</v>
      </c>
      <c r="O713" s="21">
        <f t="shared" si="56"/>
        <v>1.4870376893006958</v>
      </c>
    </row>
    <row r="714" spans="1:15" x14ac:dyDescent="0.35">
      <c r="A714" t="s">
        <v>66</v>
      </c>
      <c r="B714">
        <v>10</v>
      </c>
      <c r="C714" t="s">
        <v>65</v>
      </c>
      <c r="D714">
        <v>5</v>
      </c>
      <c r="E714">
        <v>0.33922233498300902</v>
      </c>
      <c r="F714">
        <v>4.3640535068698002E-3</v>
      </c>
      <c r="G714" t="s">
        <v>66</v>
      </c>
      <c r="H714">
        <v>10</v>
      </c>
      <c r="I714">
        <v>5</v>
      </c>
      <c r="J714">
        <v>6.6192392722025199E-3</v>
      </c>
      <c r="K714" t="b">
        <f t="shared" si="57"/>
        <v>1</v>
      </c>
      <c r="L714">
        <f t="shared" si="58"/>
        <v>0.35020562776208136</v>
      </c>
      <c r="M714">
        <f t="shared" si="59"/>
        <v>0.70041125552416272</v>
      </c>
      <c r="N714">
        <f t="shared" si="55"/>
        <v>1.8480508061323555</v>
      </c>
      <c r="O714" s="21">
        <f t="shared" si="56"/>
        <v>2.1224583500732201</v>
      </c>
    </row>
    <row r="715" spans="1:15" x14ac:dyDescent="0.35">
      <c r="A715" t="s">
        <v>66</v>
      </c>
      <c r="B715">
        <v>10</v>
      </c>
      <c r="C715" t="s">
        <v>65</v>
      </c>
      <c r="D715">
        <v>6</v>
      </c>
      <c r="E715">
        <v>0.46536105426215002</v>
      </c>
      <c r="F715">
        <v>6.6504664272462304E-3</v>
      </c>
      <c r="G715" t="s">
        <v>66</v>
      </c>
      <c r="H715">
        <v>10</v>
      </c>
      <c r="I715">
        <v>6</v>
      </c>
      <c r="J715">
        <v>9.4924189720323408E-3</v>
      </c>
      <c r="K715" t="b">
        <f t="shared" si="57"/>
        <v>1</v>
      </c>
      <c r="L715">
        <f t="shared" si="58"/>
        <v>0.48150393966142857</v>
      </c>
      <c r="M715">
        <f t="shared" si="59"/>
        <v>0.96300787932285714</v>
      </c>
      <c r="N715">
        <f t="shared" si="55"/>
        <v>2.5409178873954015</v>
      </c>
      <c r="O715" s="21">
        <f t="shared" si="56"/>
        <v>2.9182056949177486</v>
      </c>
    </row>
    <row r="716" spans="1:15" x14ac:dyDescent="0.35">
      <c r="A716" t="s">
        <v>66</v>
      </c>
      <c r="B716">
        <v>10</v>
      </c>
      <c r="C716" t="s">
        <v>65</v>
      </c>
      <c r="D716">
        <v>7</v>
      </c>
      <c r="E716">
        <v>0.62303445336107799</v>
      </c>
      <c r="F716">
        <v>9.6873270320520198E-3</v>
      </c>
      <c r="G716" t="s">
        <v>66</v>
      </c>
      <c r="H716">
        <v>10</v>
      </c>
      <c r="I716">
        <v>7</v>
      </c>
      <c r="J716">
        <v>1.3125278744973099E-2</v>
      </c>
      <c r="K716" t="b">
        <f t="shared" si="57"/>
        <v>1</v>
      </c>
      <c r="L716">
        <f t="shared" si="58"/>
        <v>0.64584705913810303</v>
      </c>
      <c r="M716">
        <f t="shared" si="59"/>
        <v>1.2916941182762061</v>
      </c>
      <c r="N716">
        <f t="shared" si="55"/>
        <v>3.4081639004649236</v>
      </c>
      <c r="O716" s="21">
        <f t="shared" si="56"/>
        <v>3.9142246008369881</v>
      </c>
    </row>
    <row r="717" spans="1:15" x14ac:dyDescent="0.35">
      <c r="A717" t="s">
        <v>66</v>
      </c>
      <c r="B717">
        <v>10</v>
      </c>
      <c r="C717" t="s">
        <v>65</v>
      </c>
      <c r="D717">
        <v>8</v>
      </c>
      <c r="E717">
        <v>0.82012620223473698</v>
      </c>
      <c r="F717">
        <v>1.36568819087645E-2</v>
      </c>
      <c r="G717" t="s">
        <v>66</v>
      </c>
      <c r="H717">
        <v>10</v>
      </c>
      <c r="I717">
        <v>8</v>
      </c>
      <c r="J717">
        <v>1.7696255120632599E-2</v>
      </c>
      <c r="K717" t="b">
        <f t="shared" si="57"/>
        <v>1</v>
      </c>
      <c r="L717">
        <f t="shared" si="58"/>
        <v>0.85147933926413399</v>
      </c>
      <c r="M717">
        <f t="shared" si="59"/>
        <v>1.702958678528268</v>
      </c>
      <c r="N717">
        <f t="shared" si="55"/>
        <v>4.493294666301499</v>
      </c>
      <c r="O717" s="21">
        <f t="shared" si="56"/>
        <v>5.160480844025054</v>
      </c>
    </row>
    <row r="718" spans="1:15" x14ac:dyDescent="0.35">
      <c r="A718" t="s">
        <v>66</v>
      </c>
      <c r="B718">
        <v>10</v>
      </c>
      <c r="C718" t="s">
        <v>65</v>
      </c>
      <c r="D718">
        <v>9</v>
      </c>
      <c r="E718">
        <v>1.06649088832681</v>
      </c>
      <c r="F718">
        <v>1.8787100251738999E-2</v>
      </c>
      <c r="G718" t="s">
        <v>66</v>
      </c>
      <c r="H718">
        <v>10</v>
      </c>
      <c r="I718">
        <v>9</v>
      </c>
      <c r="J718">
        <v>2.3431947207101799E-2</v>
      </c>
      <c r="K718" t="b">
        <f t="shared" si="57"/>
        <v>1</v>
      </c>
      <c r="L718">
        <f t="shared" si="58"/>
        <v>1.1087099357856509</v>
      </c>
      <c r="M718">
        <f t="shared" si="59"/>
        <v>2.2174198715713018</v>
      </c>
      <c r="N718">
        <f t="shared" si="55"/>
        <v>5.8507120621934083</v>
      </c>
      <c r="O718" s="21">
        <f t="shared" si="56"/>
        <v>6.7194541562766723</v>
      </c>
    </row>
    <row r="719" spans="1:15" x14ac:dyDescent="0.35">
      <c r="A719" t="s">
        <v>66</v>
      </c>
      <c r="B719">
        <v>10</v>
      </c>
      <c r="C719" t="s">
        <v>65</v>
      </c>
      <c r="D719">
        <v>10</v>
      </c>
      <c r="E719">
        <v>1.3744467459419001</v>
      </c>
      <c r="F719">
        <v>2.5363099685128801E-2</v>
      </c>
      <c r="G719" t="s">
        <v>66</v>
      </c>
      <c r="H719">
        <v>10</v>
      </c>
      <c r="I719">
        <v>10</v>
      </c>
      <c r="J719">
        <v>3.06179321143993E-2</v>
      </c>
      <c r="K719" t="b">
        <f t="shared" si="57"/>
        <v>1</v>
      </c>
      <c r="L719">
        <f t="shared" si="58"/>
        <v>1.4304277777414283</v>
      </c>
      <c r="M719">
        <f t="shared" si="59"/>
        <v>2.8608555554828565</v>
      </c>
      <c r="N719">
        <f t="shared" si="55"/>
        <v>7.548431544809648</v>
      </c>
      <c r="O719" s="21">
        <f t="shared" si="56"/>
        <v>8.6692592590389594</v>
      </c>
    </row>
    <row r="720" spans="1:15" x14ac:dyDescent="0.35">
      <c r="A720" t="s">
        <v>66</v>
      </c>
      <c r="B720">
        <v>10</v>
      </c>
      <c r="C720" t="s">
        <v>65</v>
      </c>
      <c r="D720">
        <v>11</v>
      </c>
      <c r="E720">
        <v>1.7593915679607599</v>
      </c>
      <c r="F720">
        <v>3.3741428686397401E-2</v>
      </c>
      <c r="G720" t="s">
        <v>66</v>
      </c>
      <c r="H720">
        <v>10</v>
      </c>
      <c r="I720">
        <v>11</v>
      </c>
      <c r="J720">
        <v>3.9612745257043301E-2</v>
      </c>
      <c r="K720" t="b">
        <f t="shared" si="57"/>
        <v>1</v>
      </c>
      <c r="L720">
        <f t="shared" si="58"/>
        <v>1.8327457419042006</v>
      </c>
      <c r="M720">
        <f t="shared" si="59"/>
        <v>3.6654914838084012</v>
      </c>
      <c r="N720">
        <f t="shared" si="55"/>
        <v>9.6714814876211115</v>
      </c>
      <c r="O720" s="21">
        <f t="shared" si="56"/>
        <v>11.107549950934548</v>
      </c>
    </row>
    <row r="721" spans="1:15" x14ac:dyDescent="0.35">
      <c r="A721" t="s">
        <v>66</v>
      </c>
      <c r="B721">
        <v>10</v>
      </c>
      <c r="C721" t="s">
        <v>65</v>
      </c>
      <c r="D721">
        <v>12</v>
      </c>
      <c r="E721">
        <v>2.2405725954843501</v>
      </c>
      <c r="F721">
        <v>4.4367919756228502E-2</v>
      </c>
      <c r="G721" t="s">
        <v>66</v>
      </c>
      <c r="H721">
        <v>10</v>
      </c>
      <c r="I721">
        <v>12</v>
      </c>
      <c r="J721">
        <v>5.0865632657175398E-2</v>
      </c>
      <c r="K721" t="b">
        <f t="shared" si="57"/>
        <v>1</v>
      </c>
      <c r="L721">
        <f t="shared" si="58"/>
        <v>2.3358061478977539</v>
      </c>
      <c r="M721">
        <f t="shared" si="59"/>
        <v>4.6716122957955077</v>
      </c>
      <c r="N721">
        <f t="shared" si="55"/>
        <v>12.326153814763872</v>
      </c>
      <c r="O721" s="21">
        <f t="shared" si="56"/>
        <v>14.156400896350023</v>
      </c>
    </row>
    <row r="722" spans="1:15" x14ac:dyDescent="0.35">
      <c r="A722" t="s">
        <v>66</v>
      </c>
      <c r="B722">
        <v>10</v>
      </c>
      <c r="C722" t="s">
        <v>65</v>
      </c>
      <c r="D722">
        <v>13</v>
      </c>
      <c r="E722">
        <v>2.8420488798888202</v>
      </c>
      <c r="F722">
        <v>5.7800006017215501E-2</v>
      </c>
      <c r="G722" t="s">
        <v>66</v>
      </c>
      <c r="H722">
        <v>10</v>
      </c>
      <c r="I722">
        <v>13</v>
      </c>
      <c r="J722">
        <v>6.4938910347588599E-2</v>
      </c>
      <c r="K722" t="b">
        <f t="shared" si="57"/>
        <v>1</v>
      </c>
      <c r="L722">
        <f t="shared" si="58"/>
        <v>2.9647877962536242</v>
      </c>
      <c r="M722">
        <f t="shared" si="59"/>
        <v>5.9295755925072484</v>
      </c>
      <c r="N722">
        <f t="shared" si="55"/>
        <v>15.645318186034956</v>
      </c>
      <c r="O722" s="21">
        <f t="shared" si="56"/>
        <v>17.968410886385602</v>
      </c>
    </row>
    <row r="723" spans="1:15" x14ac:dyDescent="0.35">
      <c r="A723" t="s">
        <v>66</v>
      </c>
      <c r="B723">
        <v>10</v>
      </c>
      <c r="C723" t="s">
        <v>65</v>
      </c>
      <c r="D723">
        <v>14</v>
      </c>
      <c r="E723">
        <v>3.5938942353944099</v>
      </c>
      <c r="F723">
        <v>7.4734617094436406E-2</v>
      </c>
      <c r="G723" t="s">
        <v>66</v>
      </c>
      <c r="H723">
        <v>10</v>
      </c>
      <c r="I723">
        <v>14</v>
      </c>
      <c r="J723">
        <v>8.2536018770471301E-2</v>
      </c>
      <c r="K723" t="b">
        <f t="shared" si="57"/>
        <v>1</v>
      </c>
      <c r="L723">
        <f t="shared" si="58"/>
        <v>3.7511648712593173</v>
      </c>
      <c r="M723">
        <f t="shared" si="59"/>
        <v>7.5023297425186346</v>
      </c>
      <c r="N723">
        <f t="shared" si="55"/>
        <v>19.795065283690327</v>
      </c>
      <c r="O723" s="21">
        <f t="shared" si="56"/>
        <v>22.734332553086769</v>
      </c>
    </row>
    <row r="724" spans="1:15" x14ac:dyDescent="0.35">
      <c r="A724" t="s">
        <v>66</v>
      </c>
      <c r="B724">
        <v>10</v>
      </c>
      <c r="C724" t="s">
        <v>65</v>
      </c>
      <c r="D724">
        <v>15</v>
      </c>
      <c r="E724">
        <v>4.5337009297764101</v>
      </c>
      <c r="F724">
        <v>9.6043049094420005E-2</v>
      </c>
      <c r="G724" t="s">
        <v>66</v>
      </c>
      <c r="H724">
        <v>10</v>
      </c>
      <c r="I724">
        <v>15</v>
      </c>
      <c r="J724">
        <v>0.104536657620693</v>
      </c>
      <c r="K724" t="b">
        <f t="shared" si="57"/>
        <v>1</v>
      </c>
      <c r="L724">
        <f t="shared" si="58"/>
        <v>4.7342806364915235</v>
      </c>
      <c r="M724">
        <f t="shared" si="59"/>
        <v>9.4685612729830471</v>
      </c>
      <c r="N724">
        <f t="shared" si="55"/>
        <v>24.983011274361601</v>
      </c>
      <c r="O724" s="21">
        <f t="shared" si="56"/>
        <v>28.692609918130444</v>
      </c>
    </row>
    <row r="725" spans="1:15" x14ac:dyDescent="0.35">
      <c r="A725" t="s">
        <v>66</v>
      </c>
      <c r="B725">
        <v>10</v>
      </c>
      <c r="C725" t="s">
        <v>65</v>
      </c>
      <c r="D725">
        <v>16</v>
      </c>
      <c r="E725">
        <v>5.7084592977539002</v>
      </c>
      <c r="F725">
        <v>0.12281455220325301</v>
      </c>
      <c r="G725" t="s">
        <v>66</v>
      </c>
      <c r="H725">
        <v>10</v>
      </c>
      <c r="I725">
        <v>16</v>
      </c>
      <c r="J725">
        <v>0.13204074791988199</v>
      </c>
      <c r="K725" t="b">
        <f t="shared" si="57"/>
        <v>1</v>
      </c>
      <c r="L725">
        <f t="shared" si="58"/>
        <v>5.9633145978770354</v>
      </c>
      <c r="M725">
        <f t="shared" si="59"/>
        <v>11.926629195754071</v>
      </c>
      <c r="N725">
        <f t="shared" si="55"/>
        <v>31.468678616765359</v>
      </c>
      <c r="O725" s="21">
        <f t="shared" si="56"/>
        <v>36.141300593194153</v>
      </c>
    </row>
    <row r="726" spans="1:15" x14ac:dyDescent="0.35">
      <c r="A726" t="s">
        <v>66</v>
      </c>
      <c r="B726">
        <v>10</v>
      </c>
      <c r="C726" t="s">
        <v>65</v>
      </c>
      <c r="D726">
        <v>17</v>
      </c>
      <c r="E726">
        <v>7.1769072577257704</v>
      </c>
      <c r="F726">
        <v>0.15641081530488299</v>
      </c>
      <c r="G726" t="s">
        <v>66</v>
      </c>
      <c r="H726">
        <v>10</v>
      </c>
      <c r="I726">
        <v>17</v>
      </c>
      <c r="J726">
        <v>0.16642341365703001</v>
      </c>
      <c r="K726" t="b">
        <f t="shared" si="57"/>
        <v>1</v>
      </c>
      <c r="L726">
        <f t="shared" si="58"/>
        <v>7.4997414866876841</v>
      </c>
      <c r="M726">
        <f t="shared" si="59"/>
        <v>14.999482973375368</v>
      </c>
      <c r="N726">
        <f t="shared" si="55"/>
        <v>39.576472225264823</v>
      </c>
      <c r="O726" s="21">
        <f t="shared" si="56"/>
        <v>45.452978707198085</v>
      </c>
    </row>
    <row r="727" spans="1:15" x14ac:dyDescent="0.35">
      <c r="A727" t="s">
        <v>66</v>
      </c>
      <c r="B727">
        <v>10</v>
      </c>
      <c r="C727" t="s">
        <v>65</v>
      </c>
      <c r="D727">
        <v>18</v>
      </c>
      <c r="E727">
        <v>9.0124672076905998</v>
      </c>
      <c r="F727">
        <v>0.198534071871041</v>
      </c>
      <c r="G727" t="s">
        <v>66</v>
      </c>
      <c r="H727">
        <v>10</v>
      </c>
      <c r="I727">
        <v>18</v>
      </c>
      <c r="J727">
        <v>0.20940372871374299</v>
      </c>
      <c r="K727" t="b">
        <f t="shared" si="57"/>
        <v>1</v>
      </c>
      <c r="L727">
        <f t="shared" si="58"/>
        <v>9.4204050082753845</v>
      </c>
      <c r="M727">
        <f t="shared" si="59"/>
        <v>18.840810016550769</v>
      </c>
      <c r="N727">
        <f t="shared" si="55"/>
        <v>49.71189977981733</v>
      </c>
      <c r="O727" s="21">
        <f t="shared" si="56"/>
        <v>57.093363686517478</v>
      </c>
    </row>
    <row r="728" spans="1:15" x14ac:dyDescent="0.35">
      <c r="A728" t="s">
        <v>66</v>
      </c>
      <c r="B728">
        <v>10</v>
      </c>
      <c r="C728" t="s">
        <v>65</v>
      </c>
      <c r="D728">
        <v>19</v>
      </c>
      <c r="E728">
        <v>11.306917145146601</v>
      </c>
      <c r="F728">
        <v>0.25131223243718498</v>
      </c>
      <c r="G728" t="s">
        <v>66</v>
      </c>
      <c r="H728">
        <v>10</v>
      </c>
      <c r="I728">
        <v>19</v>
      </c>
      <c r="J728">
        <v>0.26313066444159</v>
      </c>
      <c r="K728" t="b">
        <f t="shared" si="57"/>
        <v>1</v>
      </c>
      <c r="L728">
        <f t="shared" si="58"/>
        <v>11.821360042025375</v>
      </c>
      <c r="M728">
        <f t="shared" si="59"/>
        <v>23.642720084050751</v>
      </c>
      <c r="N728">
        <f t="shared" si="55"/>
        <v>62.381847187468999</v>
      </c>
      <c r="O728" s="21">
        <f t="shared" si="56"/>
        <v>71.644606315305296</v>
      </c>
    </row>
    <row r="729" spans="1:15" x14ac:dyDescent="0.35">
      <c r="A729" t="s">
        <v>66</v>
      </c>
      <c r="B729">
        <v>10</v>
      </c>
      <c r="C729" t="s">
        <v>65</v>
      </c>
      <c r="D729">
        <v>20</v>
      </c>
      <c r="E729">
        <v>14.1749795669666</v>
      </c>
      <c r="F729">
        <v>0.31740530030755898</v>
      </c>
      <c r="G729" t="s">
        <v>66</v>
      </c>
      <c r="H729">
        <v>10</v>
      </c>
      <c r="I729">
        <v>20</v>
      </c>
      <c r="J729">
        <v>0.33029053409339199</v>
      </c>
      <c r="K729" t="b">
        <f t="shared" si="57"/>
        <v>1</v>
      </c>
      <c r="L729">
        <f t="shared" si="58"/>
        <v>14.822675401367551</v>
      </c>
      <c r="M729">
        <f t="shared" si="59"/>
        <v>29.645350802735102</v>
      </c>
      <c r="N729">
        <f t="shared" si="55"/>
        <v>78.21992296236175</v>
      </c>
      <c r="O729" s="21">
        <f t="shared" si="56"/>
        <v>89.834396371924541</v>
      </c>
    </row>
    <row r="730" spans="1:15" x14ac:dyDescent="0.35">
      <c r="A730" t="s">
        <v>66</v>
      </c>
      <c r="B730">
        <v>10</v>
      </c>
      <c r="C730" t="s">
        <v>65</v>
      </c>
      <c r="D730">
        <v>21</v>
      </c>
      <c r="E730">
        <v>17.664075</v>
      </c>
      <c r="F730">
        <v>0.39963980629833201</v>
      </c>
      <c r="G730" t="s">
        <v>66</v>
      </c>
      <c r="H730">
        <v>10</v>
      </c>
      <c r="I730">
        <v>21</v>
      </c>
      <c r="J730">
        <v>0.41315549877151098</v>
      </c>
      <c r="K730" t="b">
        <f t="shared" si="57"/>
        <v>1</v>
      </c>
      <c r="L730">
        <f t="shared" si="58"/>
        <v>18.476870305069845</v>
      </c>
      <c r="M730">
        <f t="shared" si="59"/>
        <v>36.95374061013969</v>
      </c>
      <c r="N730">
        <f t="shared" si="55"/>
        <v>97.503273377677274</v>
      </c>
      <c r="O730" s="21">
        <f t="shared" si="56"/>
        <v>111.98103215193845</v>
      </c>
    </row>
    <row r="731" spans="1:15" x14ac:dyDescent="0.35">
      <c r="A731" t="s">
        <v>66</v>
      </c>
      <c r="B731">
        <v>10</v>
      </c>
      <c r="C731" t="s">
        <v>65</v>
      </c>
      <c r="D731">
        <v>22</v>
      </c>
      <c r="E731">
        <v>21.257280000000002</v>
      </c>
      <c r="F731">
        <v>0.49807230810938202</v>
      </c>
      <c r="G731" t="s">
        <v>66</v>
      </c>
      <c r="H731">
        <v>10</v>
      </c>
      <c r="I731">
        <v>22</v>
      </c>
      <c r="J731">
        <v>0.50736471336353595</v>
      </c>
      <c r="K731" t="b">
        <f t="shared" si="57"/>
        <v>1</v>
      </c>
      <c r="L731">
        <f t="shared" si="58"/>
        <v>22.26271702147292</v>
      </c>
      <c r="M731">
        <f t="shared" si="59"/>
        <v>44.52543404294584</v>
      </c>
      <c r="N731">
        <f t="shared" si="55"/>
        <v>117.48135631384126</v>
      </c>
      <c r="O731" s="21">
        <f t="shared" si="56"/>
        <v>134.92555770589647</v>
      </c>
    </row>
    <row r="732" spans="1:15" x14ac:dyDescent="0.35">
      <c r="A732" t="s">
        <v>66</v>
      </c>
      <c r="B732">
        <v>10</v>
      </c>
      <c r="C732" t="s">
        <v>65</v>
      </c>
      <c r="D732">
        <v>23</v>
      </c>
      <c r="E732">
        <v>24.850484999999999</v>
      </c>
      <c r="F732">
        <v>0.61221686586610102</v>
      </c>
      <c r="G732" t="s">
        <v>66</v>
      </c>
      <c r="H732">
        <v>10</v>
      </c>
      <c r="I732">
        <v>23</v>
      </c>
      <c r="J732">
        <v>0.60906056359714</v>
      </c>
      <c r="K732" t="b">
        <f t="shared" si="57"/>
        <v>1</v>
      </c>
      <c r="L732">
        <f t="shared" si="58"/>
        <v>26.071762429463242</v>
      </c>
      <c r="M732">
        <f t="shared" si="59"/>
        <v>52.143524858926483</v>
      </c>
      <c r="N732">
        <f t="shared" si="55"/>
        <v>137.58185978608572</v>
      </c>
      <c r="O732" s="21">
        <f t="shared" si="56"/>
        <v>158.0106813906863</v>
      </c>
    </row>
    <row r="733" spans="1:15" x14ac:dyDescent="0.35">
      <c r="A733" t="s">
        <v>66</v>
      </c>
      <c r="B733">
        <v>10</v>
      </c>
      <c r="C733" t="s">
        <v>65</v>
      </c>
      <c r="D733">
        <v>24</v>
      </c>
      <c r="E733">
        <v>28.44369</v>
      </c>
      <c r="F733">
        <v>0.74160211789011798</v>
      </c>
      <c r="G733" t="s">
        <v>66</v>
      </c>
      <c r="H733">
        <v>10</v>
      </c>
      <c r="I733">
        <v>24</v>
      </c>
      <c r="J733">
        <v>0.71582213071495904</v>
      </c>
      <c r="K733" t="b">
        <f t="shared" si="57"/>
        <v>1</v>
      </c>
      <c r="L733">
        <f t="shared" si="58"/>
        <v>29.901114248605076</v>
      </c>
      <c r="M733">
        <f t="shared" si="59"/>
        <v>59.802228497210152</v>
      </c>
      <c r="N733">
        <f t="shared" si="55"/>
        <v>157.78952110081835</v>
      </c>
      <c r="O733" s="21">
        <f t="shared" si="56"/>
        <v>181.21887423397015</v>
      </c>
    </row>
    <row r="734" spans="1:15" x14ac:dyDescent="0.35">
      <c r="A734" t="s">
        <v>66</v>
      </c>
      <c r="B734">
        <v>10</v>
      </c>
      <c r="C734" t="s">
        <v>65</v>
      </c>
      <c r="D734">
        <v>25</v>
      </c>
      <c r="E734">
        <v>32.036895000000001</v>
      </c>
      <c r="F734">
        <v>0.88577084335341405</v>
      </c>
      <c r="G734" t="s">
        <v>66</v>
      </c>
      <c r="H734">
        <v>10</v>
      </c>
      <c r="I734">
        <v>25</v>
      </c>
      <c r="J734">
        <v>0.82609522814687297</v>
      </c>
      <c r="K734" t="b">
        <f t="shared" si="57"/>
        <v>1</v>
      </c>
      <c r="L734">
        <f t="shared" si="58"/>
        <v>33.74876107150029</v>
      </c>
      <c r="M734">
        <f t="shared" si="59"/>
        <v>67.49752214300058</v>
      </c>
      <c r="N734">
        <f t="shared" si="55"/>
        <v>178.09372597097777</v>
      </c>
      <c r="O734" s="21">
        <f t="shared" si="56"/>
        <v>204.53794588788054</v>
      </c>
    </row>
    <row r="735" spans="1:15" x14ac:dyDescent="0.35">
      <c r="A735" t="s">
        <v>66</v>
      </c>
      <c r="B735">
        <v>10</v>
      </c>
      <c r="C735" t="s">
        <v>65</v>
      </c>
      <c r="D735">
        <v>26</v>
      </c>
      <c r="E735">
        <v>35.630099999999999</v>
      </c>
      <c r="F735">
        <v>1.04427953805281</v>
      </c>
      <c r="G735" t="s">
        <v>66</v>
      </c>
      <c r="H735">
        <v>10</v>
      </c>
      <c r="I735">
        <v>26</v>
      </c>
      <c r="J735">
        <v>0.938857452662331</v>
      </c>
      <c r="K735" t="b">
        <f t="shared" si="57"/>
        <v>1</v>
      </c>
      <c r="L735">
        <f t="shared" si="58"/>
        <v>37.613236990715144</v>
      </c>
      <c r="M735">
        <f t="shared" si="59"/>
        <v>75.226473981430289</v>
      </c>
      <c r="N735">
        <f t="shared" si="55"/>
        <v>198.48673873728308</v>
      </c>
      <c r="O735" s="21">
        <f t="shared" si="56"/>
        <v>227.95901206494025</v>
      </c>
    </row>
    <row r="736" spans="1:15" x14ac:dyDescent="0.35">
      <c r="A736" t="s">
        <v>66</v>
      </c>
      <c r="B736">
        <v>10</v>
      </c>
      <c r="C736" t="s">
        <v>65</v>
      </c>
      <c r="D736">
        <v>27</v>
      </c>
      <c r="E736">
        <v>39.881555999999897</v>
      </c>
      <c r="F736">
        <v>1.22011731111123</v>
      </c>
      <c r="G736" t="s">
        <v>66</v>
      </c>
      <c r="H736">
        <v>10</v>
      </c>
      <c r="I736">
        <v>27</v>
      </c>
      <c r="J736">
        <v>1.0608657051132</v>
      </c>
      <c r="K736" t="b">
        <f t="shared" si="57"/>
        <v>1</v>
      </c>
      <c r="L736">
        <f t="shared" si="58"/>
        <v>42.162539016224329</v>
      </c>
      <c r="M736">
        <f t="shared" si="59"/>
        <v>84.325078032448658</v>
      </c>
      <c r="N736">
        <f t="shared" si="55"/>
        <v>222.49360958429725</v>
      </c>
      <c r="O736" s="21">
        <f t="shared" si="56"/>
        <v>255.53053949226864</v>
      </c>
    </row>
    <row r="737" spans="1:15" x14ac:dyDescent="0.35">
      <c r="A737" t="s">
        <v>66</v>
      </c>
      <c r="B737">
        <v>10</v>
      </c>
      <c r="C737" t="s">
        <v>65</v>
      </c>
      <c r="D737">
        <v>28</v>
      </c>
      <c r="E737">
        <v>44.133012000000001</v>
      </c>
      <c r="F737">
        <v>1.4127642901778901</v>
      </c>
      <c r="G737" t="s">
        <v>66</v>
      </c>
      <c r="H737">
        <v>10</v>
      </c>
      <c r="I737">
        <v>28</v>
      </c>
      <c r="J737">
        <v>1.1888797889169</v>
      </c>
      <c r="K737" t="b">
        <f t="shared" si="57"/>
        <v>1</v>
      </c>
      <c r="L737">
        <f t="shared" si="58"/>
        <v>46.73465607909479</v>
      </c>
      <c r="M737">
        <f t="shared" si="59"/>
        <v>93.469312158189581</v>
      </c>
      <c r="N737">
        <f t="shared" si="55"/>
        <v>246.62087640683268</v>
      </c>
      <c r="O737" s="21">
        <f t="shared" si="56"/>
        <v>283.24033987330176</v>
      </c>
    </row>
    <row r="738" spans="1:15" x14ac:dyDescent="0.35">
      <c r="A738" t="s">
        <v>66</v>
      </c>
      <c r="B738">
        <v>10</v>
      </c>
      <c r="C738" t="s">
        <v>65</v>
      </c>
      <c r="D738">
        <v>29</v>
      </c>
      <c r="E738">
        <v>48.384467999999998</v>
      </c>
      <c r="F738">
        <v>1.6217161990725499</v>
      </c>
      <c r="G738" t="s">
        <v>66</v>
      </c>
      <c r="H738">
        <v>10</v>
      </c>
      <c r="I738">
        <v>29</v>
      </c>
      <c r="J738">
        <v>1.32089309732434</v>
      </c>
      <c r="K738" t="b">
        <f t="shared" si="57"/>
        <v>1</v>
      </c>
      <c r="L738">
        <f t="shared" si="58"/>
        <v>51.327077296396887</v>
      </c>
      <c r="M738">
        <f t="shared" si="59"/>
        <v>102.65415459279377</v>
      </c>
      <c r="N738">
        <f t="shared" si="55"/>
        <v>270.85528916304423</v>
      </c>
      <c r="O738" s="21">
        <f t="shared" si="56"/>
        <v>311.07319573573869</v>
      </c>
    </row>
    <row r="739" spans="1:15" x14ac:dyDescent="0.35">
      <c r="A739" t="s">
        <v>66</v>
      </c>
      <c r="B739">
        <v>10</v>
      </c>
      <c r="C739" t="s">
        <v>65</v>
      </c>
      <c r="D739">
        <v>30</v>
      </c>
      <c r="E739">
        <v>52.635923999999903</v>
      </c>
      <c r="F739">
        <v>1.8464838899003799</v>
      </c>
      <c r="G739" t="s">
        <v>66</v>
      </c>
      <c r="H739">
        <v>10</v>
      </c>
      <c r="I739">
        <v>30</v>
      </c>
      <c r="J739">
        <v>1.4556363802329699</v>
      </c>
      <c r="K739" t="b">
        <f t="shared" si="57"/>
        <v>1</v>
      </c>
      <c r="L739">
        <f t="shared" si="58"/>
        <v>55.938044270133247</v>
      </c>
      <c r="M739">
        <f t="shared" si="59"/>
        <v>111.87608854026649</v>
      </c>
      <c r="N739">
        <f t="shared" si="55"/>
        <v>295.18756870782715</v>
      </c>
      <c r="O739" s="21">
        <f t="shared" si="56"/>
        <v>339.01845012201966</v>
      </c>
    </row>
    <row r="740" spans="1:15" x14ac:dyDescent="0.35">
      <c r="A740" t="s">
        <v>66</v>
      </c>
      <c r="B740">
        <v>10</v>
      </c>
      <c r="C740" t="s">
        <v>65</v>
      </c>
      <c r="D740">
        <v>31</v>
      </c>
      <c r="E740">
        <v>56.88738</v>
      </c>
      <c r="F740">
        <v>2.08659288920337</v>
      </c>
      <c r="G740" t="s">
        <v>66</v>
      </c>
      <c r="H740">
        <v>10</v>
      </c>
      <c r="I740">
        <v>31</v>
      </c>
      <c r="J740">
        <v>1.59228776323539</v>
      </c>
      <c r="K740" t="b">
        <f t="shared" si="57"/>
        <v>1</v>
      </c>
      <c r="L740">
        <f t="shared" si="58"/>
        <v>60.566260652438757</v>
      </c>
      <c r="M740">
        <f t="shared" si="59"/>
        <v>121.13252130487751</v>
      </c>
      <c r="N740">
        <f t="shared" si="55"/>
        <v>319.61087415534962</v>
      </c>
      <c r="O740" s="21">
        <f t="shared" si="56"/>
        <v>367.06824637841669</v>
      </c>
    </row>
    <row r="741" spans="1:15" x14ac:dyDescent="0.35">
      <c r="A741" t="s">
        <v>66</v>
      </c>
      <c r="B741">
        <v>10</v>
      </c>
      <c r="C741" t="s">
        <v>65</v>
      </c>
      <c r="D741">
        <v>32</v>
      </c>
      <c r="E741">
        <v>61.543448999999903</v>
      </c>
      <c r="F741">
        <v>2.34368473432726</v>
      </c>
      <c r="G741" t="s">
        <v>66</v>
      </c>
      <c r="H741">
        <v>10</v>
      </c>
      <c r="I741">
        <v>32</v>
      </c>
      <c r="J741">
        <v>1.7348789270282301</v>
      </c>
      <c r="K741" t="b">
        <f t="shared" si="57"/>
        <v>1</v>
      </c>
      <c r="L741">
        <f t="shared" si="58"/>
        <v>65.622012661355399</v>
      </c>
      <c r="M741">
        <f t="shared" si="59"/>
        <v>131.2440253227108</v>
      </c>
      <c r="N741">
        <f t="shared" si="55"/>
        <v>346.2903042815588</v>
      </c>
      <c r="O741" s="21">
        <f t="shared" si="56"/>
        <v>397.70916764457814</v>
      </c>
    </row>
    <row r="742" spans="1:15" x14ac:dyDescent="0.35">
      <c r="A742" t="s">
        <v>66</v>
      </c>
      <c r="B742">
        <v>10</v>
      </c>
      <c r="C742" t="s">
        <v>65</v>
      </c>
      <c r="D742">
        <v>33</v>
      </c>
      <c r="E742">
        <v>66.199517999999998</v>
      </c>
      <c r="F742">
        <v>2.6172499398974498</v>
      </c>
      <c r="G742" t="s">
        <v>66</v>
      </c>
      <c r="H742">
        <v>10</v>
      </c>
      <c r="I742">
        <v>33</v>
      </c>
      <c r="J742">
        <v>1.8813399170329299</v>
      </c>
      <c r="K742" t="b">
        <f t="shared" si="57"/>
        <v>1</v>
      </c>
      <c r="L742">
        <f t="shared" si="58"/>
        <v>70.698107856930378</v>
      </c>
      <c r="M742">
        <f t="shared" si="59"/>
        <v>141.39621571386076</v>
      </c>
      <c r="N742">
        <f t="shared" si="55"/>
        <v>373.0770863162553</v>
      </c>
      <c r="O742" s="21">
        <f t="shared" si="56"/>
        <v>428.47338095109319</v>
      </c>
    </row>
    <row r="743" spans="1:15" x14ac:dyDescent="0.35">
      <c r="A743" t="s">
        <v>66</v>
      </c>
      <c r="B743">
        <v>10</v>
      </c>
      <c r="C743" t="s">
        <v>65</v>
      </c>
      <c r="D743">
        <v>34</v>
      </c>
      <c r="E743">
        <v>70.855587</v>
      </c>
      <c r="F743">
        <v>2.9067943051005201</v>
      </c>
      <c r="G743" t="s">
        <v>66</v>
      </c>
      <c r="H743">
        <v>10</v>
      </c>
      <c r="I743">
        <v>34</v>
      </c>
      <c r="J743">
        <v>2.0303856977358201</v>
      </c>
      <c r="K743" t="b">
        <f t="shared" si="57"/>
        <v>1</v>
      </c>
      <c r="L743">
        <f t="shared" si="58"/>
        <v>75.792767002836342</v>
      </c>
      <c r="M743">
        <f t="shared" si="59"/>
        <v>151.58553400567268</v>
      </c>
      <c r="N743">
        <f t="shared" si="55"/>
        <v>399.96183114953214</v>
      </c>
      <c r="O743" s="21">
        <f t="shared" si="56"/>
        <v>459.35010304749295</v>
      </c>
    </row>
    <row r="744" spans="1:15" x14ac:dyDescent="0.35">
      <c r="A744" t="s">
        <v>66</v>
      </c>
      <c r="B744">
        <v>10</v>
      </c>
      <c r="C744" t="s">
        <v>65</v>
      </c>
      <c r="D744">
        <v>35</v>
      </c>
      <c r="E744">
        <v>75.511656000000002</v>
      </c>
      <c r="F744">
        <v>3.2118384551475101</v>
      </c>
      <c r="G744" t="s">
        <v>66</v>
      </c>
      <c r="H744">
        <v>10</v>
      </c>
      <c r="I744">
        <v>35</v>
      </c>
      <c r="J744">
        <v>2.1812011893083798</v>
      </c>
      <c r="K744" t="b">
        <f t="shared" si="57"/>
        <v>1</v>
      </c>
      <c r="L744">
        <f t="shared" si="58"/>
        <v>80.904695644455899</v>
      </c>
      <c r="M744">
        <f t="shared" si="59"/>
        <v>161.8093912889118</v>
      </c>
      <c r="N744">
        <f t="shared" si="55"/>
        <v>426.93770788631082</v>
      </c>
      <c r="O744" s="21">
        <f t="shared" si="56"/>
        <v>490.33148875427815</v>
      </c>
    </row>
    <row r="745" spans="1:15" x14ac:dyDescent="0.35">
      <c r="A745" t="s">
        <v>66</v>
      </c>
      <c r="B745">
        <v>10</v>
      </c>
      <c r="C745" t="s">
        <v>65</v>
      </c>
      <c r="D745">
        <v>36</v>
      </c>
      <c r="E745">
        <v>80.167725000000004</v>
      </c>
      <c r="F745">
        <v>3.5319173964930801</v>
      </c>
      <c r="G745" t="s">
        <v>66</v>
      </c>
      <c r="H745">
        <v>10</v>
      </c>
      <c r="I745">
        <v>36</v>
      </c>
      <c r="J745">
        <v>2.3332570291016599</v>
      </c>
      <c r="K745" t="b">
        <f t="shared" si="57"/>
        <v>1</v>
      </c>
      <c r="L745">
        <f t="shared" si="58"/>
        <v>86.032899425594749</v>
      </c>
      <c r="M745">
        <f t="shared" si="59"/>
        <v>172.0657988511895</v>
      </c>
      <c r="N745">
        <f t="shared" si="55"/>
        <v>453.99946926435223</v>
      </c>
      <c r="O745" s="21">
        <f t="shared" si="56"/>
        <v>521.41151167027124</v>
      </c>
    </row>
    <row r="746" spans="1:15" x14ac:dyDescent="0.35">
      <c r="A746" t="s">
        <v>66</v>
      </c>
      <c r="B746">
        <v>10</v>
      </c>
      <c r="C746" t="s">
        <v>65</v>
      </c>
      <c r="D746">
        <v>37</v>
      </c>
      <c r="E746">
        <v>84.944574000000003</v>
      </c>
      <c r="F746">
        <v>3.8672074813982902</v>
      </c>
      <c r="G746" t="s">
        <v>66</v>
      </c>
      <c r="H746">
        <v>10</v>
      </c>
      <c r="I746">
        <v>37</v>
      </c>
      <c r="J746">
        <v>2.4875671020376098</v>
      </c>
      <c r="K746" t="b">
        <f t="shared" si="57"/>
        <v>1</v>
      </c>
      <c r="L746">
        <f t="shared" si="58"/>
        <v>91.299348583435915</v>
      </c>
      <c r="M746">
        <f t="shared" si="59"/>
        <v>182.59869716687183</v>
      </c>
      <c r="N746">
        <f t="shared" si="55"/>
        <v>481.79075769623171</v>
      </c>
      <c r="O746" s="21">
        <f t="shared" si="56"/>
        <v>553.32938535415701</v>
      </c>
    </row>
    <row r="747" spans="1:15" x14ac:dyDescent="0.35">
      <c r="A747" t="s">
        <v>66</v>
      </c>
      <c r="B747">
        <v>10</v>
      </c>
      <c r="C747" t="s">
        <v>65</v>
      </c>
      <c r="D747">
        <v>38</v>
      </c>
      <c r="E747">
        <v>89.721423000000001</v>
      </c>
      <c r="F747">
        <v>4.21725237555634</v>
      </c>
      <c r="G747" t="s">
        <v>66</v>
      </c>
      <c r="H747">
        <v>10</v>
      </c>
      <c r="I747">
        <v>38</v>
      </c>
      <c r="J747">
        <v>2.6433837705582302</v>
      </c>
      <c r="K747" t="b">
        <f t="shared" si="57"/>
        <v>1</v>
      </c>
      <c r="L747">
        <f t="shared" si="58"/>
        <v>96.582059146114574</v>
      </c>
      <c r="M747">
        <f t="shared" si="59"/>
        <v>193.16411829222915</v>
      </c>
      <c r="N747">
        <f t="shared" si="55"/>
        <v>509.66785829084205</v>
      </c>
      <c r="O747" s="21">
        <f t="shared" si="56"/>
        <v>585.34581300675495</v>
      </c>
    </row>
    <row r="748" spans="1:15" x14ac:dyDescent="0.35">
      <c r="A748" t="s">
        <v>66</v>
      </c>
      <c r="B748">
        <v>10</v>
      </c>
      <c r="C748" t="s">
        <v>65</v>
      </c>
      <c r="D748">
        <v>39</v>
      </c>
      <c r="E748">
        <v>94.498272</v>
      </c>
      <c r="F748">
        <v>4.5816094346896499</v>
      </c>
      <c r="G748" t="s">
        <v>66</v>
      </c>
      <c r="H748">
        <v>10</v>
      </c>
      <c r="I748">
        <v>39</v>
      </c>
      <c r="J748">
        <v>2.8002325569070901</v>
      </c>
      <c r="K748" t="b">
        <f t="shared" si="57"/>
        <v>1</v>
      </c>
      <c r="L748">
        <f t="shared" si="58"/>
        <v>101.88011399159674</v>
      </c>
      <c r="M748">
        <f t="shared" si="59"/>
        <v>203.76022798319349</v>
      </c>
      <c r="N748">
        <f t="shared" si="55"/>
        <v>537.62593135407258</v>
      </c>
      <c r="O748" s="21">
        <f t="shared" si="56"/>
        <v>617.45523631270748</v>
      </c>
    </row>
    <row r="749" spans="1:15" x14ac:dyDescent="0.35">
      <c r="A749" t="s">
        <v>66</v>
      </c>
      <c r="B749">
        <v>10</v>
      </c>
      <c r="C749" t="s">
        <v>65</v>
      </c>
      <c r="D749">
        <v>40</v>
      </c>
      <c r="E749">
        <v>99.275120999999999</v>
      </c>
      <c r="F749">
        <v>4.9598492938489596</v>
      </c>
      <c r="G749" t="s">
        <v>66</v>
      </c>
      <c r="H749">
        <v>10</v>
      </c>
      <c r="I749">
        <v>40</v>
      </c>
      <c r="J749">
        <v>2.95780512326857</v>
      </c>
      <c r="K749" t="b">
        <f t="shared" si="57"/>
        <v>1</v>
      </c>
      <c r="L749">
        <f t="shared" si="58"/>
        <v>107.19277541711753</v>
      </c>
      <c r="M749">
        <f t="shared" si="59"/>
        <v>214.38555083423506</v>
      </c>
      <c r="N749">
        <f t="shared" si="55"/>
        <v>565.66108399534312</v>
      </c>
      <c r="O749" s="21">
        <f t="shared" si="56"/>
        <v>649.65318434616677</v>
      </c>
    </row>
    <row r="750" spans="1:15" x14ac:dyDescent="0.35">
      <c r="A750" t="s">
        <v>66</v>
      </c>
      <c r="B750">
        <v>10</v>
      </c>
      <c r="C750" t="s">
        <v>65</v>
      </c>
      <c r="D750">
        <v>41</v>
      </c>
      <c r="E750">
        <v>104.05197</v>
      </c>
      <c r="F750">
        <v>5.3515554690334897</v>
      </c>
      <c r="G750" t="s">
        <v>66</v>
      </c>
      <c r="H750">
        <v>10</v>
      </c>
      <c r="I750">
        <v>41</v>
      </c>
      <c r="J750">
        <v>3.1158960570165801</v>
      </c>
      <c r="K750" t="b">
        <f t="shared" si="57"/>
        <v>1</v>
      </c>
      <c r="L750">
        <f t="shared" si="58"/>
        <v>112.51942152605007</v>
      </c>
      <c r="M750">
        <f t="shared" si="59"/>
        <v>225.03884305210013</v>
      </c>
      <c r="N750">
        <f t="shared" si="55"/>
        <v>593.7700344382589</v>
      </c>
      <c r="O750" s="21">
        <f t="shared" si="56"/>
        <v>681.93588803666705</v>
      </c>
    </row>
    <row r="751" spans="1:15" x14ac:dyDescent="0.35">
      <c r="A751" t="s">
        <v>66</v>
      </c>
      <c r="B751">
        <v>10</v>
      </c>
      <c r="C751" t="s">
        <v>65</v>
      </c>
      <c r="D751">
        <v>42</v>
      </c>
      <c r="E751">
        <v>108.689922</v>
      </c>
      <c r="F751">
        <v>5.7556024653624904</v>
      </c>
      <c r="G751" t="s">
        <v>66</v>
      </c>
      <c r="H751">
        <v>10</v>
      </c>
      <c r="I751">
        <v>42</v>
      </c>
      <c r="J751">
        <v>3.2727937982014499</v>
      </c>
      <c r="K751" t="b">
        <f t="shared" si="57"/>
        <v>1</v>
      </c>
      <c r="L751">
        <f t="shared" si="58"/>
        <v>117.71831826356393</v>
      </c>
      <c r="M751">
        <f t="shared" si="59"/>
        <v>235.43663652712786</v>
      </c>
      <c r="N751">
        <f t="shared" si="55"/>
        <v>621.20484571801546</v>
      </c>
      <c r="O751" s="21">
        <f t="shared" si="56"/>
        <v>713.44435311250868</v>
      </c>
    </row>
    <row r="752" spans="1:15" x14ac:dyDescent="0.35">
      <c r="A752" t="s">
        <v>66</v>
      </c>
      <c r="B752">
        <v>10</v>
      </c>
      <c r="C752" t="s">
        <v>65</v>
      </c>
      <c r="D752">
        <v>43</v>
      </c>
      <c r="E752">
        <v>113.32787399999999</v>
      </c>
      <c r="F752">
        <v>6.1716200582016203</v>
      </c>
      <c r="G752" t="s">
        <v>66</v>
      </c>
      <c r="H752">
        <v>10</v>
      </c>
      <c r="I752">
        <v>43</v>
      </c>
      <c r="J752">
        <v>3.42898340623326</v>
      </c>
      <c r="K752" t="b">
        <f t="shared" si="57"/>
        <v>1</v>
      </c>
      <c r="L752">
        <f t="shared" si="58"/>
        <v>122.92847746443488</v>
      </c>
      <c r="M752">
        <f t="shared" si="59"/>
        <v>245.85695492886975</v>
      </c>
      <c r="N752">
        <f t="shared" si="55"/>
        <v>648.6990895220838</v>
      </c>
      <c r="O752" s="21">
        <f t="shared" si="56"/>
        <v>745.02107554202951</v>
      </c>
    </row>
    <row r="753" spans="1:15" x14ac:dyDescent="0.35">
      <c r="A753" t="s">
        <v>66</v>
      </c>
      <c r="B753">
        <v>10</v>
      </c>
      <c r="C753" t="s">
        <v>65</v>
      </c>
      <c r="D753">
        <v>44</v>
      </c>
      <c r="E753">
        <v>117.73910090839</v>
      </c>
      <c r="F753">
        <v>6.7972549663002901</v>
      </c>
      <c r="G753" t="s">
        <v>66</v>
      </c>
      <c r="H753">
        <v>10</v>
      </c>
      <c r="I753">
        <v>44</v>
      </c>
      <c r="J753">
        <v>3.5821822972492701</v>
      </c>
      <c r="K753" t="b">
        <f t="shared" si="57"/>
        <v>1</v>
      </c>
      <c r="L753">
        <f t="shared" si="58"/>
        <v>128.11853817193955</v>
      </c>
      <c r="M753">
        <f t="shared" si="59"/>
        <v>256.2370763438791</v>
      </c>
      <c r="N753">
        <f t="shared" si="55"/>
        <v>676.08727267514269</v>
      </c>
      <c r="O753" s="21">
        <f t="shared" si="56"/>
        <v>776.47598892084568</v>
      </c>
    </row>
    <row r="754" spans="1:15" x14ac:dyDescent="0.35">
      <c r="A754" t="s">
        <v>66</v>
      </c>
      <c r="B754">
        <v>10</v>
      </c>
      <c r="C754" t="s">
        <v>65</v>
      </c>
      <c r="D754">
        <v>45</v>
      </c>
      <c r="E754">
        <v>121.983903262558</v>
      </c>
      <c r="F754">
        <v>7.5697987089563101</v>
      </c>
      <c r="G754" t="s">
        <v>66</v>
      </c>
      <c r="H754">
        <v>10</v>
      </c>
      <c r="I754">
        <v>45</v>
      </c>
      <c r="J754">
        <v>3.73162523008184</v>
      </c>
      <c r="K754" t="b">
        <f t="shared" si="57"/>
        <v>1</v>
      </c>
      <c r="L754">
        <f t="shared" si="58"/>
        <v>133.28532720159615</v>
      </c>
      <c r="M754">
        <f t="shared" si="59"/>
        <v>266.57065440319229</v>
      </c>
      <c r="N754">
        <f t="shared" si="55"/>
        <v>703.35265014034906</v>
      </c>
      <c r="O754" s="21">
        <f t="shared" si="56"/>
        <v>807.78986182785536</v>
      </c>
    </row>
    <row r="755" spans="1:15" x14ac:dyDescent="0.35">
      <c r="A755" t="s">
        <v>66</v>
      </c>
      <c r="B755">
        <v>10</v>
      </c>
      <c r="C755" t="s">
        <v>65</v>
      </c>
      <c r="D755">
        <v>46</v>
      </c>
      <c r="E755">
        <v>126.116169636946</v>
      </c>
      <c r="F755">
        <v>8.4351499651916999</v>
      </c>
      <c r="G755" t="s">
        <v>66</v>
      </c>
      <c r="H755">
        <v>10</v>
      </c>
      <c r="I755">
        <v>46</v>
      </c>
      <c r="J755">
        <v>3.877411071849</v>
      </c>
      <c r="K755" t="b">
        <f t="shared" si="57"/>
        <v>1</v>
      </c>
      <c r="L755">
        <f t="shared" si="58"/>
        <v>138.42873067398671</v>
      </c>
      <c r="M755">
        <f t="shared" si="59"/>
        <v>276.85746134797341</v>
      </c>
      <c r="N755">
        <f t="shared" si="55"/>
        <v>730.49462097090611</v>
      </c>
      <c r="O755" s="21">
        <f t="shared" si="56"/>
        <v>838.96200408476784</v>
      </c>
    </row>
    <row r="756" spans="1:15" x14ac:dyDescent="0.35">
      <c r="A756" t="s">
        <v>66</v>
      </c>
      <c r="B756">
        <v>10</v>
      </c>
      <c r="C756" t="s">
        <v>65</v>
      </c>
      <c r="D756">
        <v>47</v>
      </c>
      <c r="E756">
        <v>129.87170156681501</v>
      </c>
      <c r="F756">
        <v>9.30128074573798</v>
      </c>
      <c r="G756" t="s">
        <v>66</v>
      </c>
      <c r="H756">
        <v>10</v>
      </c>
      <c r="I756">
        <v>47</v>
      </c>
      <c r="J756">
        <v>4.0165849981584998</v>
      </c>
      <c r="K756" t="b">
        <f t="shared" si="57"/>
        <v>1</v>
      </c>
      <c r="L756">
        <f t="shared" si="58"/>
        <v>143.18956731071148</v>
      </c>
      <c r="M756">
        <f t="shared" si="59"/>
        <v>286.37913462142296</v>
      </c>
      <c r="N756">
        <f t="shared" si="55"/>
        <v>755.61776944966482</v>
      </c>
      <c r="O756" s="21">
        <f t="shared" si="56"/>
        <v>867.81555945885748</v>
      </c>
    </row>
    <row r="757" spans="1:15" x14ac:dyDescent="0.35">
      <c r="A757" t="s">
        <v>66</v>
      </c>
      <c r="B757">
        <v>10</v>
      </c>
      <c r="C757" t="s">
        <v>65</v>
      </c>
      <c r="D757">
        <v>48</v>
      </c>
      <c r="E757">
        <v>133.60789156466601</v>
      </c>
      <c r="F757">
        <v>10.172515790191699</v>
      </c>
      <c r="G757" t="s">
        <v>66</v>
      </c>
      <c r="H757">
        <v>10</v>
      </c>
      <c r="I757">
        <v>48</v>
      </c>
      <c r="J757">
        <v>4.1513124160479702</v>
      </c>
      <c r="K757" t="b">
        <f t="shared" si="57"/>
        <v>1</v>
      </c>
      <c r="L757">
        <f t="shared" si="58"/>
        <v>147.93171977090569</v>
      </c>
      <c r="M757">
        <f t="shared" si="59"/>
        <v>295.86343954181137</v>
      </c>
      <c r="N757">
        <f t="shared" si="55"/>
        <v>780.64232069079515</v>
      </c>
      <c r="O757" s="21">
        <f t="shared" si="56"/>
        <v>896.55587739942837</v>
      </c>
    </row>
    <row r="758" spans="1:15" x14ac:dyDescent="0.35">
      <c r="A758" t="s">
        <v>66</v>
      </c>
      <c r="B758">
        <v>10</v>
      </c>
      <c r="C758" t="s">
        <v>65</v>
      </c>
      <c r="D758">
        <v>49</v>
      </c>
      <c r="E758">
        <v>137.321663409895</v>
      </c>
      <c r="F758">
        <v>11.051328806806501</v>
      </c>
      <c r="G758" t="s">
        <v>66</v>
      </c>
      <c r="H758">
        <v>10</v>
      </c>
      <c r="I758">
        <v>49</v>
      </c>
      <c r="J758">
        <v>4.2828792403442799</v>
      </c>
      <c r="K758" t="b">
        <f t="shared" si="57"/>
        <v>1</v>
      </c>
      <c r="L758">
        <f t="shared" si="58"/>
        <v>152.65587145704578</v>
      </c>
      <c r="M758">
        <f t="shared" si="59"/>
        <v>305.31174291409155</v>
      </c>
      <c r="N758">
        <f t="shared" si="55"/>
        <v>805.57188103981935</v>
      </c>
      <c r="O758" s="21">
        <f t="shared" si="56"/>
        <v>925.18709973967134</v>
      </c>
    </row>
    <row r="759" spans="1:15" x14ac:dyDescent="0.35">
      <c r="A759" t="s">
        <v>66</v>
      </c>
      <c r="B759">
        <v>10</v>
      </c>
      <c r="C759" t="s">
        <v>65</v>
      </c>
      <c r="D759">
        <v>50</v>
      </c>
      <c r="E759">
        <v>141.01106280317799</v>
      </c>
      <c r="F759">
        <v>11.9390864599587</v>
      </c>
      <c r="G759" t="s">
        <v>66</v>
      </c>
      <c r="H759">
        <v>10</v>
      </c>
      <c r="I759">
        <v>50</v>
      </c>
      <c r="J759">
        <v>4.4120623556257303</v>
      </c>
      <c r="K759" t="b">
        <f t="shared" si="57"/>
        <v>1</v>
      </c>
      <c r="L759">
        <f t="shared" si="58"/>
        <v>157.36221161876242</v>
      </c>
      <c r="M759">
        <f t="shared" si="59"/>
        <v>314.72442323752483</v>
      </c>
      <c r="N759">
        <f t="shared" si="55"/>
        <v>830.40744917552729</v>
      </c>
      <c r="O759" s="21">
        <f t="shared" si="56"/>
        <v>953.71037344704484</v>
      </c>
    </row>
    <row r="760" spans="1:15" x14ac:dyDescent="0.35">
      <c r="A760" t="s">
        <v>66</v>
      </c>
      <c r="B760">
        <v>10</v>
      </c>
      <c r="C760" t="s">
        <v>65</v>
      </c>
      <c r="D760">
        <v>51</v>
      </c>
      <c r="E760">
        <v>144.67480956276</v>
      </c>
      <c r="F760">
        <v>12.836493078097201</v>
      </c>
      <c r="G760" t="s">
        <v>66</v>
      </c>
      <c r="H760">
        <v>10</v>
      </c>
      <c r="I760">
        <v>51</v>
      </c>
      <c r="J760">
        <v>4.5393406604329902</v>
      </c>
      <c r="K760" t="b">
        <f t="shared" si="57"/>
        <v>1</v>
      </c>
      <c r="L760">
        <f t="shared" si="58"/>
        <v>162.05064330129019</v>
      </c>
      <c r="M760">
        <f t="shared" si="59"/>
        <v>324.10128660258039</v>
      </c>
      <c r="N760">
        <f t="shared" si="55"/>
        <v>855.14851346327282</v>
      </c>
      <c r="O760" s="21">
        <f t="shared" si="56"/>
        <v>982.12511091691022</v>
      </c>
    </row>
    <row r="761" spans="1:15" x14ac:dyDescent="0.35">
      <c r="A761" t="s">
        <v>66</v>
      </c>
      <c r="B761">
        <v>10</v>
      </c>
      <c r="C761" t="s">
        <v>65</v>
      </c>
      <c r="D761">
        <v>52</v>
      </c>
      <c r="E761">
        <v>147.90209264135299</v>
      </c>
      <c r="F761">
        <v>13.682739751520501</v>
      </c>
      <c r="G761" t="s">
        <v>66</v>
      </c>
      <c r="H761">
        <v>10</v>
      </c>
      <c r="I761">
        <v>52</v>
      </c>
      <c r="J761">
        <v>4.6603785918017602</v>
      </c>
      <c r="K761" t="b">
        <f t="shared" si="57"/>
        <v>1</v>
      </c>
      <c r="L761">
        <f t="shared" si="58"/>
        <v>166.24521098467525</v>
      </c>
      <c r="M761">
        <f t="shared" si="59"/>
        <v>332.49042196935051</v>
      </c>
      <c r="N761">
        <f t="shared" si="55"/>
        <v>877.28343527533116</v>
      </c>
      <c r="O761" s="21">
        <f t="shared" si="56"/>
        <v>1007.546733240456</v>
      </c>
    </row>
    <row r="762" spans="1:15" x14ac:dyDescent="0.35">
      <c r="A762" t="s">
        <v>66</v>
      </c>
      <c r="B762">
        <v>10</v>
      </c>
      <c r="C762" t="s">
        <v>65</v>
      </c>
      <c r="D762">
        <v>53</v>
      </c>
      <c r="E762">
        <v>151.145249268588</v>
      </c>
      <c r="F762">
        <v>14.5019049740933</v>
      </c>
      <c r="G762" t="s">
        <v>66</v>
      </c>
      <c r="H762">
        <v>10</v>
      </c>
      <c r="I762">
        <v>53</v>
      </c>
      <c r="J762">
        <v>4.7775787352861601</v>
      </c>
      <c r="K762" t="b">
        <f t="shared" si="57"/>
        <v>1</v>
      </c>
      <c r="L762">
        <f t="shared" si="58"/>
        <v>170.42473297796747</v>
      </c>
      <c r="M762">
        <f t="shared" si="59"/>
        <v>340.84946595593493</v>
      </c>
      <c r="N762">
        <f t="shared" si="55"/>
        <v>899.33896030589688</v>
      </c>
      <c r="O762" s="21">
        <f t="shared" si="56"/>
        <v>1032.8771695634391</v>
      </c>
    </row>
    <row r="763" spans="1:15" x14ac:dyDescent="0.35">
      <c r="A763" t="s">
        <v>66</v>
      </c>
      <c r="B763">
        <v>10</v>
      </c>
      <c r="C763" t="s">
        <v>65</v>
      </c>
      <c r="D763">
        <v>54</v>
      </c>
      <c r="E763">
        <v>154.38971621582499</v>
      </c>
      <c r="F763">
        <v>15.308008253554799</v>
      </c>
      <c r="G763" t="s">
        <v>66</v>
      </c>
      <c r="H763">
        <v>10</v>
      </c>
      <c r="I763">
        <v>54</v>
      </c>
      <c r="J763">
        <v>4.8922561588501496</v>
      </c>
      <c r="K763" t="b">
        <f t="shared" si="57"/>
        <v>1</v>
      </c>
      <c r="L763">
        <f t="shared" si="58"/>
        <v>174.58998062822994</v>
      </c>
      <c r="M763">
        <f t="shared" si="59"/>
        <v>349.17996125645988</v>
      </c>
      <c r="N763">
        <f t="shared" ref="N763:N826" si="60">M763/(1-0.621)</f>
        <v>921.31915898802072</v>
      </c>
      <c r="O763" s="21">
        <f t="shared" ref="O763:O826" si="61">M763/0.33</f>
        <v>1058.121094716545</v>
      </c>
    </row>
    <row r="764" spans="1:15" x14ac:dyDescent="0.35">
      <c r="A764" t="s">
        <v>66</v>
      </c>
      <c r="B764">
        <v>10</v>
      </c>
      <c r="C764" t="s">
        <v>65</v>
      </c>
      <c r="D764">
        <v>55</v>
      </c>
      <c r="E764">
        <v>157.62693310539601</v>
      </c>
      <c r="F764">
        <v>16.109144699591099</v>
      </c>
      <c r="G764" t="s">
        <v>66</v>
      </c>
      <c r="H764">
        <v>10</v>
      </c>
      <c r="I764">
        <v>55</v>
      </c>
      <c r="J764">
        <v>5.0051406775160601</v>
      </c>
      <c r="K764" t="b">
        <f t="shared" si="57"/>
        <v>1</v>
      </c>
      <c r="L764">
        <f t="shared" si="58"/>
        <v>178.74121848250317</v>
      </c>
      <c r="M764">
        <f t="shared" si="59"/>
        <v>357.48243696500634</v>
      </c>
      <c r="N764">
        <f t="shared" si="60"/>
        <v>943.22542734830165</v>
      </c>
      <c r="O764" s="21">
        <f t="shared" si="61"/>
        <v>1083.2801120151707</v>
      </c>
    </row>
    <row r="765" spans="1:15" x14ac:dyDescent="0.35">
      <c r="A765" t="s">
        <v>66</v>
      </c>
      <c r="B765">
        <v>10</v>
      </c>
      <c r="C765" t="s">
        <v>65</v>
      </c>
      <c r="D765">
        <v>56</v>
      </c>
      <c r="E765">
        <v>160.85185776344801</v>
      </c>
      <c r="F765">
        <v>16.9099412890046</v>
      </c>
      <c r="G765" t="s">
        <v>66</v>
      </c>
      <c r="H765">
        <v>10</v>
      </c>
      <c r="I765">
        <v>56</v>
      </c>
      <c r="J765">
        <v>5.11664600922317</v>
      </c>
      <c r="K765" t="b">
        <f t="shared" si="57"/>
        <v>1</v>
      </c>
      <c r="L765">
        <f t="shared" si="58"/>
        <v>182.87844506167576</v>
      </c>
      <c r="M765">
        <f t="shared" si="59"/>
        <v>365.75689012335152</v>
      </c>
      <c r="N765">
        <f t="shared" si="60"/>
        <v>965.05775758140248</v>
      </c>
      <c r="O765" s="21">
        <f t="shared" si="61"/>
        <v>1108.3542124950045</v>
      </c>
    </row>
    <row r="766" spans="1:15" x14ac:dyDescent="0.35">
      <c r="A766" t="s">
        <v>66</v>
      </c>
      <c r="B766">
        <v>10</v>
      </c>
      <c r="C766" t="s">
        <v>65</v>
      </c>
      <c r="D766">
        <v>57</v>
      </c>
      <c r="E766">
        <v>163.62344884184799</v>
      </c>
      <c r="F766">
        <v>17.665830066199401</v>
      </c>
      <c r="G766" t="s">
        <v>66</v>
      </c>
      <c r="H766">
        <v>10</v>
      </c>
      <c r="I766">
        <v>57</v>
      </c>
      <c r="J766">
        <v>5.2220582075476596</v>
      </c>
      <c r="K766" t="b">
        <f t="shared" si="57"/>
        <v>1</v>
      </c>
      <c r="L766">
        <f t="shared" si="58"/>
        <v>186.51133711559504</v>
      </c>
      <c r="M766">
        <f t="shared" si="59"/>
        <v>373.02267423119008</v>
      </c>
      <c r="N766">
        <f t="shared" si="60"/>
        <v>984.22869190287622</v>
      </c>
      <c r="O766" s="21">
        <f t="shared" si="61"/>
        <v>1130.3717400945154</v>
      </c>
    </row>
    <row r="767" spans="1:15" x14ac:dyDescent="0.35">
      <c r="A767" t="s">
        <v>66</v>
      </c>
      <c r="B767">
        <v>10</v>
      </c>
      <c r="C767" t="s">
        <v>65</v>
      </c>
      <c r="D767">
        <v>58</v>
      </c>
      <c r="E767">
        <v>166.409888687739</v>
      </c>
      <c r="F767">
        <v>18.3972582556924</v>
      </c>
      <c r="G767" t="s">
        <v>66</v>
      </c>
      <c r="H767">
        <v>10</v>
      </c>
      <c r="I767">
        <v>58</v>
      </c>
      <c r="J767">
        <v>5.3237238559010098</v>
      </c>
      <c r="K767" t="b">
        <f t="shared" si="57"/>
        <v>1</v>
      </c>
      <c r="L767">
        <f t="shared" si="58"/>
        <v>190.13087079933243</v>
      </c>
      <c r="M767">
        <f t="shared" si="59"/>
        <v>380.26174159866486</v>
      </c>
      <c r="N767">
        <f t="shared" si="60"/>
        <v>1003.329133505712</v>
      </c>
      <c r="O767" s="21">
        <f t="shared" si="61"/>
        <v>1152.308307874742</v>
      </c>
    </row>
    <row r="768" spans="1:15" x14ac:dyDescent="0.35">
      <c r="A768" t="s">
        <v>66</v>
      </c>
      <c r="B768">
        <v>10</v>
      </c>
      <c r="C768" t="s">
        <v>65</v>
      </c>
      <c r="D768">
        <v>59</v>
      </c>
      <c r="E768">
        <v>169.19900440206999</v>
      </c>
      <c r="F768">
        <v>19.115994207302599</v>
      </c>
      <c r="G768" t="s">
        <v>66</v>
      </c>
      <c r="H768">
        <v>10</v>
      </c>
      <c r="I768">
        <v>59</v>
      </c>
      <c r="J768">
        <v>5.4229483216708996</v>
      </c>
      <c r="K768" t="b">
        <f t="shared" si="57"/>
        <v>1</v>
      </c>
      <c r="L768">
        <f t="shared" si="58"/>
        <v>193.7379469310435</v>
      </c>
      <c r="M768">
        <f t="shared" si="59"/>
        <v>387.47589386208699</v>
      </c>
      <c r="N768">
        <f t="shared" si="60"/>
        <v>1022.3638360477229</v>
      </c>
      <c r="O768" s="21">
        <f t="shared" si="61"/>
        <v>1174.1693753396576</v>
      </c>
    </row>
    <row r="769" spans="1:15" x14ac:dyDescent="0.35">
      <c r="A769" t="s">
        <v>66</v>
      </c>
      <c r="B769">
        <v>10</v>
      </c>
      <c r="C769" t="s">
        <v>65</v>
      </c>
      <c r="D769">
        <v>60</v>
      </c>
      <c r="E769">
        <v>171.98373465245999</v>
      </c>
      <c r="F769">
        <v>19.828771338081001</v>
      </c>
      <c r="G769" t="s">
        <v>66</v>
      </c>
      <c r="H769">
        <v>10</v>
      </c>
      <c r="I769">
        <v>60</v>
      </c>
      <c r="J769">
        <v>5.5204706684951796</v>
      </c>
      <c r="K769" t="b">
        <f t="shared" si="57"/>
        <v>1</v>
      </c>
      <c r="L769">
        <f t="shared" si="58"/>
        <v>197.33297665903618</v>
      </c>
      <c r="M769">
        <f t="shared" si="59"/>
        <v>394.66595331807235</v>
      </c>
      <c r="N769">
        <f t="shared" si="60"/>
        <v>1041.334969176972</v>
      </c>
      <c r="O769" s="21">
        <f t="shared" si="61"/>
        <v>1195.9574342971889</v>
      </c>
    </row>
    <row r="770" spans="1:15" x14ac:dyDescent="0.35">
      <c r="A770" t="s">
        <v>66</v>
      </c>
      <c r="B770">
        <v>10</v>
      </c>
      <c r="C770" t="s">
        <v>65</v>
      </c>
      <c r="D770">
        <v>61</v>
      </c>
      <c r="E770">
        <v>174.759976429978</v>
      </c>
      <c r="F770">
        <v>20.539411986140799</v>
      </c>
      <c r="G770" t="s">
        <v>66</v>
      </c>
      <c r="H770">
        <v>10</v>
      </c>
      <c r="I770">
        <v>61</v>
      </c>
      <c r="J770">
        <v>5.61671980847456</v>
      </c>
      <c r="K770" t="b">
        <f t="shared" ref="K770:K833" si="62">H770=B770</f>
        <v>1</v>
      </c>
      <c r="L770">
        <f t="shared" ref="L770:L833" si="63">E770+F770+J770</f>
        <v>200.91610822459336</v>
      </c>
      <c r="M770">
        <f t="shared" ref="M770:M833" si="64">L770*2</f>
        <v>401.83221644918672</v>
      </c>
      <c r="N770">
        <f t="shared" si="60"/>
        <v>1060.2433151693581</v>
      </c>
      <c r="O770" s="21">
        <f t="shared" si="61"/>
        <v>1217.6733831793536</v>
      </c>
    </row>
    <row r="771" spans="1:15" x14ac:dyDescent="0.35">
      <c r="A771" t="s">
        <v>66</v>
      </c>
      <c r="B771">
        <v>10</v>
      </c>
      <c r="C771" t="s">
        <v>65</v>
      </c>
      <c r="D771">
        <v>62</v>
      </c>
      <c r="E771">
        <v>177.131962669888</v>
      </c>
      <c r="F771">
        <v>21.2116142016997</v>
      </c>
      <c r="G771" t="s">
        <v>66</v>
      </c>
      <c r="H771">
        <v>10</v>
      </c>
      <c r="I771">
        <v>62</v>
      </c>
      <c r="J771">
        <v>5.7075027056159202</v>
      </c>
      <c r="K771" t="b">
        <f t="shared" si="62"/>
        <v>1</v>
      </c>
      <c r="L771">
        <f t="shared" si="63"/>
        <v>204.05107957720361</v>
      </c>
      <c r="M771">
        <f t="shared" si="64"/>
        <v>408.10215915440722</v>
      </c>
      <c r="N771">
        <f t="shared" si="60"/>
        <v>1076.7866996158502</v>
      </c>
      <c r="O771" s="21">
        <f t="shared" si="61"/>
        <v>1236.6732095588097</v>
      </c>
    </row>
    <row r="772" spans="1:15" x14ac:dyDescent="0.35">
      <c r="A772" t="s">
        <v>66</v>
      </c>
      <c r="B772">
        <v>10</v>
      </c>
      <c r="C772" t="s">
        <v>65</v>
      </c>
      <c r="D772">
        <v>63</v>
      </c>
      <c r="E772">
        <v>179.51705120774</v>
      </c>
      <c r="F772">
        <v>21.862404558304</v>
      </c>
      <c r="G772" t="s">
        <v>66</v>
      </c>
      <c r="H772">
        <v>10</v>
      </c>
      <c r="I772">
        <v>63</v>
      </c>
      <c r="J772">
        <v>5.79491812894919</v>
      </c>
      <c r="K772" t="b">
        <f t="shared" si="62"/>
        <v>1</v>
      </c>
      <c r="L772">
        <f t="shared" si="63"/>
        <v>207.17437389499318</v>
      </c>
      <c r="M772">
        <f t="shared" si="64"/>
        <v>414.34874778998636</v>
      </c>
      <c r="N772">
        <f t="shared" si="60"/>
        <v>1093.2684638258215</v>
      </c>
      <c r="O772" s="21">
        <f t="shared" si="61"/>
        <v>1255.6022660302617</v>
      </c>
    </row>
    <row r="773" spans="1:15" x14ac:dyDescent="0.35">
      <c r="A773" t="s">
        <v>66</v>
      </c>
      <c r="B773">
        <v>10</v>
      </c>
      <c r="C773" t="s">
        <v>65</v>
      </c>
      <c r="D773">
        <v>64</v>
      </c>
      <c r="E773">
        <v>181.9052041601</v>
      </c>
      <c r="F773">
        <v>22.501512912988499</v>
      </c>
      <c r="G773" t="s">
        <v>66</v>
      </c>
      <c r="H773">
        <v>10</v>
      </c>
      <c r="I773">
        <v>64</v>
      </c>
      <c r="J773">
        <v>5.8801442094729701</v>
      </c>
      <c r="K773" t="b">
        <f t="shared" si="62"/>
        <v>1</v>
      </c>
      <c r="L773">
        <f t="shared" si="63"/>
        <v>210.28686128256146</v>
      </c>
      <c r="M773">
        <f t="shared" si="64"/>
        <v>420.57372256512292</v>
      </c>
      <c r="N773">
        <f t="shared" si="60"/>
        <v>1109.6931993802716</v>
      </c>
      <c r="O773" s="21">
        <f t="shared" si="61"/>
        <v>1274.4658259549178</v>
      </c>
    </row>
    <row r="774" spans="1:15" x14ac:dyDescent="0.35">
      <c r="A774" t="s">
        <v>66</v>
      </c>
      <c r="B774">
        <v>10</v>
      </c>
      <c r="C774" t="s">
        <v>65</v>
      </c>
      <c r="D774">
        <v>65</v>
      </c>
      <c r="E774">
        <v>184.276542469106</v>
      </c>
      <c r="F774">
        <v>23.134474317186001</v>
      </c>
      <c r="G774" t="s">
        <v>66</v>
      </c>
      <c r="H774">
        <v>10</v>
      </c>
      <c r="I774">
        <v>65</v>
      </c>
      <c r="J774">
        <v>5.9638554960159897</v>
      </c>
      <c r="K774" t="b">
        <f t="shared" si="62"/>
        <v>1</v>
      </c>
      <c r="L774">
        <f t="shared" si="63"/>
        <v>213.37487228230799</v>
      </c>
      <c r="M774">
        <f t="shared" si="64"/>
        <v>426.74974456461598</v>
      </c>
      <c r="N774">
        <f t="shared" si="60"/>
        <v>1125.9887719383007</v>
      </c>
      <c r="O774" s="21">
        <f t="shared" si="61"/>
        <v>1293.1810441352</v>
      </c>
    </row>
    <row r="775" spans="1:15" x14ac:dyDescent="0.35">
      <c r="A775" t="s">
        <v>66</v>
      </c>
      <c r="B775">
        <v>10</v>
      </c>
      <c r="C775" t="s">
        <v>65</v>
      </c>
      <c r="D775">
        <v>66</v>
      </c>
      <c r="E775">
        <v>186.62994752772599</v>
      </c>
      <c r="F775">
        <v>23.764417435027902</v>
      </c>
      <c r="G775" t="s">
        <v>66</v>
      </c>
      <c r="H775">
        <v>10</v>
      </c>
      <c r="I775">
        <v>66</v>
      </c>
      <c r="J775">
        <v>6.0464486354097202</v>
      </c>
      <c r="K775" t="b">
        <f t="shared" si="62"/>
        <v>1</v>
      </c>
      <c r="L775">
        <f t="shared" si="63"/>
        <v>216.4408135981636</v>
      </c>
      <c r="M775">
        <f t="shared" si="64"/>
        <v>432.8816271963272</v>
      </c>
      <c r="N775">
        <f t="shared" si="60"/>
        <v>1142.1678817845045</v>
      </c>
      <c r="O775" s="21">
        <f t="shared" si="61"/>
        <v>1311.762506655537</v>
      </c>
    </row>
    <row r="776" spans="1:15" x14ac:dyDescent="0.35">
      <c r="A776" t="s">
        <v>66</v>
      </c>
      <c r="B776">
        <v>10</v>
      </c>
      <c r="C776" t="s">
        <v>65</v>
      </c>
      <c r="D776">
        <v>67</v>
      </c>
      <c r="E776">
        <v>188.66374621254599</v>
      </c>
      <c r="F776">
        <v>24.355332471987499</v>
      </c>
      <c r="G776" t="s">
        <v>66</v>
      </c>
      <c r="H776">
        <v>10</v>
      </c>
      <c r="I776">
        <v>67</v>
      </c>
      <c r="J776">
        <v>6.1245992358667003</v>
      </c>
      <c r="K776" t="b">
        <f t="shared" si="62"/>
        <v>1</v>
      </c>
      <c r="L776">
        <f t="shared" si="63"/>
        <v>219.14367792040019</v>
      </c>
      <c r="M776">
        <f t="shared" si="64"/>
        <v>438.28735584080039</v>
      </c>
      <c r="N776">
        <f t="shared" si="60"/>
        <v>1156.4310180496052</v>
      </c>
      <c r="O776" s="21">
        <f t="shared" si="61"/>
        <v>1328.14350254788</v>
      </c>
    </row>
    <row r="777" spans="1:15" x14ac:dyDescent="0.35">
      <c r="A777" t="s">
        <v>66</v>
      </c>
      <c r="B777">
        <v>10</v>
      </c>
      <c r="C777" t="s">
        <v>65</v>
      </c>
      <c r="D777">
        <v>68</v>
      </c>
      <c r="E777">
        <v>190.71305479570401</v>
      </c>
      <c r="F777">
        <v>24.924289240007301</v>
      </c>
      <c r="G777" t="s">
        <v>66</v>
      </c>
      <c r="H777">
        <v>10</v>
      </c>
      <c r="I777">
        <v>68</v>
      </c>
      <c r="J777">
        <v>6.200062881789</v>
      </c>
      <c r="K777" t="b">
        <f t="shared" si="62"/>
        <v>1</v>
      </c>
      <c r="L777">
        <f t="shared" si="63"/>
        <v>221.83740691750032</v>
      </c>
      <c r="M777">
        <f t="shared" si="64"/>
        <v>443.67481383500063</v>
      </c>
      <c r="N777">
        <f t="shared" si="60"/>
        <v>1170.645946794197</v>
      </c>
      <c r="O777" s="21">
        <f t="shared" si="61"/>
        <v>1344.4691328333352</v>
      </c>
    </row>
    <row r="778" spans="1:15" x14ac:dyDescent="0.35">
      <c r="A778" t="s">
        <v>66</v>
      </c>
      <c r="B778">
        <v>10</v>
      </c>
      <c r="C778" t="s">
        <v>65</v>
      </c>
      <c r="D778">
        <v>69</v>
      </c>
      <c r="E778">
        <v>192.76798413210901</v>
      </c>
      <c r="F778">
        <v>25.4809977056821</v>
      </c>
      <c r="G778" t="s">
        <v>66</v>
      </c>
      <c r="H778">
        <v>10</v>
      </c>
      <c r="I778">
        <v>69</v>
      </c>
      <c r="J778">
        <v>6.2738095902264801</v>
      </c>
      <c r="K778" t="b">
        <f t="shared" si="62"/>
        <v>1</v>
      </c>
      <c r="L778">
        <f t="shared" si="63"/>
        <v>224.5227914280176</v>
      </c>
      <c r="M778">
        <f t="shared" si="64"/>
        <v>449.0455828560352</v>
      </c>
      <c r="N778">
        <f t="shared" si="60"/>
        <v>1184.8168413087999</v>
      </c>
      <c r="O778" s="21">
        <f t="shared" si="61"/>
        <v>1360.7441904728339</v>
      </c>
    </row>
    <row r="779" spans="1:15" x14ac:dyDescent="0.35">
      <c r="A779" t="s">
        <v>66</v>
      </c>
      <c r="B779">
        <v>10</v>
      </c>
      <c r="C779" t="s">
        <v>65</v>
      </c>
      <c r="D779">
        <v>70</v>
      </c>
      <c r="E779">
        <v>194.82287984165799</v>
      </c>
      <c r="F779">
        <v>26.030959934454</v>
      </c>
      <c r="G779" t="s">
        <v>66</v>
      </c>
      <c r="H779">
        <v>10</v>
      </c>
      <c r="I779">
        <v>70</v>
      </c>
      <c r="J779">
        <v>6.3463857514442701</v>
      </c>
      <c r="K779" t="b">
        <f t="shared" si="62"/>
        <v>1</v>
      </c>
      <c r="L779">
        <f t="shared" si="63"/>
        <v>227.20022552755626</v>
      </c>
      <c r="M779">
        <f t="shared" si="64"/>
        <v>454.40045105511251</v>
      </c>
      <c r="N779">
        <f t="shared" si="60"/>
        <v>1198.945781148054</v>
      </c>
      <c r="O779" s="21">
        <f t="shared" si="61"/>
        <v>1376.9710638033712</v>
      </c>
    </row>
    <row r="780" spans="1:15" x14ac:dyDescent="0.35">
      <c r="A780" t="s">
        <v>66</v>
      </c>
      <c r="B780">
        <v>10</v>
      </c>
      <c r="C780" t="s">
        <v>65</v>
      </c>
      <c r="D780">
        <v>71</v>
      </c>
      <c r="E780">
        <v>196.87450701341101</v>
      </c>
      <c r="F780">
        <v>26.577276323657198</v>
      </c>
      <c r="G780" t="s">
        <v>66</v>
      </c>
      <c r="H780">
        <v>10</v>
      </c>
      <c r="I780">
        <v>71</v>
      </c>
      <c r="J780">
        <v>6.4181076182102501</v>
      </c>
      <c r="K780" t="b">
        <f t="shared" si="62"/>
        <v>1</v>
      </c>
      <c r="L780">
        <f t="shared" si="63"/>
        <v>229.86989095527846</v>
      </c>
      <c r="M780">
        <f t="shared" si="64"/>
        <v>459.73978191055693</v>
      </c>
      <c r="N780">
        <f t="shared" si="60"/>
        <v>1213.0337253576699</v>
      </c>
      <c r="O780" s="21">
        <f t="shared" si="61"/>
        <v>1393.1508542744148</v>
      </c>
    </row>
    <row r="781" spans="1:15" x14ac:dyDescent="0.35">
      <c r="A781" t="s">
        <v>66</v>
      </c>
      <c r="B781">
        <v>10</v>
      </c>
      <c r="C781" t="s">
        <v>65</v>
      </c>
      <c r="D781">
        <v>72</v>
      </c>
      <c r="E781">
        <v>198.65337185296499</v>
      </c>
      <c r="F781">
        <v>27.082117983954301</v>
      </c>
      <c r="G781" t="s">
        <v>66</v>
      </c>
      <c r="H781">
        <v>10</v>
      </c>
      <c r="I781">
        <v>72</v>
      </c>
      <c r="J781">
        <v>6.4861036713256102</v>
      </c>
      <c r="K781" t="b">
        <f t="shared" si="62"/>
        <v>1</v>
      </c>
      <c r="L781">
        <f t="shared" si="63"/>
        <v>232.22159350824492</v>
      </c>
      <c r="M781">
        <f t="shared" si="64"/>
        <v>464.44318701648984</v>
      </c>
      <c r="N781">
        <f t="shared" si="60"/>
        <v>1225.4437652150127</v>
      </c>
      <c r="O781" s="21">
        <f t="shared" si="61"/>
        <v>1407.4035970196662</v>
      </c>
    </row>
    <row r="782" spans="1:15" x14ac:dyDescent="0.35">
      <c r="A782" t="s">
        <v>66</v>
      </c>
      <c r="B782">
        <v>10</v>
      </c>
      <c r="C782" t="s">
        <v>65</v>
      </c>
      <c r="D782">
        <v>73</v>
      </c>
      <c r="E782">
        <v>200.45154622976801</v>
      </c>
      <c r="F782">
        <v>27.563759619746701</v>
      </c>
      <c r="G782" t="s">
        <v>66</v>
      </c>
      <c r="H782">
        <v>10</v>
      </c>
      <c r="I782">
        <v>73</v>
      </c>
      <c r="J782">
        <v>6.55192017491746</v>
      </c>
      <c r="K782" t="b">
        <f t="shared" si="62"/>
        <v>1</v>
      </c>
      <c r="L782">
        <f t="shared" si="63"/>
        <v>234.56722602443216</v>
      </c>
      <c r="M782">
        <f t="shared" si="64"/>
        <v>469.13445204886432</v>
      </c>
      <c r="N782">
        <f t="shared" si="60"/>
        <v>1237.8217732160008</v>
      </c>
      <c r="O782" s="21">
        <f t="shared" si="61"/>
        <v>1421.6195516632251</v>
      </c>
    </row>
    <row r="783" spans="1:15" x14ac:dyDescent="0.35">
      <c r="A783" t="s">
        <v>66</v>
      </c>
      <c r="B783">
        <v>10</v>
      </c>
      <c r="C783" t="s">
        <v>65</v>
      </c>
      <c r="D783">
        <v>74</v>
      </c>
      <c r="E783">
        <v>202.25847712473501</v>
      </c>
      <c r="F783">
        <v>28.032555612720401</v>
      </c>
      <c r="G783" t="s">
        <v>66</v>
      </c>
      <c r="H783">
        <v>10</v>
      </c>
      <c r="I783">
        <v>74</v>
      </c>
      <c r="J783">
        <v>6.6163907763416896</v>
      </c>
      <c r="K783" t="b">
        <f t="shared" si="62"/>
        <v>1</v>
      </c>
      <c r="L783">
        <f t="shared" si="63"/>
        <v>236.90742351379708</v>
      </c>
      <c r="M783">
        <f t="shared" si="64"/>
        <v>473.81484702759417</v>
      </c>
      <c r="N783">
        <f t="shared" si="60"/>
        <v>1250.1711003366602</v>
      </c>
      <c r="O783" s="21">
        <f t="shared" si="61"/>
        <v>1435.8025667502852</v>
      </c>
    </row>
    <row r="784" spans="1:15" x14ac:dyDescent="0.35">
      <c r="A784" t="s">
        <v>66</v>
      </c>
      <c r="B784">
        <v>10</v>
      </c>
      <c r="C784" t="s">
        <v>65</v>
      </c>
      <c r="D784">
        <v>75</v>
      </c>
      <c r="E784">
        <v>204.06815506043699</v>
      </c>
      <c r="F784">
        <v>28.494349298065501</v>
      </c>
      <c r="G784" t="s">
        <v>66</v>
      </c>
      <c r="H784">
        <v>10</v>
      </c>
      <c r="I784">
        <v>75</v>
      </c>
      <c r="J784">
        <v>6.6799721836397303</v>
      </c>
      <c r="K784" t="b">
        <f t="shared" si="62"/>
        <v>1</v>
      </c>
      <c r="L784">
        <f t="shared" si="63"/>
        <v>239.24247654214224</v>
      </c>
      <c r="M784">
        <f t="shared" si="64"/>
        <v>478.48495308428448</v>
      </c>
      <c r="N784">
        <f t="shared" si="60"/>
        <v>1262.4932799057638</v>
      </c>
      <c r="O784" s="21">
        <f t="shared" si="61"/>
        <v>1449.9544032857104</v>
      </c>
    </row>
    <row r="785" spans="1:15" x14ac:dyDescent="0.35">
      <c r="A785" t="s">
        <v>66</v>
      </c>
      <c r="B785">
        <v>10</v>
      </c>
      <c r="C785" t="s">
        <v>65</v>
      </c>
      <c r="D785">
        <v>76</v>
      </c>
      <c r="E785">
        <v>205.87715738892601</v>
      </c>
      <c r="F785">
        <v>28.952418711042899</v>
      </c>
      <c r="G785" t="s">
        <v>66</v>
      </c>
      <c r="H785">
        <v>10</v>
      </c>
      <c r="I785">
        <v>76</v>
      </c>
      <c r="J785">
        <v>6.7429209533724999</v>
      </c>
      <c r="K785" t="b">
        <f t="shared" si="62"/>
        <v>1</v>
      </c>
      <c r="L785">
        <f t="shared" si="63"/>
        <v>241.57249705334141</v>
      </c>
      <c r="M785">
        <f t="shared" si="64"/>
        <v>483.14499410668282</v>
      </c>
      <c r="N785">
        <f t="shared" si="60"/>
        <v>1274.7889026561552</v>
      </c>
      <c r="O785" s="21">
        <f t="shared" si="61"/>
        <v>1464.0757397172206</v>
      </c>
    </row>
    <row r="786" spans="1:15" x14ac:dyDescent="0.35">
      <c r="A786" t="s">
        <v>66</v>
      </c>
      <c r="B786">
        <v>10</v>
      </c>
      <c r="C786" t="s">
        <v>65</v>
      </c>
      <c r="D786">
        <v>77</v>
      </c>
      <c r="E786">
        <v>207.484881830479</v>
      </c>
      <c r="F786">
        <v>29.4341186894634</v>
      </c>
      <c r="G786" t="s">
        <v>66</v>
      </c>
      <c r="H786">
        <v>10</v>
      </c>
      <c r="I786">
        <v>77</v>
      </c>
      <c r="J786">
        <v>6.8031143250776198</v>
      </c>
      <c r="K786" t="b">
        <f t="shared" si="62"/>
        <v>1</v>
      </c>
      <c r="L786">
        <f t="shared" si="63"/>
        <v>243.72211484502</v>
      </c>
      <c r="M786">
        <f t="shared" si="64"/>
        <v>487.44422969004</v>
      </c>
      <c r="N786">
        <f t="shared" si="60"/>
        <v>1286.1325321636939</v>
      </c>
      <c r="O786" s="21">
        <f t="shared" si="61"/>
        <v>1477.1037263334545</v>
      </c>
    </row>
    <row r="787" spans="1:15" x14ac:dyDescent="0.35">
      <c r="A787" t="s">
        <v>66</v>
      </c>
      <c r="B787">
        <v>10</v>
      </c>
      <c r="C787" t="s">
        <v>65</v>
      </c>
      <c r="D787">
        <v>78</v>
      </c>
      <c r="E787">
        <v>209.06459282888201</v>
      </c>
      <c r="F787">
        <v>29.887202464436101</v>
      </c>
      <c r="G787" t="s">
        <v>66</v>
      </c>
      <c r="H787">
        <v>10</v>
      </c>
      <c r="I787">
        <v>78</v>
      </c>
      <c r="J787">
        <v>6.8612088359835699</v>
      </c>
      <c r="K787" t="b">
        <f t="shared" si="62"/>
        <v>1</v>
      </c>
      <c r="L787">
        <f t="shared" si="63"/>
        <v>245.8130041293017</v>
      </c>
      <c r="M787">
        <f t="shared" si="64"/>
        <v>491.62600825860341</v>
      </c>
      <c r="N787">
        <f t="shared" si="60"/>
        <v>1297.1662487034391</v>
      </c>
      <c r="O787" s="21">
        <f t="shared" si="61"/>
        <v>1489.7757826018285</v>
      </c>
    </row>
    <row r="788" spans="1:15" x14ac:dyDescent="0.35">
      <c r="A788" t="s">
        <v>66</v>
      </c>
      <c r="B788">
        <v>10</v>
      </c>
      <c r="C788" t="s">
        <v>65</v>
      </c>
      <c r="D788">
        <v>79</v>
      </c>
      <c r="E788">
        <v>210.61053132823599</v>
      </c>
      <c r="F788">
        <v>30.3190058491295</v>
      </c>
      <c r="G788" t="s">
        <v>66</v>
      </c>
      <c r="H788">
        <v>10</v>
      </c>
      <c r="I788">
        <v>79</v>
      </c>
      <c r="J788">
        <v>6.9175390575207496</v>
      </c>
      <c r="K788" t="b">
        <f t="shared" si="62"/>
        <v>1</v>
      </c>
      <c r="L788">
        <f t="shared" si="63"/>
        <v>247.84707623488623</v>
      </c>
      <c r="M788">
        <f t="shared" si="64"/>
        <v>495.69415246977246</v>
      </c>
      <c r="N788">
        <f t="shared" si="60"/>
        <v>1307.9001384426713</v>
      </c>
      <c r="O788" s="21">
        <f t="shared" si="61"/>
        <v>1502.1034923326438</v>
      </c>
    </row>
    <row r="789" spans="1:15" x14ac:dyDescent="0.35">
      <c r="A789" t="s">
        <v>66</v>
      </c>
      <c r="B789">
        <v>10</v>
      </c>
      <c r="C789" t="s">
        <v>65</v>
      </c>
      <c r="D789">
        <v>80</v>
      </c>
      <c r="E789">
        <v>212.11994316355299</v>
      </c>
      <c r="F789">
        <v>30.733831409652002</v>
      </c>
      <c r="G789" t="s">
        <v>66</v>
      </c>
      <c r="H789">
        <v>10</v>
      </c>
      <c r="I789">
        <v>80</v>
      </c>
      <c r="J789">
        <v>6.9722809620376998</v>
      </c>
      <c r="K789" t="b">
        <f t="shared" si="62"/>
        <v>1</v>
      </c>
      <c r="L789">
        <f t="shared" si="63"/>
        <v>249.82605553524269</v>
      </c>
      <c r="M789">
        <f t="shared" si="64"/>
        <v>499.65211107048538</v>
      </c>
      <c r="N789">
        <f t="shared" si="60"/>
        <v>1318.343300977534</v>
      </c>
      <c r="O789" s="21">
        <f t="shared" si="61"/>
        <v>1514.097306274198</v>
      </c>
    </row>
    <row r="790" spans="1:15" x14ac:dyDescent="0.35">
      <c r="A790" t="s">
        <v>66</v>
      </c>
      <c r="B790">
        <v>10</v>
      </c>
      <c r="C790" t="s">
        <v>65</v>
      </c>
      <c r="D790">
        <v>81</v>
      </c>
      <c r="E790">
        <v>213.59176451491399</v>
      </c>
      <c r="F790">
        <v>31.134256584003101</v>
      </c>
      <c r="G790" t="s">
        <v>66</v>
      </c>
      <c r="H790">
        <v>10</v>
      </c>
      <c r="I790">
        <v>81</v>
      </c>
      <c r="J790">
        <v>7.0255340052572102</v>
      </c>
      <c r="K790" t="b">
        <f t="shared" si="62"/>
        <v>1</v>
      </c>
      <c r="L790">
        <f t="shared" si="63"/>
        <v>251.75155510417432</v>
      </c>
      <c r="M790">
        <f t="shared" si="64"/>
        <v>503.50311020834863</v>
      </c>
      <c r="N790">
        <f t="shared" si="60"/>
        <v>1328.5042485708407</v>
      </c>
      <c r="O790" s="21">
        <f t="shared" si="61"/>
        <v>1525.7670006313595</v>
      </c>
    </row>
    <row r="791" spans="1:15" x14ac:dyDescent="0.35">
      <c r="A791" t="s">
        <v>66</v>
      </c>
      <c r="B791">
        <v>10</v>
      </c>
      <c r="C791" t="s">
        <v>65</v>
      </c>
      <c r="D791">
        <v>82</v>
      </c>
      <c r="E791">
        <v>215.02587483725901</v>
      </c>
      <c r="F791">
        <v>31.521877472079201</v>
      </c>
      <c r="G791" t="s">
        <v>66</v>
      </c>
      <c r="H791">
        <v>10</v>
      </c>
      <c r="I791">
        <v>82</v>
      </c>
      <c r="J791">
        <v>7.07736165611131</v>
      </c>
      <c r="K791" t="b">
        <f t="shared" si="62"/>
        <v>1</v>
      </c>
      <c r="L791">
        <f t="shared" si="63"/>
        <v>253.62511396544954</v>
      </c>
      <c r="M791">
        <f t="shared" si="64"/>
        <v>507.25022793089909</v>
      </c>
      <c r="N791">
        <f t="shared" si="60"/>
        <v>1338.3911027200504</v>
      </c>
      <c r="O791" s="21">
        <f t="shared" si="61"/>
        <v>1537.1219028209061</v>
      </c>
    </row>
    <row r="792" spans="1:15" x14ac:dyDescent="0.35">
      <c r="A792" t="s">
        <v>66</v>
      </c>
      <c r="B792">
        <v>10</v>
      </c>
      <c r="C792" t="s">
        <v>65</v>
      </c>
      <c r="D792">
        <v>83</v>
      </c>
      <c r="E792">
        <v>216.42267297842</v>
      </c>
      <c r="F792">
        <v>31.897731277388999</v>
      </c>
      <c r="G792" t="s">
        <v>66</v>
      </c>
      <c r="H792">
        <v>10</v>
      </c>
      <c r="I792">
        <v>83</v>
      </c>
      <c r="J792">
        <v>7.1278109582770899</v>
      </c>
      <c r="K792" t="b">
        <f t="shared" si="62"/>
        <v>1</v>
      </c>
      <c r="L792">
        <f t="shared" si="63"/>
        <v>255.44821521408608</v>
      </c>
      <c r="M792">
        <f t="shared" si="64"/>
        <v>510.89643042817215</v>
      </c>
      <c r="N792">
        <f t="shared" si="60"/>
        <v>1348.0116897840953</v>
      </c>
      <c r="O792" s="21">
        <f t="shared" si="61"/>
        <v>1548.1710012974913</v>
      </c>
    </row>
    <row r="793" spans="1:15" x14ac:dyDescent="0.35">
      <c r="A793" t="s">
        <v>66</v>
      </c>
      <c r="B793">
        <v>10</v>
      </c>
      <c r="C793" t="s">
        <v>65</v>
      </c>
      <c r="D793">
        <v>84</v>
      </c>
      <c r="E793">
        <v>217.78283711093701</v>
      </c>
      <c r="F793">
        <v>32.2625359999914</v>
      </c>
      <c r="G793" t="s">
        <v>66</v>
      </c>
      <c r="H793">
        <v>10</v>
      </c>
      <c r="I793">
        <v>84</v>
      </c>
      <c r="J793">
        <v>7.1769216818171797</v>
      </c>
      <c r="K793" t="b">
        <f t="shared" si="62"/>
        <v>1</v>
      </c>
      <c r="L793">
        <f t="shared" si="63"/>
        <v>257.22229479274557</v>
      </c>
      <c r="M793">
        <f t="shared" si="64"/>
        <v>514.44458958549114</v>
      </c>
      <c r="N793">
        <f t="shared" si="60"/>
        <v>1357.3735872968105</v>
      </c>
      <c r="O793" s="21">
        <f t="shared" si="61"/>
        <v>1558.9229987439126</v>
      </c>
    </row>
    <row r="794" spans="1:15" x14ac:dyDescent="0.35">
      <c r="A794" t="s">
        <v>66</v>
      </c>
      <c r="B794">
        <v>10</v>
      </c>
      <c r="C794" t="s">
        <v>65</v>
      </c>
      <c r="D794">
        <v>85</v>
      </c>
      <c r="E794">
        <v>219.10718909970001</v>
      </c>
      <c r="F794">
        <v>32.6168263047512</v>
      </c>
      <c r="G794" t="s">
        <v>66</v>
      </c>
      <c r="H794">
        <v>10</v>
      </c>
      <c r="I794">
        <v>85</v>
      </c>
      <c r="J794">
        <v>7.22473041556038</v>
      </c>
      <c r="K794" t="b">
        <f t="shared" si="62"/>
        <v>1</v>
      </c>
      <c r="L794">
        <f t="shared" si="63"/>
        <v>258.9487458200116</v>
      </c>
      <c r="M794">
        <f t="shared" si="64"/>
        <v>517.89749164002319</v>
      </c>
      <c r="N794">
        <f t="shared" si="60"/>
        <v>1366.484146807449</v>
      </c>
      <c r="O794" s="21">
        <f t="shared" si="61"/>
        <v>1569.3863383031005</v>
      </c>
    </row>
    <row r="795" spans="1:15" x14ac:dyDescent="0.35">
      <c r="A795" t="s">
        <v>66</v>
      </c>
      <c r="B795">
        <v>10</v>
      </c>
      <c r="C795" t="s">
        <v>65</v>
      </c>
      <c r="D795">
        <v>86</v>
      </c>
      <c r="E795">
        <v>220.396618151485</v>
      </c>
      <c r="F795">
        <v>32.961030454710802</v>
      </c>
      <c r="G795" t="s">
        <v>66</v>
      </c>
      <c r="H795">
        <v>10</v>
      </c>
      <c r="I795">
        <v>86</v>
      </c>
      <c r="J795">
        <v>7.2712722710722497</v>
      </c>
      <c r="K795" t="b">
        <f t="shared" si="62"/>
        <v>1</v>
      </c>
      <c r="L795">
        <f t="shared" si="63"/>
        <v>260.62892087726806</v>
      </c>
      <c r="M795">
        <f t="shared" si="64"/>
        <v>521.25784175453612</v>
      </c>
      <c r="N795">
        <f t="shared" si="60"/>
        <v>1375.350505948644</v>
      </c>
      <c r="O795" s="21">
        <f t="shared" si="61"/>
        <v>1579.5692174379881</v>
      </c>
    </row>
    <row r="796" spans="1:15" x14ac:dyDescent="0.35">
      <c r="A796" t="s">
        <v>66</v>
      </c>
      <c r="B796">
        <v>10</v>
      </c>
      <c r="C796" t="s">
        <v>65</v>
      </c>
      <c r="D796">
        <v>87</v>
      </c>
      <c r="E796">
        <v>221.65203808366701</v>
      </c>
      <c r="F796">
        <v>33.295513819024499</v>
      </c>
      <c r="G796" t="s">
        <v>66</v>
      </c>
      <c r="H796">
        <v>10</v>
      </c>
      <c r="I796">
        <v>87</v>
      </c>
      <c r="J796">
        <v>7.3165815056268304</v>
      </c>
      <c r="K796" t="b">
        <f t="shared" si="62"/>
        <v>1</v>
      </c>
      <c r="L796">
        <f t="shared" si="63"/>
        <v>262.26413340831834</v>
      </c>
      <c r="M796">
        <f t="shared" si="64"/>
        <v>524.52826681663669</v>
      </c>
      <c r="N796">
        <f t="shared" si="60"/>
        <v>1383.9795958222603</v>
      </c>
      <c r="O796" s="21">
        <f t="shared" si="61"/>
        <v>1589.4795964140505</v>
      </c>
    </row>
    <row r="797" spans="1:15" x14ac:dyDescent="0.35">
      <c r="A797" t="s">
        <v>66</v>
      </c>
      <c r="B797">
        <v>10</v>
      </c>
      <c r="C797" t="s">
        <v>65</v>
      </c>
      <c r="D797">
        <v>88</v>
      </c>
      <c r="E797">
        <v>222.874363637676</v>
      </c>
      <c r="F797">
        <v>33.620603440994302</v>
      </c>
      <c r="G797" t="s">
        <v>66</v>
      </c>
      <c r="H797">
        <v>10</v>
      </c>
      <c r="I797">
        <v>88</v>
      </c>
      <c r="J797">
        <v>7.3606916875483197</v>
      </c>
      <c r="K797" t="b">
        <f t="shared" si="62"/>
        <v>1</v>
      </c>
      <c r="L797">
        <f t="shared" si="63"/>
        <v>263.8556587662186</v>
      </c>
      <c r="M797">
        <f t="shared" si="64"/>
        <v>527.71131753243719</v>
      </c>
      <c r="N797">
        <f t="shared" si="60"/>
        <v>1392.3781465235809</v>
      </c>
      <c r="O797" s="21">
        <f t="shared" si="61"/>
        <v>1599.1252046437489</v>
      </c>
    </row>
    <row r="798" spans="1:15" x14ac:dyDescent="0.35">
      <c r="A798" t="s">
        <v>66</v>
      </c>
      <c r="B798">
        <v>10</v>
      </c>
      <c r="C798" t="s">
        <v>65</v>
      </c>
      <c r="D798">
        <v>89</v>
      </c>
      <c r="E798">
        <v>224.06449756549901</v>
      </c>
      <c r="F798">
        <v>33.936601886303499</v>
      </c>
      <c r="G798" t="s">
        <v>66</v>
      </c>
      <c r="H798">
        <v>10</v>
      </c>
      <c r="I798">
        <v>89</v>
      </c>
      <c r="J798">
        <v>7.4036356902040898</v>
      </c>
      <c r="K798" t="b">
        <f t="shared" si="62"/>
        <v>1</v>
      </c>
      <c r="L798">
        <f t="shared" si="63"/>
        <v>265.40473514200664</v>
      </c>
      <c r="M798">
        <f t="shared" si="64"/>
        <v>530.80947028401329</v>
      </c>
      <c r="N798">
        <f t="shared" si="60"/>
        <v>1400.5526920422515</v>
      </c>
      <c r="O798" s="21">
        <f t="shared" si="61"/>
        <v>1608.5135463151917</v>
      </c>
    </row>
    <row r="799" spans="1:15" x14ac:dyDescent="0.35">
      <c r="A799" t="s">
        <v>66</v>
      </c>
      <c r="B799">
        <v>10</v>
      </c>
      <c r="C799" t="s">
        <v>65</v>
      </c>
      <c r="D799">
        <v>90</v>
      </c>
      <c r="E799">
        <v>225.22332379760701</v>
      </c>
      <c r="F799">
        <v>34.243795032981197</v>
      </c>
      <c r="G799" t="s">
        <v>66</v>
      </c>
      <c r="H799">
        <v>10</v>
      </c>
      <c r="I799">
        <v>90</v>
      </c>
      <c r="J799">
        <v>7.4454456387297103</v>
      </c>
      <c r="K799" t="b">
        <f t="shared" si="62"/>
        <v>1</v>
      </c>
      <c r="L799">
        <f t="shared" si="63"/>
        <v>266.91256446931794</v>
      </c>
      <c r="M799">
        <f t="shared" si="64"/>
        <v>533.82512893863588</v>
      </c>
      <c r="N799">
        <f t="shared" si="60"/>
        <v>1408.5095750359785</v>
      </c>
      <c r="O799" s="21">
        <f t="shared" si="61"/>
        <v>1617.6519058746542</v>
      </c>
    </row>
    <row r="800" spans="1:15" x14ac:dyDescent="0.35">
      <c r="A800" t="s">
        <v>66</v>
      </c>
      <c r="B800">
        <v>10</v>
      </c>
      <c r="C800" t="s">
        <v>65</v>
      </c>
      <c r="D800">
        <v>91</v>
      </c>
      <c r="E800">
        <v>226.351704033103</v>
      </c>
      <c r="F800">
        <v>34.542456444686898</v>
      </c>
      <c r="G800" t="s">
        <v>66</v>
      </c>
      <c r="H800">
        <v>10</v>
      </c>
      <c r="I800">
        <v>91</v>
      </c>
      <c r="J800">
        <v>7.4861528580765402</v>
      </c>
      <c r="K800" t="b">
        <f t="shared" si="62"/>
        <v>1</v>
      </c>
      <c r="L800">
        <f t="shared" si="63"/>
        <v>268.38031333586645</v>
      </c>
      <c r="M800">
        <f t="shared" si="64"/>
        <v>536.76062667173289</v>
      </c>
      <c r="N800">
        <f t="shared" si="60"/>
        <v>1416.2549516404563</v>
      </c>
      <c r="O800" s="21">
        <f t="shared" si="61"/>
        <v>1626.5473535507056</v>
      </c>
    </row>
    <row r="801" spans="1:15" x14ac:dyDescent="0.35">
      <c r="A801" t="s">
        <v>66</v>
      </c>
      <c r="B801">
        <v>10</v>
      </c>
      <c r="C801" t="s">
        <v>65</v>
      </c>
      <c r="D801">
        <v>92</v>
      </c>
      <c r="E801">
        <v>227.45047624606599</v>
      </c>
      <c r="F801">
        <v>34.832849822956597</v>
      </c>
      <c r="G801" t="s">
        <v>66</v>
      </c>
      <c r="H801">
        <v>10</v>
      </c>
      <c r="I801">
        <v>92</v>
      </c>
      <c r="J801">
        <v>7.5257878375516798</v>
      </c>
      <c r="K801" t="b">
        <f t="shared" si="62"/>
        <v>1</v>
      </c>
      <c r="L801">
        <f t="shared" si="63"/>
        <v>269.80911390657423</v>
      </c>
      <c r="M801">
        <f t="shared" si="64"/>
        <v>539.61822781314845</v>
      </c>
      <c r="N801">
        <f t="shared" si="60"/>
        <v>1423.794796340761</v>
      </c>
      <c r="O801" s="21">
        <f t="shared" si="61"/>
        <v>1635.2067509489345</v>
      </c>
    </row>
    <row r="802" spans="1:15" x14ac:dyDescent="0.35">
      <c r="A802" t="s">
        <v>66</v>
      </c>
      <c r="B802">
        <v>10</v>
      </c>
      <c r="C802" t="s">
        <v>65</v>
      </c>
      <c r="D802">
        <v>93</v>
      </c>
      <c r="E802">
        <v>228.52045425594599</v>
      </c>
      <c r="F802">
        <v>35.115230384300297</v>
      </c>
      <c r="G802" t="s">
        <v>66</v>
      </c>
      <c r="H802">
        <v>10</v>
      </c>
      <c r="I802">
        <v>93</v>
      </c>
      <c r="J802">
        <v>7.5643802134120497</v>
      </c>
      <c r="K802" t="b">
        <f t="shared" si="62"/>
        <v>1</v>
      </c>
      <c r="L802">
        <f t="shared" si="63"/>
        <v>271.20006485365832</v>
      </c>
      <c r="M802">
        <f t="shared" si="64"/>
        <v>542.40012970731664</v>
      </c>
      <c r="N802">
        <f t="shared" si="60"/>
        <v>1431.1349068794634</v>
      </c>
      <c r="O802" s="21">
        <f t="shared" si="61"/>
        <v>1643.6367566888382</v>
      </c>
    </row>
    <row r="803" spans="1:15" x14ac:dyDescent="0.35">
      <c r="A803" t="s">
        <v>66</v>
      </c>
      <c r="B803">
        <v>10</v>
      </c>
      <c r="C803" t="s">
        <v>65</v>
      </c>
      <c r="D803">
        <v>94</v>
      </c>
      <c r="E803">
        <v>229.562427880624</v>
      </c>
      <c r="F803">
        <v>35.389845639834903</v>
      </c>
      <c r="G803" t="s">
        <v>66</v>
      </c>
      <c r="H803">
        <v>10</v>
      </c>
      <c r="I803">
        <v>94</v>
      </c>
      <c r="J803">
        <v>7.6019587663988002</v>
      </c>
      <c r="K803" t="b">
        <f t="shared" si="62"/>
        <v>1</v>
      </c>
      <c r="L803">
        <f t="shared" si="63"/>
        <v>272.55423228685771</v>
      </c>
      <c r="M803">
        <f t="shared" si="64"/>
        <v>545.10846457371542</v>
      </c>
      <c r="N803">
        <f t="shared" si="60"/>
        <v>1438.280909165476</v>
      </c>
      <c r="O803" s="21">
        <f t="shared" si="61"/>
        <v>1651.8438320415619</v>
      </c>
    </row>
    <row r="804" spans="1:15" x14ac:dyDescent="0.35">
      <c r="A804" t="s">
        <v>66</v>
      </c>
      <c r="B804">
        <v>10</v>
      </c>
      <c r="C804" t="s">
        <v>65</v>
      </c>
      <c r="D804">
        <v>95</v>
      </c>
      <c r="E804">
        <v>230.57716340063999</v>
      </c>
      <c r="F804">
        <v>35.656935846618403</v>
      </c>
      <c r="G804" t="s">
        <v>66</v>
      </c>
      <c r="H804">
        <v>10</v>
      </c>
      <c r="I804">
        <v>95</v>
      </c>
      <c r="J804">
        <v>7.6385514301781701</v>
      </c>
      <c r="K804" t="b">
        <f t="shared" si="62"/>
        <v>1</v>
      </c>
      <c r="L804">
        <f t="shared" si="63"/>
        <v>273.87265067743652</v>
      </c>
      <c r="M804">
        <f t="shared" si="64"/>
        <v>547.74530135487305</v>
      </c>
      <c r="N804">
        <f t="shared" si="60"/>
        <v>1445.2382621500608</v>
      </c>
      <c r="O804" s="21">
        <f t="shared" si="61"/>
        <v>1659.8342465299183</v>
      </c>
    </row>
    <row r="805" spans="1:15" x14ac:dyDescent="0.35">
      <c r="A805" t="s">
        <v>66</v>
      </c>
      <c r="B805">
        <v>10</v>
      </c>
      <c r="C805" t="s">
        <v>65</v>
      </c>
      <c r="D805">
        <v>96</v>
      </c>
      <c r="E805">
        <v>231.56540418198799</v>
      </c>
      <c r="F805">
        <v>35.916734281852399</v>
      </c>
      <c r="G805" t="s">
        <v>66</v>
      </c>
      <c r="H805">
        <v>10</v>
      </c>
      <c r="I805">
        <v>96</v>
      </c>
      <c r="J805">
        <v>7.6741853071181803</v>
      </c>
      <c r="K805" t="b">
        <f t="shared" si="62"/>
        <v>1</v>
      </c>
      <c r="L805">
        <f t="shared" si="63"/>
        <v>275.15632377095858</v>
      </c>
      <c r="M805">
        <f t="shared" si="64"/>
        <v>550.31264754191716</v>
      </c>
      <c r="N805">
        <f t="shared" si="60"/>
        <v>1452.0122626435809</v>
      </c>
      <c r="O805" s="21">
        <f t="shared" si="61"/>
        <v>1667.614083460355</v>
      </c>
    </row>
    <row r="806" spans="1:15" x14ac:dyDescent="0.35">
      <c r="A806" t="s">
        <v>66</v>
      </c>
      <c r="B806">
        <v>10</v>
      </c>
      <c r="C806" t="s">
        <v>65</v>
      </c>
      <c r="D806">
        <v>97</v>
      </c>
      <c r="E806">
        <v>232.52787137215901</v>
      </c>
      <c r="F806">
        <v>36.169467424416197</v>
      </c>
      <c r="G806" t="s">
        <v>66</v>
      </c>
      <c r="H806">
        <v>10</v>
      </c>
      <c r="I806">
        <v>97</v>
      </c>
      <c r="J806">
        <v>7.7088866886548901</v>
      </c>
      <c r="K806" t="b">
        <f t="shared" si="62"/>
        <v>1</v>
      </c>
      <c r="L806">
        <f t="shared" si="63"/>
        <v>276.4062254852301</v>
      </c>
      <c r="M806">
        <f t="shared" si="64"/>
        <v>552.81245097046019</v>
      </c>
      <c r="N806">
        <f t="shared" si="60"/>
        <v>1458.6080500539847</v>
      </c>
      <c r="O806" s="21">
        <f t="shared" si="61"/>
        <v>1675.1892453650307</v>
      </c>
    </row>
    <row r="807" spans="1:15" x14ac:dyDescent="0.35">
      <c r="A807" t="s">
        <v>66</v>
      </c>
      <c r="B807">
        <v>10</v>
      </c>
      <c r="C807" t="s">
        <v>65</v>
      </c>
      <c r="D807">
        <v>98</v>
      </c>
      <c r="E807">
        <v>233.46526462203701</v>
      </c>
      <c r="F807">
        <v>36.415355090533701</v>
      </c>
      <c r="G807" t="s">
        <v>66</v>
      </c>
      <c r="H807">
        <v>10</v>
      </c>
      <c r="I807">
        <v>98</v>
      </c>
      <c r="J807">
        <v>7.7426810782882596</v>
      </c>
      <c r="K807" t="b">
        <f t="shared" si="62"/>
        <v>1</v>
      </c>
      <c r="L807">
        <f t="shared" si="63"/>
        <v>277.62330079085899</v>
      </c>
      <c r="M807">
        <f t="shared" si="64"/>
        <v>555.24660158171798</v>
      </c>
      <c r="N807">
        <f t="shared" si="60"/>
        <v>1465.0306110335566</v>
      </c>
      <c r="O807" s="21">
        <f t="shared" si="61"/>
        <v>1682.5654593385393</v>
      </c>
    </row>
    <row r="808" spans="1:15" x14ac:dyDescent="0.35">
      <c r="A808" t="s">
        <v>66</v>
      </c>
      <c r="B808">
        <v>10</v>
      </c>
      <c r="C808" t="s">
        <v>65</v>
      </c>
      <c r="D808">
        <v>99</v>
      </c>
      <c r="E808">
        <v>234.37826280778199</v>
      </c>
      <c r="F808">
        <v>36.6546105491595</v>
      </c>
      <c r="G808" t="s">
        <v>66</v>
      </c>
      <c r="H808">
        <v>10</v>
      </c>
      <c r="I808">
        <v>99</v>
      </c>
      <c r="J808">
        <v>7.7755932158759196</v>
      </c>
      <c r="K808" t="b">
        <f t="shared" si="62"/>
        <v>1</v>
      </c>
      <c r="L808">
        <f t="shared" si="63"/>
        <v>278.80846657281739</v>
      </c>
      <c r="M808">
        <f t="shared" si="64"/>
        <v>557.61693314563479</v>
      </c>
      <c r="N808">
        <f t="shared" si="60"/>
        <v>1471.2847840254217</v>
      </c>
      <c r="O808" s="21">
        <f t="shared" si="61"/>
        <v>1689.7482822594993</v>
      </c>
    </row>
    <row r="809" spans="1:15" x14ac:dyDescent="0.35">
      <c r="A809" t="s">
        <v>66</v>
      </c>
      <c r="B809">
        <v>10</v>
      </c>
      <c r="C809" t="s">
        <v>65</v>
      </c>
      <c r="D809">
        <v>100</v>
      </c>
      <c r="E809">
        <v>235.267524738833</v>
      </c>
      <c r="F809">
        <v>36.887440630751698</v>
      </c>
      <c r="G809" t="s">
        <v>66</v>
      </c>
      <c r="H809">
        <v>10</v>
      </c>
      <c r="I809">
        <v>100</v>
      </c>
      <c r="J809">
        <v>7.8076471023531999</v>
      </c>
      <c r="K809" t="b">
        <f t="shared" si="62"/>
        <v>1</v>
      </c>
      <c r="L809">
        <f t="shared" si="63"/>
        <v>279.96261247193792</v>
      </c>
      <c r="M809">
        <f t="shared" si="64"/>
        <v>559.92522494387583</v>
      </c>
      <c r="N809">
        <f t="shared" si="60"/>
        <v>1477.3752637041578</v>
      </c>
      <c r="O809" s="21">
        <f t="shared" si="61"/>
        <v>1696.7431058905327</v>
      </c>
    </row>
    <row r="810" spans="1:15" x14ac:dyDescent="0.35">
      <c r="A810" t="s">
        <v>66</v>
      </c>
      <c r="B810">
        <v>12</v>
      </c>
      <c r="C810" t="s">
        <v>65</v>
      </c>
      <c r="D810">
        <v>0</v>
      </c>
      <c r="E810">
        <v>0</v>
      </c>
      <c r="F810">
        <v>0</v>
      </c>
      <c r="G810" t="s">
        <v>66</v>
      </c>
      <c r="H810">
        <v>12</v>
      </c>
      <c r="I810">
        <v>0</v>
      </c>
      <c r="J810">
        <v>0</v>
      </c>
      <c r="K810" t="b">
        <f t="shared" si="62"/>
        <v>1</v>
      </c>
      <c r="L810">
        <f t="shared" si="63"/>
        <v>0</v>
      </c>
      <c r="M810">
        <f t="shared" si="64"/>
        <v>0</v>
      </c>
      <c r="N810">
        <f t="shared" si="60"/>
        <v>0</v>
      </c>
      <c r="O810" s="21">
        <f t="shared" si="61"/>
        <v>0</v>
      </c>
    </row>
    <row r="811" spans="1:15" x14ac:dyDescent="0.35">
      <c r="A811" t="s">
        <v>66</v>
      </c>
      <c r="B811">
        <v>12</v>
      </c>
      <c r="C811" t="s">
        <v>65</v>
      </c>
      <c r="D811">
        <v>1</v>
      </c>
      <c r="E811">
        <v>6.9740312142158395E-2</v>
      </c>
      <c r="F811" s="15">
        <v>3.6226852853735002E-4</v>
      </c>
      <c r="G811" t="s">
        <v>66</v>
      </c>
      <c r="H811">
        <v>12</v>
      </c>
      <c r="I811">
        <v>1</v>
      </c>
      <c r="J811" s="15">
        <v>7.8894000685645997E-4</v>
      </c>
      <c r="K811" t="b">
        <f t="shared" si="62"/>
        <v>1</v>
      </c>
      <c r="L811">
        <f t="shared" si="63"/>
        <v>7.0891520677552208E-2</v>
      </c>
      <c r="M811">
        <f t="shared" si="64"/>
        <v>0.14178304135510442</v>
      </c>
      <c r="N811">
        <f t="shared" si="60"/>
        <v>0.37409773444618577</v>
      </c>
      <c r="O811" s="21">
        <f t="shared" si="61"/>
        <v>0.42964557986395274</v>
      </c>
    </row>
    <row r="812" spans="1:15" x14ac:dyDescent="0.35">
      <c r="A812" t="s">
        <v>66</v>
      </c>
      <c r="B812">
        <v>12</v>
      </c>
      <c r="C812" t="s">
        <v>65</v>
      </c>
      <c r="D812">
        <v>2</v>
      </c>
      <c r="E812">
        <v>0.15691570231985599</v>
      </c>
      <c r="F812">
        <v>1.1665046618902801E-3</v>
      </c>
      <c r="G812" t="s">
        <v>66</v>
      </c>
      <c r="H812">
        <v>12</v>
      </c>
      <c r="I812">
        <v>2</v>
      </c>
      <c r="J812">
        <v>2.2712552412033002E-3</v>
      </c>
      <c r="K812" t="b">
        <f t="shared" si="62"/>
        <v>1</v>
      </c>
      <c r="L812">
        <f t="shared" si="63"/>
        <v>0.16035346222294958</v>
      </c>
      <c r="M812">
        <f t="shared" si="64"/>
        <v>0.32070692444589916</v>
      </c>
      <c r="N812">
        <f t="shared" si="60"/>
        <v>0.84619241278601365</v>
      </c>
      <c r="O812" s="21">
        <f t="shared" si="61"/>
        <v>0.97183916498757317</v>
      </c>
    </row>
    <row r="813" spans="1:15" x14ac:dyDescent="0.35">
      <c r="A813" t="s">
        <v>66</v>
      </c>
      <c r="B813">
        <v>12</v>
      </c>
      <c r="C813" t="s">
        <v>65</v>
      </c>
      <c r="D813">
        <v>3</v>
      </c>
      <c r="E813">
        <v>0.26588494004197799</v>
      </c>
      <c r="F813">
        <v>2.51265828708223E-3</v>
      </c>
      <c r="G813" t="s">
        <v>66</v>
      </c>
      <c r="H813">
        <v>12</v>
      </c>
      <c r="I813">
        <v>3</v>
      </c>
      <c r="J813">
        <v>4.4433870577763801E-3</v>
      </c>
      <c r="K813" t="b">
        <f t="shared" si="62"/>
        <v>1</v>
      </c>
      <c r="L813">
        <f t="shared" si="63"/>
        <v>0.2728409853868366</v>
      </c>
      <c r="M813">
        <f t="shared" si="64"/>
        <v>0.5456819707736732</v>
      </c>
      <c r="N813">
        <f t="shared" si="60"/>
        <v>1.439794118136341</v>
      </c>
      <c r="O813" s="21">
        <f t="shared" si="61"/>
        <v>1.6535817296171915</v>
      </c>
    </row>
    <row r="814" spans="1:15" x14ac:dyDescent="0.35">
      <c r="A814" t="s">
        <v>66</v>
      </c>
      <c r="B814">
        <v>12</v>
      </c>
      <c r="C814" t="s">
        <v>65</v>
      </c>
      <c r="D814">
        <v>4</v>
      </c>
      <c r="E814">
        <v>0.40209648719463198</v>
      </c>
      <c r="F814">
        <v>4.5259830233179404E-3</v>
      </c>
      <c r="G814" t="s">
        <v>66</v>
      </c>
      <c r="H814">
        <v>12</v>
      </c>
      <c r="I814">
        <v>4</v>
      </c>
      <c r="J814">
        <v>7.3690588860946798E-3</v>
      </c>
      <c r="K814" t="b">
        <f t="shared" si="62"/>
        <v>1</v>
      </c>
      <c r="L814">
        <f t="shared" si="63"/>
        <v>0.41399152910404458</v>
      </c>
      <c r="M814">
        <f t="shared" si="64"/>
        <v>0.82798305820808915</v>
      </c>
      <c r="N814">
        <f t="shared" si="60"/>
        <v>2.1846518686229266</v>
      </c>
      <c r="O814" s="21">
        <f t="shared" si="61"/>
        <v>2.5090395703275425</v>
      </c>
    </row>
    <row r="815" spans="1:15" x14ac:dyDescent="0.35">
      <c r="A815" t="s">
        <v>66</v>
      </c>
      <c r="B815">
        <v>12</v>
      </c>
      <c r="C815" t="s">
        <v>65</v>
      </c>
      <c r="D815">
        <v>5</v>
      </c>
      <c r="E815">
        <v>0.57236092113544701</v>
      </c>
      <c r="F815">
        <v>7.3633526672159796E-3</v>
      </c>
      <c r="G815" t="s">
        <v>66</v>
      </c>
      <c r="H815">
        <v>12</v>
      </c>
      <c r="I815">
        <v>5</v>
      </c>
      <c r="J815">
        <v>1.1168468276841301E-2</v>
      </c>
      <c r="K815" t="b">
        <f t="shared" si="62"/>
        <v>1</v>
      </c>
      <c r="L815">
        <f t="shared" si="63"/>
        <v>0.59089274207950426</v>
      </c>
      <c r="M815">
        <f t="shared" si="64"/>
        <v>1.1817854841590085</v>
      </c>
      <c r="N815">
        <f t="shared" si="60"/>
        <v>3.1181675043773311</v>
      </c>
      <c r="O815" s="21">
        <f t="shared" si="61"/>
        <v>3.5811681338151771</v>
      </c>
    </row>
    <row r="816" spans="1:15" x14ac:dyDescent="0.35">
      <c r="A816" t="s">
        <v>66</v>
      </c>
      <c r="B816">
        <v>12</v>
      </c>
      <c r="C816" t="s">
        <v>65</v>
      </c>
      <c r="D816">
        <v>6</v>
      </c>
      <c r="E816">
        <v>0.78519146356146796</v>
      </c>
      <c r="F816">
        <v>1.1221157033983801E-2</v>
      </c>
      <c r="G816" t="s">
        <v>66</v>
      </c>
      <c r="H816">
        <v>12</v>
      </c>
      <c r="I816">
        <v>6</v>
      </c>
      <c r="J816">
        <v>1.60163087931935E-2</v>
      </c>
      <c r="K816" t="b">
        <f t="shared" si="62"/>
        <v>1</v>
      </c>
      <c r="L816">
        <f t="shared" si="63"/>
        <v>0.8124289293886453</v>
      </c>
      <c r="M816">
        <f t="shared" si="64"/>
        <v>1.6248578587772906</v>
      </c>
      <c r="N816">
        <f t="shared" si="60"/>
        <v>4.2872239017870468</v>
      </c>
      <c r="O816" s="21">
        <f t="shared" si="61"/>
        <v>4.9238116932645166</v>
      </c>
    </row>
    <row r="817" spans="1:15" x14ac:dyDescent="0.35">
      <c r="A817" t="s">
        <v>66</v>
      </c>
      <c r="B817">
        <v>12</v>
      </c>
      <c r="C817" t="s">
        <v>65</v>
      </c>
      <c r="D817">
        <v>7</v>
      </c>
      <c r="E817">
        <v>1.0512296415939899</v>
      </c>
      <c r="F817">
        <v>1.6345172034982099E-2</v>
      </c>
      <c r="G817" t="s">
        <v>66</v>
      </c>
      <c r="H817">
        <v>12</v>
      </c>
      <c r="I817">
        <v>7</v>
      </c>
      <c r="J817">
        <v>2.2145937510301601E-2</v>
      </c>
      <c r="K817" t="b">
        <f t="shared" si="62"/>
        <v>1</v>
      </c>
      <c r="L817">
        <f t="shared" si="63"/>
        <v>1.0897207511392737</v>
      </c>
      <c r="M817">
        <f t="shared" si="64"/>
        <v>2.1794415022785474</v>
      </c>
      <c r="N817">
        <f t="shared" si="60"/>
        <v>5.750505283056853</v>
      </c>
      <c r="O817" s="21">
        <f t="shared" si="61"/>
        <v>6.6043681887228702</v>
      </c>
    </row>
    <row r="818" spans="1:15" x14ac:dyDescent="0.35">
      <c r="A818" t="s">
        <v>66</v>
      </c>
      <c r="B818">
        <v>12</v>
      </c>
      <c r="C818" t="s">
        <v>65</v>
      </c>
      <c r="D818">
        <v>8</v>
      </c>
      <c r="E818">
        <v>1.38377736413465</v>
      </c>
      <c r="F818">
        <v>2.30428975424922E-2</v>
      </c>
      <c r="G818" t="s">
        <v>66</v>
      </c>
      <c r="H818">
        <v>12</v>
      </c>
      <c r="I818">
        <v>8</v>
      </c>
      <c r="J818">
        <v>2.9858425690043301E-2</v>
      </c>
      <c r="K818" t="b">
        <f t="shared" si="62"/>
        <v>1</v>
      </c>
      <c r="L818">
        <f t="shared" si="63"/>
        <v>1.4366786873671855</v>
      </c>
      <c r="M818">
        <f t="shared" si="64"/>
        <v>2.873357374734371</v>
      </c>
      <c r="N818">
        <f t="shared" si="60"/>
        <v>7.5814178752885777</v>
      </c>
      <c r="O818" s="21">
        <f t="shared" si="61"/>
        <v>8.7071435598011231</v>
      </c>
    </row>
    <row r="819" spans="1:15" x14ac:dyDescent="0.35">
      <c r="A819" t="s">
        <v>66</v>
      </c>
      <c r="B819">
        <v>12</v>
      </c>
      <c r="C819" t="s">
        <v>65</v>
      </c>
      <c r="D819">
        <v>9</v>
      </c>
      <c r="E819">
        <v>1.7994620173104701</v>
      </c>
      <c r="F819">
        <v>3.1698979980454199E-2</v>
      </c>
      <c r="G819" t="s">
        <v>66</v>
      </c>
      <c r="H819">
        <v>12</v>
      </c>
      <c r="I819">
        <v>9</v>
      </c>
      <c r="J819">
        <v>3.9536108045850497E-2</v>
      </c>
      <c r="K819" t="b">
        <f t="shared" si="62"/>
        <v>1</v>
      </c>
      <c r="L819">
        <f t="shared" si="63"/>
        <v>1.8706971053367747</v>
      </c>
      <c r="M819">
        <f t="shared" si="64"/>
        <v>3.7413942106735494</v>
      </c>
      <c r="N819">
        <f t="shared" si="60"/>
        <v>9.8717525347587056</v>
      </c>
      <c r="O819" s="21">
        <f t="shared" si="61"/>
        <v>11.33755821416227</v>
      </c>
    </row>
    <row r="820" spans="1:15" x14ac:dyDescent="0.35">
      <c r="A820" t="s">
        <v>66</v>
      </c>
      <c r="B820">
        <v>12</v>
      </c>
      <c r="C820" t="s">
        <v>65</v>
      </c>
      <c r="D820">
        <v>10</v>
      </c>
      <c r="E820">
        <v>2.31906783378024</v>
      </c>
      <c r="F820">
        <v>4.2794490814873902E-2</v>
      </c>
      <c r="G820" t="s">
        <v>66</v>
      </c>
      <c r="H820">
        <v>12</v>
      </c>
      <c r="I820">
        <v>10</v>
      </c>
      <c r="J820">
        <v>5.1660831322141297E-2</v>
      </c>
      <c r="K820" t="b">
        <f t="shared" si="62"/>
        <v>1</v>
      </c>
      <c r="L820">
        <f t="shared" si="63"/>
        <v>2.4135231559172552</v>
      </c>
      <c r="M820">
        <f t="shared" si="64"/>
        <v>4.8270463118345104</v>
      </c>
      <c r="N820">
        <f t="shared" si="60"/>
        <v>12.736269952069948</v>
      </c>
      <c r="O820" s="21">
        <f t="shared" si="61"/>
        <v>14.627413066165182</v>
      </c>
    </row>
    <row r="821" spans="1:15" x14ac:dyDescent="0.35">
      <c r="A821" t="s">
        <v>66</v>
      </c>
      <c r="B821">
        <v>12</v>
      </c>
      <c r="C821" t="s">
        <v>65</v>
      </c>
      <c r="D821">
        <v>11</v>
      </c>
      <c r="E821">
        <v>2.96857510436746</v>
      </c>
      <c r="F821">
        <v>5.6931024911256699E-2</v>
      </c>
      <c r="G821" t="s">
        <v>66</v>
      </c>
      <c r="H821">
        <v>12</v>
      </c>
      <c r="I821">
        <v>11</v>
      </c>
      <c r="J821">
        <v>6.6837542891038396E-2</v>
      </c>
      <c r="K821" t="b">
        <f t="shared" si="62"/>
        <v>1</v>
      </c>
      <c r="L821">
        <f t="shared" si="63"/>
        <v>3.092343672169755</v>
      </c>
      <c r="M821">
        <f t="shared" si="64"/>
        <v>6.1846873443395101</v>
      </c>
      <c r="N821">
        <f t="shared" si="60"/>
        <v>16.318436264748048</v>
      </c>
      <c r="O821" s="21">
        <f t="shared" si="61"/>
        <v>18.741476801028817</v>
      </c>
    </row>
    <row r="822" spans="1:15" x14ac:dyDescent="0.35">
      <c r="A822" t="s">
        <v>66</v>
      </c>
      <c r="B822">
        <v>12</v>
      </c>
      <c r="C822" t="s">
        <v>65</v>
      </c>
      <c r="D822">
        <v>12</v>
      </c>
      <c r="E822">
        <v>3.7804591926014899</v>
      </c>
      <c r="F822">
        <v>7.4860823718492703E-2</v>
      </c>
      <c r="G822" t="s">
        <v>66</v>
      </c>
      <c r="H822">
        <v>12</v>
      </c>
      <c r="I822">
        <v>12</v>
      </c>
      <c r="J822">
        <v>8.5824243746380702E-2</v>
      </c>
      <c r="K822" t="b">
        <f t="shared" si="62"/>
        <v>1</v>
      </c>
      <c r="L822">
        <f t="shared" si="63"/>
        <v>3.9411442600663631</v>
      </c>
      <c r="M822">
        <f t="shared" si="64"/>
        <v>7.8822885201327262</v>
      </c>
      <c r="N822">
        <f t="shared" si="60"/>
        <v>20.797595039928037</v>
      </c>
      <c r="O822" s="21">
        <f t="shared" si="61"/>
        <v>23.885722788280987</v>
      </c>
    </row>
    <row r="823" spans="1:15" x14ac:dyDescent="0.35">
      <c r="A823" t="s">
        <v>66</v>
      </c>
      <c r="B823">
        <v>12</v>
      </c>
      <c r="C823" t="s">
        <v>65</v>
      </c>
      <c r="D823">
        <v>13</v>
      </c>
      <c r="E823">
        <v>4.7953143028940204</v>
      </c>
      <c r="F823">
        <v>9.7524429478692304E-2</v>
      </c>
      <c r="G823" t="s">
        <v>66</v>
      </c>
      <c r="H823">
        <v>12</v>
      </c>
      <c r="I823">
        <v>13</v>
      </c>
      <c r="J823">
        <v>0.109569714936193</v>
      </c>
      <c r="K823" t="b">
        <f t="shared" si="62"/>
        <v>1</v>
      </c>
      <c r="L823">
        <f t="shared" si="63"/>
        <v>5.0024084473089063</v>
      </c>
      <c r="M823">
        <f t="shared" si="64"/>
        <v>10.004816894617813</v>
      </c>
      <c r="N823">
        <f t="shared" si="60"/>
        <v>26.397933758886047</v>
      </c>
      <c r="O823" s="21">
        <f t="shared" si="61"/>
        <v>30.317626953387311</v>
      </c>
    </row>
    <row r="824" spans="1:15" x14ac:dyDescent="0.35">
      <c r="A824" t="s">
        <v>66</v>
      </c>
      <c r="B824">
        <v>12</v>
      </c>
      <c r="C824" t="s">
        <v>65</v>
      </c>
      <c r="D824">
        <v>14</v>
      </c>
      <c r="E824">
        <v>6.0638831907596904</v>
      </c>
      <c r="F824">
        <v>0.126097753212562</v>
      </c>
      <c r="G824" t="s">
        <v>66</v>
      </c>
      <c r="H824">
        <v>12</v>
      </c>
      <c r="I824">
        <v>14</v>
      </c>
      <c r="J824">
        <v>0.13926085301159699</v>
      </c>
      <c r="K824" t="b">
        <f t="shared" si="62"/>
        <v>1</v>
      </c>
      <c r="L824">
        <f t="shared" si="63"/>
        <v>6.3292417969838493</v>
      </c>
      <c r="M824">
        <f t="shared" si="64"/>
        <v>12.658483593967699</v>
      </c>
      <c r="N824">
        <f t="shared" si="60"/>
        <v>33.399692860073081</v>
      </c>
      <c r="O824" s="21">
        <f t="shared" si="61"/>
        <v>38.359041193841506</v>
      </c>
    </row>
    <row r="825" spans="1:15" x14ac:dyDescent="0.35">
      <c r="A825" t="s">
        <v>66</v>
      </c>
      <c r="B825">
        <v>12</v>
      </c>
      <c r="C825" t="s">
        <v>65</v>
      </c>
      <c r="D825">
        <v>15</v>
      </c>
      <c r="E825">
        <v>7.6495943005917599</v>
      </c>
      <c r="F825">
        <v>0.16205090991751001</v>
      </c>
      <c r="G825" t="s">
        <v>66</v>
      </c>
      <c r="H825">
        <v>12</v>
      </c>
      <c r="I825">
        <v>15</v>
      </c>
      <c r="J825">
        <v>0.17638195212351701</v>
      </c>
      <c r="K825" t="b">
        <f t="shared" si="62"/>
        <v>1</v>
      </c>
      <c r="L825">
        <f t="shared" si="63"/>
        <v>7.988027162632787</v>
      </c>
      <c r="M825">
        <f t="shared" si="64"/>
        <v>15.976054325265574</v>
      </c>
      <c r="N825">
        <f t="shared" si="60"/>
        <v>42.153177639223152</v>
      </c>
      <c r="O825" s="21">
        <f t="shared" si="61"/>
        <v>48.412285834138103</v>
      </c>
    </row>
    <row r="826" spans="1:15" x14ac:dyDescent="0.35">
      <c r="A826" t="s">
        <v>66</v>
      </c>
      <c r="B826">
        <v>12</v>
      </c>
      <c r="C826" t="s">
        <v>65</v>
      </c>
      <c r="D826">
        <v>16</v>
      </c>
      <c r="E826">
        <v>9.6317331878818706</v>
      </c>
      <c r="F826">
        <v>0.20722176277517901</v>
      </c>
      <c r="G826" t="s">
        <v>66</v>
      </c>
      <c r="H826">
        <v>12</v>
      </c>
      <c r="I826">
        <v>16</v>
      </c>
      <c r="J826">
        <v>0.22278888007366199</v>
      </c>
      <c r="K826" t="b">
        <f t="shared" si="62"/>
        <v>1</v>
      </c>
      <c r="L826">
        <f t="shared" si="63"/>
        <v>10.061743830730711</v>
      </c>
      <c r="M826">
        <f t="shared" si="64"/>
        <v>20.123487661461422</v>
      </c>
      <c r="N826">
        <f t="shared" si="60"/>
        <v>53.096273513090821</v>
      </c>
      <c r="O826" s="21">
        <f t="shared" si="61"/>
        <v>60.980265640792183</v>
      </c>
    </row>
    <row r="827" spans="1:15" x14ac:dyDescent="0.35">
      <c r="A827" t="s">
        <v>66</v>
      </c>
      <c r="B827">
        <v>12</v>
      </c>
      <c r="C827" t="s">
        <v>65</v>
      </c>
      <c r="D827">
        <v>17</v>
      </c>
      <c r="E827">
        <v>12.109406796994501</v>
      </c>
      <c r="F827">
        <v>0.26390785361445401</v>
      </c>
      <c r="G827" t="s">
        <v>66</v>
      </c>
      <c r="H827">
        <v>12</v>
      </c>
      <c r="I827">
        <v>17</v>
      </c>
      <c r="J827">
        <v>0.28080184739018998</v>
      </c>
      <c r="K827" t="b">
        <f t="shared" si="62"/>
        <v>1</v>
      </c>
      <c r="L827">
        <f t="shared" si="63"/>
        <v>12.654116497999144</v>
      </c>
      <c r="M827">
        <f t="shared" si="64"/>
        <v>25.308232995998289</v>
      </c>
      <c r="N827">
        <f t="shared" ref="N827:N890" si="65">M827/(1-0.621)</f>
        <v>66.776340358834531</v>
      </c>
      <c r="O827" s="21">
        <f t="shared" ref="O827:O890" si="66">M827/0.33</f>
        <v>76.691615139388745</v>
      </c>
    </row>
    <row r="828" spans="1:15" x14ac:dyDescent="0.35">
      <c r="A828" t="s">
        <v>66</v>
      </c>
      <c r="B828">
        <v>12</v>
      </c>
      <c r="C828" t="s">
        <v>65</v>
      </c>
      <c r="D828">
        <v>18</v>
      </c>
      <c r="E828">
        <v>15.2064988083852</v>
      </c>
      <c r="F828">
        <v>0.33498131618771998</v>
      </c>
      <c r="G828" t="s">
        <v>66</v>
      </c>
      <c r="H828">
        <v>12</v>
      </c>
      <c r="I828">
        <v>18</v>
      </c>
      <c r="J828">
        <v>0.35332140220601499</v>
      </c>
      <c r="K828" t="b">
        <f t="shared" si="62"/>
        <v>1</v>
      </c>
      <c r="L828">
        <f t="shared" si="63"/>
        <v>15.894801526778936</v>
      </c>
      <c r="M828">
        <f t="shared" si="64"/>
        <v>31.789603053557872</v>
      </c>
      <c r="N828">
        <f t="shared" si="65"/>
        <v>83.877580616247684</v>
      </c>
      <c r="O828" s="21">
        <f t="shared" si="66"/>
        <v>96.332130465326884</v>
      </c>
    </row>
    <row r="829" spans="1:15" x14ac:dyDescent="0.35">
      <c r="A829" t="s">
        <v>66</v>
      </c>
      <c r="B829">
        <v>12</v>
      </c>
      <c r="C829" t="s">
        <v>65</v>
      </c>
      <c r="D829">
        <v>19</v>
      </c>
      <c r="E829">
        <v>19.022849999999998</v>
      </c>
      <c r="F829">
        <v>0.42374674670208801</v>
      </c>
      <c r="G829" t="s">
        <v>66</v>
      </c>
      <c r="H829">
        <v>12</v>
      </c>
      <c r="I829">
        <v>19</v>
      </c>
      <c r="J829">
        <v>0.44335110132622801</v>
      </c>
      <c r="K829" t="b">
        <f t="shared" si="62"/>
        <v>1</v>
      </c>
      <c r="L829">
        <f t="shared" si="63"/>
        <v>19.889947848028314</v>
      </c>
      <c r="M829">
        <f t="shared" si="64"/>
        <v>39.779895696056627</v>
      </c>
      <c r="N829">
        <f t="shared" si="65"/>
        <v>104.96014695529453</v>
      </c>
      <c r="O829" s="21">
        <f t="shared" si="66"/>
        <v>120.54513847289887</v>
      </c>
    </row>
    <row r="830" spans="1:15" x14ac:dyDescent="0.35">
      <c r="A830" t="s">
        <v>66</v>
      </c>
      <c r="B830">
        <v>12</v>
      </c>
      <c r="C830" t="s">
        <v>65</v>
      </c>
      <c r="D830">
        <v>20</v>
      </c>
      <c r="E830">
        <v>23.020668000000001</v>
      </c>
      <c r="F830">
        <v>0.53061602190102597</v>
      </c>
      <c r="G830" t="s">
        <v>66</v>
      </c>
      <c r="H830">
        <v>12</v>
      </c>
      <c r="I830">
        <v>20</v>
      </c>
      <c r="J830">
        <v>0.54675857043520104</v>
      </c>
      <c r="K830" t="b">
        <f t="shared" si="62"/>
        <v>1</v>
      </c>
      <c r="L830">
        <f t="shared" si="63"/>
        <v>24.098042592336228</v>
      </c>
      <c r="M830">
        <f t="shared" si="64"/>
        <v>48.196085184672455</v>
      </c>
      <c r="N830">
        <f t="shared" si="65"/>
        <v>127.16645167459751</v>
      </c>
      <c r="O830" s="21">
        <f t="shared" si="66"/>
        <v>146.04874298385593</v>
      </c>
    </row>
    <row r="831" spans="1:15" x14ac:dyDescent="0.35">
      <c r="A831" t="s">
        <v>66</v>
      </c>
      <c r="B831">
        <v>12</v>
      </c>
      <c r="C831" t="s">
        <v>65</v>
      </c>
      <c r="D831">
        <v>21</v>
      </c>
      <c r="E831">
        <v>27.018485999999999</v>
      </c>
      <c r="F831">
        <v>0.65504602644399501</v>
      </c>
      <c r="G831" t="s">
        <v>66</v>
      </c>
      <c r="H831">
        <v>12</v>
      </c>
      <c r="I831">
        <v>21</v>
      </c>
      <c r="J831">
        <v>0.65896477805131304</v>
      </c>
      <c r="K831" t="b">
        <f t="shared" si="62"/>
        <v>1</v>
      </c>
      <c r="L831">
        <f t="shared" si="63"/>
        <v>28.332496804495307</v>
      </c>
      <c r="M831">
        <f t="shared" si="64"/>
        <v>56.664993608990613</v>
      </c>
      <c r="N831">
        <f t="shared" si="65"/>
        <v>149.51185648810187</v>
      </c>
      <c r="O831" s="21">
        <f t="shared" si="66"/>
        <v>171.7121018454261</v>
      </c>
    </row>
    <row r="832" spans="1:15" x14ac:dyDescent="0.35">
      <c r="A832" t="s">
        <v>66</v>
      </c>
      <c r="B832">
        <v>12</v>
      </c>
      <c r="C832" t="s">
        <v>65</v>
      </c>
      <c r="D832">
        <v>22</v>
      </c>
      <c r="E832">
        <v>31.016303999999899</v>
      </c>
      <c r="F832">
        <v>0.79650993845067497</v>
      </c>
      <c r="G832" t="s">
        <v>66</v>
      </c>
      <c r="H832">
        <v>12</v>
      </c>
      <c r="I832">
        <v>22</v>
      </c>
      <c r="J832">
        <v>0.77710442380344902</v>
      </c>
      <c r="K832" t="b">
        <f t="shared" si="62"/>
        <v>1</v>
      </c>
      <c r="L832">
        <f t="shared" si="63"/>
        <v>32.589918362254025</v>
      </c>
      <c r="M832">
        <f t="shared" si="64"/>
        <v>65.17983672450805</v>
      </c>
      <c r="N832">
        <f t="shared" si="65"/>
        <v>171.97846101453311</v>
      </c>
      <c r="O832" s="21">
        <f t="shared" si="66"/>
        <v>197.51465674093348</v>
      </c>
    </row>
    <row r="833" spans="1:15" x14ac:dyDescent="0.35">
      <c r="A833" t="s">
        <v>66</v>
      </c>
      <c r="B833">
        <v>12</v>
      </c>
      <c r="C833" t="s">
        <v>65</v>
      </c>
      <c r="D833">
        <v>23</v>
      </c>
      <c r="E833">
        <v>35.014122</v>
      </c>
      <c r="F833">
        <v>0.95449674069715496</v>
      </c>
      <c r="G833" t="s">
        <v>66</v>
      </c>
      <c r="H833">
        <v>12</v>
      </c>
      <c r="I833">
        <v>23</v>
      </c>
      <c r="J833">
        <v>0.89934393844868599</v>
      </c>
      <c r="K833" t="b">
        <f t="shared" si="62"/>
        <v>1</v>
      </c>
      <c r="L833">
        <f t="shared" si="63"/>
        <v>36.86796267914584</v>
      </c>
      <c r="M833">
        <f t="shared" si="64"/>
        <v>73.735925358291681</v>
      </c>
      <c r="N833">
        <f t="shared" si="65"/>
        <v>194.5538927659411</v>
      </c>
      <c r="O833" s="21">
        <f t="shared" si="66"/>
        <v>223.44219805542932</v>
      </c>
    </row>
    <row r="834" spans="1:15" x14ac:dyDescent="0.35">
      <c r="A834" t="s">
        <v>66</v>
      </c>
      <c r="B834">
        <v>12</v>
      </c>
      <c r="C834" t="s">
        <v>65</v>
      </c>
      <c r="D834">
        <v>24</v>
      </c>
      <c r="E834">
        <v>39.011940000000003</v>
      </c>
      <c r="F834">
        <v>1.1285107464762401</v>
      </c>
      <c r="G834" t="s">
        <v>66</v>
      </c>
      <c r="H834">
        <v>12</v>
      </c>
      <c r="I834">
        <v>24</v>
      </c>
      <c r="J834">
        <v>1.02448120512117</v>
      </c>
      <c r="K834" t="b">
        <f t="shared" ref="K834:K897" si="67">H834=B834</f>
        <v>1</v>
      </c>
      <c r="L834">
        <f t="shared" ref="L834:L897" si="68">E834+F834+J834</f>
        <v>41.16493195159741</v>
      </c>
      <c r="M834">
        <f t="shared" ref="M834:M897" si="69">L834*2</f>
        <v>82.32986390319482</v>
      </c>
      <c r="N834">
        <f t="shared" si="65"/>
        <v>217.22919235671455</v>
      </c>
      <c r="O834" s="21">
        <f t="shared" si="66"/>
        <v>249.48443607028733</v>
      </c>
    </row>
    <row r="835" spans="1:15" x14ac:dyDescent="0.35">
      <c r="A835" t="s">
        <v>66</v>
      </c>
      <c r="B835">
        <v>12</v>
      </c>
      <c r="C835" t="s">
        <v>65</v>
      </c>
      <c r="D835">
        <v>25</v>
      </c>
      <c r="E835">
        <v>43.915607999999999</v>
      </c>
      <c r="F835">
        <v>1.32277660968195</v>
      </c>
      <c r="G835" t="s">
        <v>66</v>
      </c>
      <c r="H835">
        <v>12</v>
      </c>
      <c r="I835">
        <v>25</v>
      </c>
      <c r="J835">
        <v>1.1619556304944001</v>
      </c>
      <c r="K835" t="b">
        <f t="shared" si="67"/>
        <v>1</v>
      </c>
      <c r="L835">
        <f t="shared" si="68"/>
        <v>46.400340240176348</v>
      </c>
      <c r="M835">
        <f t="shared" si="69"/>
        <v>92.800680480352696</v>
      </c>
      <c r="N835">
        <f t="shared" si="65"/>
        <v>244.85667672916279</v>
      </c>
      <c r="O835" s="21">
        <f t="shared" si="66"/>
        <v>281.21418327379604</v>
      </c>
    </row>
    <row r="836" spans="1:15" x14ac:dyDescent="0.35">
      <c r="A836" t="s">
        <v>66</v>
      </c>
      <c r="B836">
        <v>12</v>
      </c>
      <c r="C836" t="s">
        <v>65</v>
      </c>
      <c r="D836">
        <v>26</v>
      </c>
      <c r="E836">
        <v>48.819276000000002</v>
      </c>
      <c r="F836">
        <v>1.5366867745914901</v>
      </c>
      <c r="G836" t="s">
        <v>66</v>
      </c>
      <c r="H836">
        <v>12</v>
      </c>
      <c r="I836">
        <v>26</v>
      </c>
      <c r="J836">
        <v>1.3074074220958201</v>
      </c>
      <c r="K836" t="b">
        <f t="shared" si="67"/>
        <v>1</v>
      </c>
      <c r="L836">
        <f t="shared" si="68"/>
        <v>51.66337019668731</v>
      </c>
      <c r="M836">
        <f t="shared" si="69"/>
        <v>103.32674039337462</v>
      </c>
      <c r="N836">
        <f t="shared" si="65"/>
        <v>272.62992188225496</v>
      </c>
      <c r="O836" s="21">
        <f t="shared" si="66"/>
        <v>313.11133452537763</v>
      </c>
    </row>
    <row r="837" spans="1:15" x14ac:dyDescent="0.35">
      <c r="A837" t="s">
        <v>66</v>
      </c>
      <c r="B837">
        <v>12</v>
      </c>
      <c r="C837" t="s">
        <v>65</v>
      </c>
      <c r="D837">
        <v>27</v>
      </c>
      <c r="E837">
        <v>53.722943999999998</v>
      </c>
      <c r="F837">
        <v>1.76965191215375</v>
      </c>
      <c r="G837" t="s">
        <v>66</v>
      </c>
      <c r="H837">
        <v>12</v>
      </c>
      <c r="I837">
        <v>27</v>
      </c>
      <c r="J837">
        <v>1.4581464722088</v>
      </c>
      <c r="K837" t="b">
        <f t="shared" si="67"/>
        <v>1</v>
      </c>
      <c r="L837">
        <f t="shared" si="68"/>
        <v>56.950742384362549</v>
      </c>
      <c r="M837">
        <f t="shared" si="69"/>
        <v>113.9014847687251</v>
      </c>
      <c r="N837">
        <f t="shared" si="65"/>
        <v>300.53162208106886</v>
      </c>
      <c r="O837" s="21">
        <f t="shared" si="66"/>
        <v>345.15601445068211</v>
      </c>
    </row>
    <row r="838" spans="1:15" x14ac:dyDescent="0.35">
      <c r="A838" t="s">
        <v>66</v>
      </c>
      <c r="B838">
        <v>12</v>
      </c>
      <c r="C838" t="s">
        <v>65</v>
      </c>
      <c r="D838">
        <v>28</v>
      </c>
      <c r="E838">
        <v>58.626612000000002</v>
      </c>
      <c r="F838">
        <v>2.0211003731891402</v>
      </c>
      <c r="G838" t="s">
        <v>66</v>
      </c>
      <c r="H838">
        <v>12</v>
      </c>
      <c r="I838">
        <v>28</v>
      </c>
      <c r="J838">
        <v>1.61247824059554</v>
      </c>
      <c r="K838" t="b">
        <f t="shared" si="67"/>
        <v>1</v>
      </c>
      <c r="L838">
        <f t="shared" si="68"/>
        <v>62.260190613784687</v>
      </c>
      <c r="M838">
        <f t="shared" si="69"/>
        <v>124.52038122756937</v>
      </c>
      <c r="N838">
        <f t="shared" si="65"/>
        <v>328.54981854239941</v>
      </c>
      <c r="O838" s="21">
        <f t="shared" si="66"/>
        <v>377.33448856839203</v>
      </c>
    </row>
    <row r="839" spans="1:15" x14ac:dyDescent="0.35">
      <c r="A839" t="s">
        <v>66</v>
      </c>
      <c r="B839">
        <v>12</v>
      </c>
      <c r="C839" t="s">
        <v>65</v>
      </c>
      <c r="D839">
        <v>29</v>
      </c>
      <c r="E839">
        <v>63.530279999999998</v>
      </c>
      <c r="F839">
        <v>2.2904776579934598</v>
      </c>
      <c r="G839" t="s">
        <v>66</v>
      </c>
      <c r="H839">
        <v>12</v>
      </c>
      <c r="I839">
        <v>29</v>
      </c>
      <c r="J839">
        <v>1.7693104046795001</v>
      </c>
      <c r="K839" t="b">
        <f t="shared" si="67"/>
        <v>1</v>
      </c>
      <c r="L839">
        <f t="shared" si="68"/>
        <v>67.590068062672955</v>
      </c>
      <c r="M839">
        <f t="shared" si="69"/>
        <v>135.18013612534591</v>
      </c>
      <c r="N839">
        <f t="shared" si="65"/>
        <v>356.67582091120295</v>
      </c>
      <c r="O839" s="21">
        <f t="shared" si="66"/>
        <v>409.63677613741186</v>
      </c>
    </row>
    <row r="840" spans="1:15" x14ac:dyDescent="0.35">
      <c r="A840" t="s">
        <v>66</v>
      </c>
      <c r="B840">
        <v>12</v>
      </c>
      <c r="C840" t="s">
        <v>65</v>
      </c>
      <c r="D840">
        <v>30</v>
      </c>
      <c r="E840">
        <v>69.007653000000005</v>
      </c>
      <c r="F840">
        <v>2.5802260328536599</v>
      </c>
      <c r="G840" t="s">
        <v>66</v>
      </c>
      <c r="H840">
        <v>12</v>
      </c>
      <c r="I840">
        <v>30</v>
      </c>
      <c r="J840">
        <v>1.9344113754407199</v>
      </c>
      <c r="K840" t="b">
        <f t="shared" si="67"/>
        <v>1</v>
      </c>
      <c r="L840">
        <f t="shared" si="68"/>
        <v>73.522290408294381</v>
      </c>
      <c r="M840">
        <f t="shared" si="69"/>
        <v>147.04458081658876</v>
      </c>
      <c r="N840">
        <f t="shared" si="65"/>
        <v>387.98042431817618</v>
      </c>
      <c r="O840" s="21">
        <f t="shared" si="66"/>
        <v>445.58963883814772</v>
      </c>
    </row>
    <row r="841" spans="1:15" x14ac:dyDescent="0.35">
      <c r="A841" t="s">
        <v>66</v>
      </c>
      <c r="B841">
        <v>12</v>
      </c>
      <c r="C841" t="s">
        <v>65</v>
      </c>
      <c r="D841">
        <v>31</v>
      </c>
      <c r="E841">
        <v>74.485026000000005</v>
      </c>
      <c r="F841">
        <v>2.8897343650680498</v>
      </c>
      <c r="G841" t="s">
        <v>66</v>
      </c>
      <c r="H841">
        <v>12</v>
      </c>
      <c r="I841">
        <v>31</v>
      </c>
      <c r="J841">
        <v>2.10488368211927</v>
      </c>
      <c r="K841" t="b">
        <f t="shared" si="67"/>
        <v>1</v>
      </c>
      <c r="L841">
        <f t="shared" si="68"/>
        <v>79.479644047187321</v>
      </c>
      <c r="M841">
        <f t="shared" si="69"/>
        <v>158.95928809437464</v>
      </c>
      <c r="N841">
        <f t="shared" si="65"/>
        <v>419.41764668700432</v>
      </c>
      <c r="O841" s="21">
        <f t="shared" si="66"/>
        <v>481.69481240719585</v>
      </c>
    </row>
    <row r="842" spans="1:15" x14ac:dyDescent="0.35">
      <c r="A842" t="s">
        <v>66</v>
      </c>
      <c r="B842">
        <v>12</v>
      </c>
      <c r="C842" t="s">
        <v>65</v>
      </c>
      <c r="D842">
        <v>32</v>
      </c>
      <c r="E842">
        <v>79.962399000000005</v>
      </c>
      <c r="F842">
        <v>3.2184098559160099</v>
      </c>
      <c r="G842" t="s">
        <v>66</v>
      </c>
      <c r="H842">
        <v>12</v>
      </c>
      <c r="I842">
        <v>32</v>
      </c>
      <c r="J842">
        <v>2.2789328908758</v>
      </c>
      <c r="K842" t="b">
        <f t="shared" si="67"/>
        <v>1</v>
      </c>
      <c r="L842">
        <f t="shared" si="68"/>
        <v>85.459741746791806</v>
      </c>
      <c r="M842">
        <f t="shared" si="69"/>
        <v>170.91948349358361</v>
      </c>
      <c r="N842">
        <f t="shared" si="65"/>
        <v>450.97489048438945</v>
      </c>
      <c r="O842" s="21">
        <f t="shared" si="66"/>
        <v>517.93782876843511</v>
      </c>
    </row>
    <row r="843" spans="1:15" x14ac:dyDescent="0.35">
      <c r="A843" t="s">
        <v>66</v>
      </c>
      <c r="B843">
        <v>12</v>
      </c>
      <c r="C843" t="s">
        <v>65</v>
      </c>
      <c r="D843">
        <v>33</v>
      </c>
      <c r="E843">
        <v>85.439772000000005</v>
      </c>
      <c r="F843">
        <v>3.5656774906385298</v>
      </c>
      <c r="G843" t="s">
        <v>66</v>
      </c>
      <c r="H843">
        <v>12</v>
      </c>
      <c r="I843">
        <v>33</v>
      </c>
      <c r="J843">
        <v>2.4554239068273902</v>
      </c>
      <c r="K843" t="b">
        <f t="shared" si="67"/>
        <v>1</v>
      </c>
      <c r="L843">
        <f t="shared" si="68"/>
        <v>91.460873397465932</v>
      </c>
      <c r="M843">
        <f t="shared" si="69"/>
        <v>182.92174679493186</v>
      </c>
      <c r="N843">
        <f t="shared" si="65"/>
        <v>482.64313138504451</v>
      </c>
      <c r="O843" s="21">
        <f t="shared" si="66"/>
        <v>554.30832362100557</v>
      </c>
    </row>
    <row r="844" spans="1:15" x14ac:dyDescent="0.35">
      <c r="A844" t="s">
        <v>66</v>
      </c>
      <c r="B844">
        <v>12</v>
      </c>
      <c r="C844" t="s">
        <v>65</v>
      </c>
      <c r="D844">
        <v>34</v>
      </c>
      <c r="E844">
        <v>90.917144999999906</v>
      </c>
      <c r="F844">
        <v>3.9309795049193701</v>
      </c>
      <c r="G844" t="s">
        <v>66</v>
      </c>
      <c r="H844">
        <v>12</v>
      </c>
      <c r="I844">
        <v>34</v>
      </c>
      <c r="J844">
        <v>2.63362168854899</v>
      </c>
      <c r="K844" t="b">
        <f t="shared" si="67"/>
        <v>1</v>
      </c>
      <c r="L844">
        <f t="shared" si="68"/>
        <v>97.481746193468254</v>
      </c>
      <c r="M844">
        <f t="shared" si="69"/>
        <v>194.96349238693651</v>
      </c>
      <c r="N844">
        <f t="shared" si="65"/>
        <v>514.41554719508315</v>
      </c>
      <c r="O844" s="21">
        <f t="shared" si="66"/>
        <v>590.79846177859542</v>
      </c>
    </row>
    <row r="845" spans="1:15" x14ac:dyDescent="0.35">
      <c r="A845" t="s">
        <v>66</v>
      </c>
      <c r="B845">
        <v>12</v>
      </c>
      <c r="C845" t="s">
        <v>65</v>
      </c>
      <c r="D845">
        <v>35</v>
      </c>
      <c r="E845">
        <v>96.563609999999997</v>
      </c>
      <c r="F845">
        <v>4.3146532217717901</v>
      </c>
      <c r="G845" t="s">
        <v>66</v>
      </c>
      <c r="H845">
        <v>12</v>
      </c>
      <c r="I845">
        <v>35</v>
      </c>
      <c r="J845">
        <v>2.8149511868783499</v>
      </c>
      <c r="K845" t="b">
        <f t="shared" si="67"/>
        <v>1</v>
      </c>
      <c r="L845">
        <f t="shared" si="68"/>
        <v>103.69321440865014</v>
      </c>
      <c r="M845">
        <f t="shared" si="69"/>
        <v>207.38642881730027</v>
      </c>
      <c r="N845">
        <f t="shared" si="65"/>
        <v>547.1937435812672</v>
      </c>
      <c r="O845" s="21">
        <f t="shared" si="66"/>
        <v>628.44372368878862</v>
      </c>
    </row>
    <row r="846" spans="1:15" x14ac:dyDescent="0.35">
      <c r="A846" t="s">
        <v>66</v>
      </c>
      <c r="B846">
        <v>12</v>
      </c>
      <c r="C846" t="s">
        <v>65</v>
      </c>
      <c r="D846">
        <v>36</v>
      </c>
      <c r="E846">
        <v>102.210075</v>
      </c>
      <c r="F846">
        <v>4.7161474901186402</v>
      </c>
      <c r="G846" t="s">
        <v>66</v>
      </c>
      <c r="H846">
        <v>12</v>
      </c>
      <c r="I846">
        <v>36</v>
      </c>
      <c r="J846">
        <v>2.9983704519110299</v>
      </c>
      <c r="K846" t="b">
        <f t="shared" si="67"/>
        <v>1</v>
      </c>
      <c r="L846">
        <f t="shared" si="68"/>
        <v>109.92459294202968</v>
      </c>
      <c r="M846">
        <f t="shared" si="69"/>
        <v>219.84918588405935</v>
      </c>
      <c r="N846">
        <f t="shared" si="65"/>
        <v>580.07700760965531</v>
      </c>
      <c r="O846" s="21">
        <f t="shared" si="66"/>
        <v>666.20965419411925</v>
      </c>
    </row>
    <row r="847" spans="1:15" x14ac:dyDescent="0.35">
      <c r="A847" t="s">
        <v>66</v>
      </c>
      <c r="B847">
        <v>12</v>
      </c>
      <c r="C847" t="s">
        <v>65</v>
      </c>
      <c r="D847">
        <v>37</v>
      </c>
      <c r="E847">
        <v>107.85654</v>
      </c>
      <c r="F847">
        <v>5.1349276934150803</v>
      </c>
      <c r="G847" t="s">
        <v>66</v>
      </c>
      <c r="H847">
        <v>12</v>
      </c>
      <c r="I847">
        <v>37</v>
      </c>
      <c r="J847">
        <v>3.18321916600474</v>
      </c>
      <c r="K847" t="b">
        <f t="shared" si="67"/>
        <v>1</v>
      </c>
      <c r="L847">
        <f t="shared" si="68"/>
        <v>116.17468685941981</v>
      </c>
      <c r="M847">
        <f t="shared" si="69"/>
        <v>232.34937371883962</v>
      </c>
      <c r="N847">
        <f t="shared" si="65"/>
        <v>613.05903355894361</v>
      </c>
      <c r="O847" s="21">
        <f t="shared" si="66"/>
        <v>704.08901126921091</v>
      </c>
    </row>
    <row r="848" spans="1:15" x14ac:dyDescent="0.35">
      <c r="A848" t="s">
        <v>66</v>
      </c>
      <c r="B848">
        <v>12</v>
      </c>
      <c r="C848" t="s">
        <v>65</v>
      </c>
      <c r="D848">
        <v>38</v>
      </c>
      <c r="E848">
        <v>113.503005</v>
      </c>
      <c r="F848">
        <v>5.5704752536126296</v>
      </c>
      <c r="G848" t="s">
        <v>66</v>
      </c>
      <c r="H848">
        <v>12</v>
      </c>
      <c r="I848">
        <v>38</v>
      </c>
      <c r="J848">
        <v>3.3690688813198602</v>
      </c>
      <c r="K848" t="b">
        <f t="shared" si="67"/>
        <v>1</v>
      </c>
      <c r="L848">
        <f t="shared" si="68"/>
        <v>122.44254913493249</v>
      </c>
      <c r="M848">
        <f t="shared" si="69"/>
        <v>244.88509826986498</v>
      </c>
      <c r="N848">
        <f t="shared" si="65"/>
        <v>646.13482393104221</v>
      </c>
      <c r="O848" s="21">
        <f t="shared" si="66"/>
        <v>742.07605536322717</v>
      </c>
    </row>
    <row r="849" spans="1:15" x14ac:dyDescent="0.35">
      <c r="A849" t="s">
        <v>66</v>
      </c>
      <c r="B849">
        <v>12</v>
      </c>
      <c r="C849" t="s">
        <v>65</v>
      </c>
      <c r="D849">
        <v>39</v>
      </c>
      <c r="E849">
        <v>118.89278103549699</v>
      </c>
      <c r="F849">
        <v>6.2464613373997899</v>
      </c>
      <c r="G849" t="s">
        <v>66</v>
      </c>
      <c r="H849">
        <v>12</v>
      </c>
      <c r="I849">
        <v>39</v>
      </c>
      <c r="J849">
        <v>3.5527308131598501</v>
      </c>
      <c r="K849" t="b">
        <f t="shared" si="67"/>
        <v>1</v>
      </c>
      <c r="L849">
        <f t="shared" si="68"/>
        <v>128.69197318605663</v>
      </c>
      <c r="M849">
        <f t="shared" si="69"/>
        <v>257.38394637211326</v>
      </c>
      <c r="N849">
        <f t="shared" si="65"/>
        <v>679.11331496599803</v>
      </c>
      <c r="O849" s="21">
        <f t="shared" si="66"/>
        <v>779.95135264276746</v>
      </c>
    </row>
    <row r="850" spans="1:15" x14ac:dyDescent="0.35">
      <c r="A850" t="s">
        <v>66</v>
      </c>
      <c r="B850">
        <v>12</v>
      </c>
      <c r="C850" t="s">
        <v>65</v>
      </c>
      <c r="D850">
        <v>40</v>
      </c>
      <c r="E850">
        <v>123.937386557975</v>
      </c>
      <c r="F850">
        <v>7.0748351906853699</v>
      </c>
      <c r="G850" t="s">
        <v>66</v>
      </c>
      <c r="H850">
        <v>12</v>
      </c>
      <c r="I850">
        <v>40</v>
      </c>
      <c r="J850">
        <v>3.7311835738464998</v>
      </c>
      <c r="K850" t="b">
        <f t="shared" si="67"/>
        <v>1</v>
      </c>
      <c r="L850">
        <f t="shared" si="68"/>
        <v>134.74340532250687</v>
      </c>
      <c r="M850">
        <f t="shared" si="69"/>
        <v>269.48681064501375</v>
      </c>
      <c r="N850">
        <f t="shared" si="65"/>
        <v>711.04699378631597</v>
      </c>
      <c r="O850" s="21">
        <f t="shared" si="66"/>
        <v>816.62669892428403</v>
      </c>
    </row>
    <row r="851" spans="1:15" x14ac:dyDescent="0.35">
      <c r="A851" t="s">
        <v>66</v>
      </c>
      <c r="B851">
        <v>12</v>
      </c>
      <c r="C851" t="s">
        <v>65</v>
      </c>
      <c r="D851">
        <v>41</v>
      </c>
      <c r="E851">
        <v>128.86350338129299</v>
      </c>
      <c r="F851">
        <v>8.0033295971637095</v>
      </c>
      <c r="G851" t="s">
        <v>66</v>
      </c>
      <c r="H851">
        <v>12</v>
      </c>
      <c r="I851">
        <v>41</v>
      </c>
      <c r="J851">
        <v>3.9050513600866101</v>
      </c>
      <c r="K851" t="b">
        <f t="shared" si="67"/>
        <v>1</v>
      </c>
      <c r="L851">
        <f t="shared" si="68"/>
        <v>140.77188433854332</v>
      </c>
      <c r="M851">
        <f t="shared" si="69"/>
        <v>281.54376867708663</v>
      </c>
      <c r="N851">
        <f t="shared" si="65"/>
        <v>742.85954796065073</v>
      </c>
      <c r="O851" s="21">
        <f t="shared" si="66"/>
        <v>853.16293538511093</v>
      </c>
    </row>
    <row r="852" spans="1:15" x14ac:dyDescent="0.35">
      <c r="A852" t="s">
        <v>66</v>
      </c>
      <c r="B852">
        <v>12</v>
      </c>
      <c r="C852" t="s">
        <v>65</v>
      </c>
      <c r="D852">
        <v>42</v>
      </c>
      <c r="E852">
        <v>133.700867389584</v>
      </c>
      <c r="F852">
        <v>9.0012393612590902</v>
      </c>
      <c r="G852" t="s">
        <v>66</v>
      </c>
      <c r="H852">
        <v>12</v>
      </c>
      <c r="I852">
        <v>42</v>
      </c>
      <c r="J852">
        <v>4.0750065679360903</v>
      </c>
      <c r="K852" t="b">
        <f t="shared" si="67"/>
        <v>1</v>
      </c>
      <c r="L852">
        <f t="shared" si="68"/>
        <v>146.77711331877919</v>
      </c>
      <c r="M852">
        <f t="shared" si="69"/>
        <v>293.55422663755837</v>
      </c>
      <c r="N852">
        <f t="shared" si="65"/>
        <v>774.54941065318826</v>
      </c>
      <c r="O852" s="21">
        <f t="shared" si="66"/>
        <v>889.5582625380556</v>
      </c>
    </row>
    <row r="853" spans="1:15" x14ac:dyDescent="0.35">
      <c r="A853" t="s">
        <v>66</v>
      </c>
      <c r="B853">
        <v>12</v>
      </c>
      <c r="C853" t="s">
        <v>65</v>
      </c>
      <c r="D853">
        <v>43</v>
      </c>
      <c r="E853">
        <v>138.46670196703599</v>
      </c>
      <c r="F853">
        <v>10.050255648473399</v>
      </c>
      <c r="G853" t="s">
        <v>66</v>
      </c>
      <c r="H853">
        <v>12</v>
      </c>
      <c r="I853">
        <v>43</v>
      </c>
      <c r="J853">
        <v>4.2416319417129902</v>
      </c>
      <c r="K853" t="b">
        <f t="shared" si="67"/>
        <v>1</v>
      </c>
      <c r="L853">
        <f t="shared" si="68"/>
        <v>152.75858955722239</v>
      </c>
      <c r="M853">
        <f t="shared" si="69"/>
        <v>305.51717911444479</v>
      </c>
      <c r="N853">
        <f t="shared" si="65"/>
        <v>806.11392906185961</v>
      </c>
      <c r="O853" s="21">
        <f t="shared" si="66"/>
        <v>925.80963368013568</v>
      </c>
    </row>
    <row r="854" spans="1:15" x14ac:dyDescent="0.35">
      <c r="A854" t="s">
        <v>66</v>
      </c>
      <c r="B854">
        <v>12</v>
      </c>
      <c r="C854" t="s">
        <v>65</v>
      </c>
      <c r="D854">
        <v>44</v>
      </c>
      <c r="E854">
        <v>143.17092847445099</v>
      </c>
      <c r="F854">
        <v>11.1393169265135</v>
      </c>
      <c r="G854" t="s">
        <v>66</v>
      </c>
      <c r="H854">
        <v>12</v>
      </c>
      <c r="I854">
        <v>44</v>
      </c>
      <c r="J854">
        <v>4.4053872114016501</v>
      </c>
      <c r="K854" t="b">
        <f t="shared" si="67"/>
        <v>1</v>
      </c>
      <c r="L854">
        <f t="shared" si="68"/>
        <v>158.71563261236614</v>
      </c>
      <c r="M854">
        <f t="shared" si="69"/>
        <v>317.43126522473227</v>
      </c>
      <c r="N854">
        <f t="shared" si="65"/>
        <v>837.54951246631208</v>
      </c>
      <c r="O854" s="21">
        <f t="shared" si="66"/>
        <v>961.91292492343109</v>
      </c>
    </row>
    <row r="855" spans="1:15" x14ac:dyDescent="0.35">
      <c r="A855" t="s">
        <v>66</v>
      </c>
      <c r="B855">
        <v>12</v>
      </c>
      <c r="C855" t="s">
        <v>65</v>
      </c>
      <c r="D855">
        <v>45</v>
      </c>
      <c r="E855">
        <v>147.483279463381</v>
      </c>
      <c r="F855">
        <v>12.183600483185</v>
      </c>
      <c r="G855" t="s">
        <v>66</v>
      </c>
      <c r="H855">
        <v>12</v>
      </c>
      <c r="I855">
        <v>45</v>
      </c>
      <c r="J855">
        <v>4.5628170138910402</v>
      </c>
      <c r="K855" t="b">
        <f t="shared" si="67"/>
        <v>1</v>
      </c>
      <c r="L855">
        <f t="shared" si="68"/>
        <v>164.22969696045703</v>
      </c>
      <c r="M855">
        <f t="shared" si="69"/>
        <v>328.45939392091407</v>
      </c>
      <c r="N855">
        <f t="shared" si="65"/>
        <v>866.64747736388938</v>
      </c>
      <c r="O855" s="21">
        <f t="shared" si="66"/>
        <v>995.33149673004255</v>
      </c>
    </row>
    <row r="856" spans="1:15" x14ac:dyDescent="0.35">
      <c r="A856" t="s">
        <v>66</v>
      </c>
      <c r="B856">
        <v>12</v>
      </c>
      <c r="C856" t="s">
        <v>65</v>
      </c>
      <c r="D856">
        <v>46</v>
      </c>
      <c r="E856">
        <v>151.79998158258499</v>
      </c>
      <c r="F856">
        <v>13.208470520315901</v>
      </c>
      <c r="G856" t="s">
        <v>66</v>
      </c>
      <c r="H856">
        <v>12</v>
      </c>
      <c r="I856">
        <v>46</v>
      </c>
      <c r="J856">
        <v>4.7162289420493897</v>
      </c>
      <c r="K856" t="b">
        <f t="shared" si="67"/>
        <v>1</v>
      </c>
      <c r="L856">
        <f t="shared" si="68"/>
        <v>169.72468104495027</v>
      </c>
      <c r="M856">
        <f t="shared" si="69"/>
        <v>339.44936208990055</v>
      </c>
      <c r="N856">
        <f t="shared" si="65"/>
        <v>895.6447548546189</v>
      </c>
      <c r="O856" s="21">
        <f t="shared" si="66"/>
        <v>1028.6344305754562</v>
      </c>
    </row>
    <row r="857" spans="1:15" x14ac:dyDescent="0.35">
      <c r="A857" t="s">
        <v>66</v>
      </c>
      <c r="B857">
        <v>12</v>
      </c>
      <c r="C857" t="s">
        <v>65</v>
      </c>
      <c r="D857">
        <v>47</v>
      </c>
      <c r="E857">
        <v>156.10512425779601</v>
      </c>
      <c r="F857">
        <v>14.2288049165128</v>
      </c>
      <c r="G857" t="s">
        <v>66</v>
      </c>
      <c r="H857">
        <v>12</v>
      </c>
      <c r="I857">
        <v>47</v>
      </c>
      <c r="J857">
        <v>4.8668612448912603</v>
      </c>
      <c r="K857" t="b">
        <f t="shared" si="67"/>
        <v>1</v>
      </c>
      <c r="L857">
        <f t="shared" si="68"/>
        <v>175.20079041920008</v>
      </c>
      <c r="M857">
        <f t="shared" si="69"/>
        <v>350.40158083840015</v>
      </c>
      <c r="N857">
        <f t="shared" si="65"/>
        <v>924.54242965277081</v>
      </c>
      <c r="O857" s="21">
        <f t="shared" si="66"/>
        <v>1061.8229722375761</v>
      </c>
    </row>
    <row r="858" spans="1:15" x14ac:dyDescent="0.35">
      <c r="A858" t="s">
        <v>66</v>
      </c>
      <c r="B858">
        <v>12</v>
      </c>
      <c r="C858" t="s">
        <v>65</v>
      </c>
      <c r="D858">
        <v>48</v>
      </c>
      <c r="E858">
        <v>160.38915960348399</v>
      </c>
      <c r="F858">
        <v>15.253196191844999</v>
      </c>
      <c r="G858" t="s">
        <v>66</v>
      </c>
      <c r="H858">
        <v>12</v>
      </c>
      <c r="I858">
        <v>48</v>
      </c>
      <c r="J858">
        <v>5.0153820636131297</v>
      </c>
      <c r="K858" t="b">
        <f t="shared" si="67"/>
        <v>1</v>
      </c>
      <c r="L858">
        <f t="shared" si="68"/>
        <v>180.65773785894211</v>
      </c>
      <c r="M858">
        <f t="shared" si="69"/>
        <v>361.31547571788423</v>
      </c>
      <c r="N858">
        <f t="shared" si="65"/>
        <v>953.33898606301909</v>
      </c>
      <c r="O858" s="21">
        <f t="shared" si="66"/>
        <v>1094.8953809632856</v>
      </c>
    </row>
    <row r="859" spans="1:15" x14ac:dyDescent="0.35">
      <c r="A859" t="s">
        <v>66</v>
      </c>
      <c r="B859">
        <v>12</v>
      </c>
      <c r="C859" t="s">
        <v>65</v>
      </c>
      <c r="D859">
        <v>49</v>
      </c>
      <c r="E859">
        <v>164.64633128157899</v>
      </c>
      <c r="F859">
        <v>16.286500789544601</v>
      </c>
      <c r="G859" t="s">
        <v>66</v>
      </c>
      <c r="H859">
        <v>12</v>
      </c>
      <c r="I859">
        <v>49</v>
      </c>
      <c r="J859">
        <v>5.1621559704144602</v>
      </c>
      <c r="K859" t="b">
        <f t="shared" si="67"/>
        <v>1</v>
      </c>
      <c r="L859">
        <f t="shared" si="68"/>
        <v>186.09498804153804</v>
      </c>
      <c r="M859">
        <f t="shared" si="69"/>
        <v>372.18997608307609</v>
      </c>
      <c r="N859">
        <f t="shared" si="65"/>
        <v>982.03159916378911</v>
      </c>
      <c r="O859" s="21">
        <f t="shared" si="66"/>
        <v>1127.8484123729577</v>
      </c>
    </row>
    <row r="860" spans="1:15" x14ac:dyDescent="0.35">
      <c r="A860" t="s">
        <v>66</v>
      </c>
      <c r="B860">
        <v>12</v>
      </c>
      <c r="C860" t="s">
        <v>65</v>
      </c>
      <c r="D860">
        <v>50</v>
      </c>
      <c r="E860">
        <v>168.40424985670799</v>
      </c>
      <c r="F860">
        <v>17.258063440996501</v>
      </c>
      <c r="G860" t="s">
        <v>66</v>
      </c>
      <c r="H860">
        <v>12</v>
      </c>
      <c r="I860">
        <v>50</v>
      </c>
      <c r="J860">
        <v>5.3020812793975001</v>
      </c>
      <c r="K860" t="b">
        <f t="shared" si="67"/>
        <v>1</v>
      </c>
      <c r="L860">
        <f t="shared" si="68"/>
        <v>190.96439457710198</v>
      </c>
      <c r="M860">
        <f t="shared" si="69"/>
        <v>381.92878915420397</v>
      </c>
      <c r="N860">
        <f t="shared" si="65"/>
        <v>1007.7276758686121</v>
      </c>
      <c r="O860" s="21">
        <f t="shared" si="66"/>
        <v>1157.3599671339514</v>
      </c>
    </row>
    <row r="861" spans="1:15" x14ac:dyDescent="0.35">
      <c r="A861" t="s">
        <v>66</v>
      </c>
      <c r="B861">
        <v>12</v>
      </c>
      <c r="C861" t="s">
        <v>65</v>
      </c>
      <c r="D861">
        <v>51</v>
      </c>
      <c r="E861">
        <v>172.18103005047999</v>
      </c>
      <c r="F861">
        <v>18.198320634211601</v>
      </c>
      <c r="G861" t="s">
        <v>66</v>
      </c>
      <c r="H861">
        <v>12</v>
      </c>
      <c r="I861">
        <v>51</v>
      </c>
      <c r="J861">
        <v>5.4378235605649801</v>
      </c>
      <c r="K861" t="b">
        <f t="shared" si="67"/>
        <v>1</v>
      </c>
      <c r="L861">
        <f t="shared" si="68"/>
        <v>195.81717424525658</v>
      </c>
      <c r="M861">
        <f t="shared" si="69"/>
        <v>391.63434849051316</v>
      </c>
      <c r="N861">
        <f t="shared" si="65"/>
        <v>1033.3360118483197</v>
      </c>
      <c r="O861" s="21">
        <f t="shared" si="66"/>
        <v>1186.770753001555</v>
      </c>
    </row>
    <row r="862" spans="1:15" x14ac:dyDescent="0.35">
      <c r="A862" t="s">
        <v>66</v>
      </c>
      <c r="B862">
        <v>12</v>
      </c>
      <c r="C862" t="s">
        <v>65</v>
      </c>
      <c r="D862">
        <v>52</v>
      </c>
      <c r="E862">
        <v>175.95823336583501</v>
      </c>
      <c r="F862">
        <v>19.124882378706602</v>
      </c>
      <c r="G862" t="s">
        <v>66</v>
      </c>
      <c r="H862">
        <v>12</v>
      </c>
      <c r="I862">
        <v>52</v>
      </c>
      <c r="J862">
        <v>5.5708128829337697</v>
      </c>
      <c r="K862" t="b">
        <f t="shared" si="67"/>
        <v>1</v>
      </c>
      <c r="L862">
        <f t="shared" si="68"/>
        <v>200.65392862747538</v>
      </c>
      <c r="M862">
        <f t="shared" si="69"/>
        <v>401.30785725495076</v>
      </c>
      <c r="N862">
        <f t="shared" si="65"/>
        <v>1058.8597816753318</v>
      </c>
      <c r="O862" s="21">
        <f t="shared" si="66"/>
        <v>1216.0844159240933</v>
      </c>
    </row>
    <row r="863" spans="1:15" x14ac:dyDescent="0.35">
      <c r="A863" t="s">
        <v>66</v>
      </c>
      <c r="B863">
        <v>12</v>
      </c>
      <c r="C863" t="s">
        <v>65</v>
      </c>
      <c r="D863">
        <v>53</v>
      </c>
      <c r="E863">
        <v>179.72505532161799</v>
      </c>
      <c r="F863">
        <v>20.0478346618691</v>
      </c>
      <c r="G863" t="s">
        <v>66</v>
      </c>
      <c r="H863">
        <v>12</v>
      </c>
      <c r="I863">
        <v>53</v>
      </c>
      <c r="J863">
        <v>5.7018236992771802</v>
      </c>
      <c r="K863" t="b">
        <f t="shared" si="67"/>
        <v>1</v>
      </c>
      <c r="L863">
        <f t="shared" si="68"/>
        <v>205.47471368276427</v>
      </c>
      <c r="M863">
        <f t="shared" si="69"/>
        <v>410.94942736552855</v>
      </c>
      <c r="N863">
        <f t="shared" si="65"/>
        <v>1084.2992806478326</v>
      </c>
      <c r="O863" s="21">
        <f t="shared" si="66"/>
        <v>1245.3012950470561</v>
      </c>
    </row>
    <row r="864" spans="1:15" x14ac:dyDescent="0.35">
      <c r="A864" t="s">
        <v>66</v>
      </c>
      <c r="B864">
        <v>12</v>
      </c>
      <c r="C864" t="s">
        <v>65</v>
      </c>
      <c r="D864">
        <v>54</v>
      </c>
      <c r="E864">
        <v>183.46996000292799</v>
      </c>
      <c r="F864">
        <v>20.9728737994254</v>
      </c>
      <c r="G864" t="s">
        <v>66</v>
      </c>
      <c r="H864">
        <v>12</v>
      </c>
      <c r="I864">
        <v>54</v>
      </c>
      <c r="J864">
        <v>5.8312824853751302</v>
      </c>
      <c r="K864" t="b">
        <f t="shared" si="67"/>
        <v>1</v>
      </c>
      <c r="L864">
        <f t="shared" si="68"/>
        <v>210.27411628772853</v>
      </c>
      <c r="M864">
        <f t="shared" si="69"/>
        <v>420.54823257545706</v>
      </c>
      <c r="N864">
        <f t="shared" si="65"/>
        <v>1109.6259434708629</v>
      </c>
      <c r="O864" s="21">
        <f t="shared" si="66"/>
        <v>1274.388583561991</v>
      </c>
    </row>
    <row r="865" spans="1:15" x14ac:dyDescent="0.35">
      <c r="A865" t="s">
        <v>66</v>
      </c>
      <c r="B865">
        <v>12</v>
      </c>
      <c r="C865" t="s">
        <v>65</v>
      </c>
      <c r="D865">
        <v>55</v>
      </c>
      <c r="E865">
        <v>186.63646270792501</v>
      </c>
      <c r="F865">
        <v>21.839148098619699</v>
      </c>
      <c r="G865" t="s">
        <v>66</v>
      </c>
      <c r="H865">
        <v>12</v>
      </c>
      <c r="I865">
        <v>55</v>
      </c>
      <c r="J865">
        <v>5.9534556630957702</v>
      </c>
      <c r="K865" t="b">
        <f t="shared" si="67"/>
        <v>1</v>
      </c>
      <c r="L865">
        <f t="shared" si="68"/>
        <v>214.42906646964047</v>
      </c>
      <c r="M865">
        <f t="shared" si="69"/>
        <v>428.85813293928095</v>
      </c>
      <c r="N865">
        <f t="shared" si="65"/>
        <v>1131.5518019506094</v>
      </c>
      <c r="O865" s="21">
        <f t="shared" si="66"/>
        <v>1299.5700998160028</v>
      </c>
    </row>
    <row r="866" spans="1:15" x14ac:dyDescent="0.35">
      <c r="A866" t="s">
        <v>66</v>
      </c>
      <c r="B866">
        <v>12</v>
      </c>
      <c r="C866" t="s">
        <v>65</v>
      </c>
      <c r="D866">
        <v>56</v>
      </c>
      <c r="E866">
        <v>189.82345332237</v>
      </c>
      <c r="F866">
        <v>22.674376635607398</v>
      </c>
      <c r="G866" t="s">
        <v>66</v>
      </c>
      <c r="H866">
        <v>12</v>
      </c>
      <c r="I866">
        <v>56</v>
      </c>
      <c r="J866">
        <v>6.0711928285716503</v>
      </c>
      <c r="K866" t="b">
        <f t="shared" si="67"/>
        <v>1</v>
      </c>
      <c r="L866">
        <f t="shared" si="68"/>
        <v>218.56902278654903</v>
      </c>
      <c r="M866">
        <f t="shared" si="69"/>
        <v>437.13804557309805</v>
      </c>
      <c r="N866">
        <f t="shared" si="65"/>
        <v>1153.3985371321849</v>
      </c>
      <c r="O866" s="21">
        <f t="shared" si="66"/>
        <v>1324.6607441609031</v>
      </c>
    </row>
    <row r="867" spans="1:15" x14ac:dyDescent="0.35">
      <c r="A867" t="s">
        <v>66</v>
      </c>
      <c r="B867">
        <v>12</v>
      </c>
      <c r="C867" t="s">
        <v>65</v>
      </c>
      <c r="D867">
        <v>57</v>
      </c>
      <c r="E867">
        <v>193.01460176350301</v>
      </c>
      <c r="F867">
        <v>23.494429429725098</v>
      </c>
      <c r="G867" t="s">
        <v>66</v>
      </c>
      <c r="H867">
        <v>12</v>
      </c>
      <c r="I867">
        <v>57</v>
      </c>
      <c r="J867">
        <v>6.1860573375492303</v>
      </c>
      <c r="K867" t="b">
        <f t="shared" si="67"/>
        <v>1</v>
      </c>
      <c r="L867">
        <f t="shared" si="68"/>
        <v>222.69508853077735</v>
      </c>
      <c r="M867">
        <f t="shared" si="69"/>
        <v>445.39017706155471</v>
      </c>
      <c r="N867">
        <f t="shared" si="65"/>
        <v>1175.1719711386668</v>
      </c>
      <c r="O867" s="21">
        <f t="shared" si="66"/>
        <v>1349.6672032168324</v>
      </c>
    </row>
    <row r="868" spans="1:15" x14ac:dyDescent="0.35">
      <c r="A868" t="s">
        <v>66</v>
      </c>
      <c r="B868">
        <v>12</v>
      </c>
      <c r="C868" t="s">
        <v>65</v>
      </c>
      <c r="D868">
        <v>58</v>
      </c>
      <c r="E868">
        <v>196.200466336875</v>
      </c>
      <c r="F868">
        <v>24.308324206296898</v>
      </c>
      <c r="G868" t="s">
        <v>66</v>
      </c>
      <c r="H868">
        <v>12</v>
      </c>
      <c r="I868">
        <v>58</v>
      </c>
      <c r="J868">
        <v>6.2989203269857699</v>
      </c>
      <c r="K868" t="b">
        <f t="shared" si="67"/>
        <v>1</v>
      </c>
      <c r="L868">
        <f t="shared" si="68"/>
        <v>226.80771087015768</v>
      </c>
      <c r="M868">
        <f t="shared" si="69"/>
        <v>453.61542174031536</v>
      </c>
      <c r="N868">
        <f t="shared" si="65"/>
        <v>1196.8744636947636</v>
      </c>
      <c r="O868" s="21">
        <f t="shared" si="66"/>
        <v>1374.5921870918646</v>
      </c>
    </row>
    <row r="869" spans="1:15" x14ac:dyDescent="0.35">
      <c r="A869" t="s">
        <v>66</v>
      </c>
      <c r="B869">
        <v>12</v>
      </c>
      <c r="C869" t="s">
        <v>65</v>
      </c>
      <c r="D869">
        <v>59</v>
      </c>
      <c r="E869">
        <v>199.375581683148</v>
      </c>
      <c r="F869">
        <v>25.121128905831799</v>
      </c>
      <c r="G869" t="s">
        <v>66</v>
      </c>
      <c r="H869">
        <v>12</v>
      </c>
      <c r="I869">
        <v>59</v>
      </c>
      <c r="J869">
        <v>6.4102785538854601</v>
      </c>
      <c r="K869" t="b">
        <f t="shared" si="67"/>
        <v>1</v>
      </c>
      <c r="L869">
        <f t="shared" si="68"/>
        <v>230.90698914286526</v>
      </c>
      <c r="M869">
        <f t="shared" si="69"/>
        <v>461.81397828573051</v>
      </c>
      <c r="N869">
        <f t="shared" si="65"/>
        <v>1218.5065390124817</v>
      </c>
      <c r="O869" s="21">
        <f t="shared" si="66"/>
        <v>1399.4362978355468</v>
      </c>
    </row>
    <row r="870" spans="1:15" x14ac:dyDescent="0.35">
      <c r="A870" t="s">
        <v>66</v>
      </c>
      <c r="B870">
        <v>12</v>
      </c>
      <c r="C870" t="s">
        <v>65</v>
      </c>
      <c r="D870">
        <v>60</v>
      </c>
      <c r="E870">
        <v>202.06082166954201</v>
      </c>
      <c r="F870">
        <v>25.883715215452298</v>
      </c>
      <c r="G870" t="s">
        <v>66</v>
      </c>
      <c r="H870">
        <v>12</v>
      </c>
      <c r="I870">
        <v>60</v>
      </c>
      <c r="J870">
        <v>6.51498059964322</v>
      </c>
      <c r="K870" t="b">
        <f t="shared" si="67"/>
        <v>1</v>
      </c>
      <c r="L870">
        <f t="shared" si="68"/>
        <v>234.45951748463753</v>
      </c>
      <c r="M870">
        <f t="shared" si="69"/>
        <v>468.91903496927506</v>
      </c>
      <c r="N870">
        <f t="shared" si="65"/>
        <v>1237.2533904202508</v>
      </c>
      <c r="O870" s="21">
        <f t="shared" si="66"/>
        <v>1420.9667726341668</v>
      </c>
    </row>
    <row r="871" spans="1:15" x14ac:dyDescent="0.35">
      <c r="A871" t="s">
        <v>66</v>
      </c>
      <c r="B871">
        <v>12</v>
      </c>
      <c r="C871" t="s">
        <v>65</v>
      </c>
      <c r="D871">
        <v>61</v>
      </c>
      <c r="E871">
        <v>204.76428459388001</v>
      </c>
      <c r="F871">
        <v>26.619178562506502</v>
      </c>
      <c r="G871" t="s">
        <v>66</v>
      </c>
      <c r="H871">
        <v>12</v>
      </c>
      <c r="I871">
        <v>61</v>
      </c>
      <c r="J871">
        <v>6.6156145026756299</v>
      </c>
      <c r="K871" t="b">
        <f t="shared" si="67"/>
        <v>1</v>
      </c>
      <c r="L871">
        <f t="shared" si="68"/>
        <v>237.99907765906215</v>
      </c>
      <c r="M871">
        <f t="shared" si="69"/>
        <v>475.9981553181243</v>
      </c>
      <c r="N871">
        <f t="shared" si="65"/>
        <v>1255.9318082272409</v>
      </c>
      <c r="O871" s="21">
        <f t="shared" si="66"/>
        <v>1442.4186524791644</v>
      </c>
    </row>
    <row r="872" spans="1:15" x14ac:dyDescent="0.35">
      <c r="A872" t="s">
        <v>66</v>
      </c>
      <c r="B872">
        <v>12</v>
      </c>
      <c r="C872" t="s">
        <v>65</v>
      </c>
      <c r="D872">
        <v>62</v>
      </c>
      <c r="E872">
        <v>207.47249465377101</v>
      </c>
      <c r="F872">
        <v>27.340647224142899</v>
      </c>
      <c r="G872" t="s">
        <v>66</v>
      </c>
      <c r="H872">
        <v>12</v>
      </c>
      <c r="I872">
        <v>62</v>
      </c>
      <c r="J872">
        <v>6.7136181234795798</v>
      </c>
      <c r="K872" t="b">
        <f t="shared" si="67"/>
        <v>1</v>
      </c>
      <c r="L872">
        <f t="shared" si="68"/>
        <v>241.52676000139348</v>
      </c>
      <c r="M872">
        <f t="shared" si="69"/>
        <v>483.05352000278697</v>
      </c>
      <c r="N872">
        <f t="shared" si="65"/>
        <v>1274.547546181496</v>
      </c>
      <c r="O872" s="21">
        <f t="shared" si="66"/>
        <v>1463.7985454629907</v>
      </c>
    </row>
    <row r="873" spans="1:15" x14ac:dyDescent="0.35">
      <c r="A873" t="s">
        <v>66</v>
      </c>
      <c r="B873">
        <v>12</v>
      </c>
      <c r="C873" t="s">
        <v>65</v>
      </c>
      <c r="D873">
        <v>63</v>
      </c>
      <c r="E873">
        <v>210.177725811676</v>
      </c>
      <c r="F873">
        <v>28.055537171880101</v>
      </c>
      <c r="G873" t="s">
        <v>66</v>
      </c>
      <c r="H873">
        <v>12</v>
      </c>
      <c r="I873">
        <v>63</v>
      </c>
      <c r="J873">
        <v>6.8098054686343099</v>
      </c>
      <c r="K873" t="b">
        <f t="shared" si="67"/>
        <v>1</v>
      </c>
      <c r="L873">
        <f t="shared" si="68"/>
        <v>245.04306845219043</v>
      </c>
      <c r="M873">
        <f t="shared" si="69"/>
        <v>490.08613690438085</v>
      </c>
      <c r="N873">
        <f t="shared" si="65"/>
        <v>1293.1032635999495</v>
      </c>
      <c r="O873" s="21">
        <f t="shared" si="66"/>
        <v>1485.109505770851</v>
      </c>
    </row>
    <row r="874" spans="1:15" x14ac:dyDescent="0.35">
      <c r="A874" t="s">
        <v>66</v>
      </c>
      <c r="B874">
        <v>12</v>
      </c>
      <c r="C874" t="s">
        <v>65</v>
      </c>
      <c r="D874">
        <v>64</v>
      </c>
      <c r="E874">
        <v>212.87554497021</v>
      </c>
      <c r="F874">
        <v>28.767997506975899</v>
      </c>
      <c r="G874" t="s">
        <v>66</v>
      </c>
      <c r="H874">
        <v>12</v>
      </c>
      <c r="I874">
        <v>64</v>
      </c>
      <c r="J874">
        <v>6.9046495827565701</v>
      </c>
      <c r="K874" t="b">
        <f t="shared" si="67"/>
        <v>1</v>
      </c>
      <c r="L874">
        <f t="shared" si="68"/>
        <v>248.54819205994247</v>
      </c>
      <c r="M874">
        <f t="shared" si="69"/>
        <v>497.09638411988493</v>
      </c>
      <c r="N874">
        <f t="shared" si="65"/>
        <v>1311.5999580999603</v>
      </c>
      <c r="O874" s="21">
        <f t="shared" si="66"/>
        <v>1506.3526791511663</v>
      </c>
    </row>
    <row r="875" spans="1:15" x14ac:dyDescent="0.35">
      <c r="A875" t="s">
        <v>66</v>
      </c>
      <c r="B875">
        <v>12</v>
      </c>
      <c r="C875" t="s">
        <v>65</v>
      </c>
      <c r="D875">
        <v>65</v>
      </c>
      <c r="E875">
        <v>215.194297868631</v>
      </c>
      <c r="F875">
        <v>29.429540847434101</v>
      </c>
      <c r="G875" t="s">
        <v>66</v>
      </c>
      <c r="H875">
        <v>12</v>
      </c>
      <c r="I875">
        <v>65</v>
      </c>
      <c r="J875">
        <v>6.9942131193952699</v>
      </c>
      <c r="K875" t="b">
        <f t="shared" si="67"/>
        <v>1</v>
      </c>
      <c r="L875">
        <f t="shared" si="68"/>
        <v>251.61805183546039</v>
      </c>
      <c r="M875">
        <f t="shared" si="69"/>
        <v>503.23610367092078</v>
      </c>
      <c r="N875">
        <f t="shared" si="65"/>
        <v>1327.799745833564</v>
      </c>
      <c r="O875" s="21">
        <f t="shared" si="66"/>
        <v>1524.957889911881</v>
      </c>
    </row>
    <row r="876" spans="1:15" x14ac:dyDescent="0.35">
      <c r="A876" t="s">
        <v>66</v>
      </c>
      <c r="B876">
        <v>12</v>
      </c>
      <c r="C876" t="s">
        <v>65</v>
      </c>
      <c r="D876">
        <v>66</v>
      </c>
      <c r="E876">
        <v>217.534602009944</v>
      </c>
      <c r="F876">
        <v>30.063253367710601</v>
      </c>
      <c r="G876" t="s">
        <v>66</v>
      </c>
      <c r="H876">
        <v>12</v>
      </c>
      <c r="I876">
        <v>66</v>
      </c>
      <c r="J876">
        <v>7.0806179114456702</v>
      </c>
      <c r="K876" t="b">
        <f t="shared" si="67"/>
        <v>1</v>
      </c>
      <c r="L876">
        <f t="shared" si="68"/>
        <v>254.67847328910025</v>
      </c>
      <c r="M876">
        <f t="shared" si="69"/>
        <v>509.35694657820051</v>
      </c>
      <c r="N876">
        <f t="shared" si="65"/>
        <v>1343.9497271192624</v>
      </c>
      <c r="O876" s="21">
        <f t="shared" si="66"/>
        <v>1543.5058987218197</v>
      </c>
    </row>
    <row r="877" spans="1:15" x14ac:dyDescent="0.35">
      <c r="A877" t="s">
        <v>66</v>
      </c>
      <c r="B877">
        <v>12</v>
      </c>
      <c r="C877" t="s">
        <v>65</v>
      </c>
      <c r="D877">
        <v>67</v>
      </c>
      <c r="E877">
        <v>219.88307498870799</v>
      </c>
      <c r="F877">
        <v>30.682202679999801</v>
      </c>
      <c r="G877" t="s">
        <v>66</v>
      </c>
      <c r="H877">
        <v>12</v>
      </c>
      <c r="I877">
        <v>67</v>
      </c>
      <c r="J877">
        <v>7.1650205566544498</v>
      </c>
      <c r="K877" t="b">
        <f t="shared" si="67"/>
        <v>1</v>
      </c>
      <c r="L877">
        <f t="shared" si="68"/>
        <v>257.73029822536222</v>
      </c>
      <c r="M877">
        <f t="shared" si="69"/>
        <v>515.46059645072444</v>
      </c>
      <c r="N877">
        <f t="shared" si="65"/>
        <v>1360.054344197162</v>
      </c>
      <c r="O877" s="21">
        <f t="shared" si="66"/>
        <v>1562.0018074264376</v>
      </c>
    </row>
    <row r="878" spans="1:15" x14ac:dyDescent="0.35">
      <c r="A878" t="s">
        <v>66</v>
      </c>
      <c r="B878">
        <v>12</v>
      </c>
      <c r="C878" t="s">
        <v>65</v>
      </c>
      <c r="D878">
        <v>68</v>
      </c>
      <c r="E878">
        <v>222.23208741693099</v>
      </c>
      <c r="F878">
        <v>31.2937454423801</v>
      </c>
      <c r="G878" t="s">
        <v>66</v>
      </c>
      <c r="H878">
        <v>12</v>
      </c>
      <c r="I878">
        <v>68</v>
      </c>
      <c r="J878">
        <v>7.24806282293941</v>
      </c>
      <c r="K878" t="b">
        <f t="shared" si="67"/>
        <v>1</v>
      </c>
      <c r="L878">
        <f t="shared" si="68"/>
        <v>260.7738956822505</v>
      </c>
      <c r="M878">
        <f t="shared" si="69"/>
        <v>521.54779136450099</v>
      </c>
      <c r="N878">
        <f t="shared" si="65"/>
        <v>1376.115544497364</v>
      </c>
      <c r="O878" s="21">
        <f t="shared" si="66"/>
        <v>1580.4478526196999</v>
      </c>
    </row>
    <row r="879" spans="1:15" x14ac:dyDescent="0.35">
      <c r="A879" t="s">
        <v>66</v>
      </c>
      <c r="B879">
        <v>12</v>
      </c>
      <c r="C879" t="s">
        <v>65</v>
      </c>
      <c r="D879">
        <v>69</v>
      </c>
      <c r="E879">
        <v>224.57728834445899</v>
      </c>
      <c r="F879">
        <v>31.901988390964501</v>
      </c>
      <c r="G879" t="s">
        <v>66</v>
      </c>
      <c r="H879">
        <v>12</v>
      </c>
      <c r="I879">
        <v>69</v>
      </c>
      <c r="J879">
        <v>7.3301103429921302</v>
      </c>
      <c r="K879" t="b">
        <f t="shared" si="67"/>
        <v>1</v>
      </c>
      <c r="L879">
        <f t="shared" si="68"/>
        <v>263.80938707841563</v>
      </c>
      <c r="M879">
        <f t="shared" si="69"/>
        <v>527.61877415683125</v>
      </c>
      <c r="N879">
        <f t="shared" si="65"/>
        <v>1392.1339687515335</v>
      </c>
      <c r="O879" s="21">
        <f t="shared" si="66"/>
        <v>1598.8447701722159</v>
      </c>
    </row>
    <row r="880" spans="1:15" x14ac:dyDescent="0.35">
      <c r="A880" t="s">
        <v>66</v>
      </c>
      <c r="B880">
        <v>12</v>
      </c>
      <c r="C880" t="s">
        <v>65</v>
      </c>
      <c r="D880">
        <v>70</v>
      </c>
      <c r="E880">
        <v>226.65996851902199</v>
      </c>
      <c r="F880">
        <v>32.464857616899202</v>
      </c>
      <c r="G880" t="s">
        <v>66</v>
      </c>
      <c r="H880">
        <v>12</v>
      </c>
      <c r="I880">
        <v>70</v>
      </c>
      <c r="J880">
        <v>7.4084484309778498</v>
      </c>
      <c r="K880" t="b">
        <f t="shared" si="67"/>
        <v>1</v>
      </c>
      <c r="L880">
        <f t="shared" si="68"/>
        <v>266.53327456689902</v>
      </c>
      <c r="M880">
        <f t="shared" si="69"/>
        <v>533.06654913379805</v>
      </c>
      <c r="N880">
        <f t="shared" si="65"/>
        <v>1406.5080452079103</v>
      </c>
      <c r="O880" s="21">
        <f t="shared" si="66"/>
        <v>1615.3531791933274</v>
      </c>
    </row>
    <row r="881" spans="1:15" x14ac:dyDescent="0.35">
      <c r="A881" t="s">
        <v>66</v>
      </c>
      <c r="B881">
        <v>12</v>
      </c>
      <c r="C881" t="s">
        <v>65</v>
      </c>
      <c r="D881">
        <v>71</v>
      </c>
      <c r="E881">
        <v>228.76356704732899</v>
      </c>
      <c r="F881">
        <v>33.003157151485198</v>
      </c>
      <c r="G881" t="s">
        <v>66</v>
      </c>
      <c r="H881">
        <v>12</v>
      </c>
      <c r="I881">
        <v>71</v>
      </c>
      <c r="J881">
        <v>7.4846254426288299</v>
      </c>
      <c r="K881" t="b">
        <f t="shared" si="67"/>
        <v>1</v>
      </c>
      <c r="L881">
        <f t="shared" si="68"/>
        <v>269.25134964144303</v>
      </c>
      <c r="M881">
        <f t="shared" si="69"/>
        <v>538.50269928288606</v>
      </c>
      <c r="N881">
        <f t="shared" si="65"/>
        <v>1420.8514492952138</v>
      </c>
      <c r="O881" s="21">
        <f t="shared" si="66"/>
        <v>1631.8263614632911</v>
      </c>
    </row>
    <row r="882" spans="1:15" x14ac:dyDescent="0.35">
      <c r="A882" t="s">
        <v>66</v>
      </c>
      <c r="B882">
        <v>12</v>
      </c>
      <c r="C882" t="s">
        <v>65</v>
      </c>
      <c r="D882">
        <v>72</v>
      </c>
      <c r="E882">
        <v>230.87604505595499</v>
      </c>
      <c r="F882">
        <v>33.528611686497399</v>
      </c>
      <c r="G882" t="s">
        <v>66</v>
      </c>
      <c r="H882">
        <v>12</v>
      </c>
      <c r="I882">
        <v>72</v>
      </c>
      <c r="J882">
        <v>7.5594623671005401</v>
      </c>
      <c r="K882" t="b">
        <f t="shared" si="67"/>
        <v>1</v>
      </c>
      <c r="L882">
        <f t="shared" si="68"/>
        <v>271.96411910955294</v>
      </c>
      <c r="M882">
        <f t="shared" si="69"/>
        <v>543.92823821910588</v>
      </c>
      <c r="N882">
        <f t="shared" si="65"/>
        <v>1435.1668554593823</v>
      </c>
      <c r="O882" s="21">
        <f t="shared" si="66"/>
        <v>1648.267388542745</v>
      </c>
    </row>
    <row r="883" spans="1:15" x14ac:dyDescent="0.35">
      <c r="A883" t="s">
        <v>66</v>
      </c>
      <c r="B883">
        <v>12</v>
      </c>
      <c r="C883" t="s">
        <v>65</v>
      </c>
      <c r="D883">
        <v>73</v>
      </c>
      <c r="E883">
        <v>232.990562505296</v>
      </c>
      <c r="F883">
        <v>34.047789822861098</v>
      </c>
      <c r="G883" t="s">
        <v>66</v>
      </c>
      <c r="H883">
        <v>12</v>
      </c>
      <c r="I883">
        <v>73</v>
      </c>
      <c r="J883">
        <v>7.6334006448242304</v>
      </c>
      <c r="K883" t="b">
        <f t="shared" si="67"/>
        <v>1</v>
      </c>
      <c r="L883">
        <f t="shared" si="68"/>
        <v>274.67175297298132</v>
      </c>
      <c r="M883">
        <f t="shared" si="69"/>
        <v>549.34350594596265</v>
      </c>
      <c r="N883">
        <f t="shared" si="65"/>
        <v>1449.4551608072893</v>
      </c>
      <c r="O883" s="21">
        <f t="shared" si="66"/>
        <v>1664.6772907453412</v>
      </c>
    </row>
    <row r="884" spans="1:15" x14ac:dyDescent="0.35">
      <c r="A884" t="s">
        <v>66</v>
      </c>
      <c r="B884">
        <v>12</v>
      </c>
      <c r="C884" t="s">
        <v>65</v>
      </c>
      <c r="D884">
        <v>74</v>
      </c>
      <c r="E884">
        <v>235.10323229163399</v>
      </c>
      <c r="F884">
        <v>34.564336355087597</v>
      </c>
      <c r="G884" t="s">
        <v>66</v>
      </c>
      <c r="H884">
        <v>12</v>
      </c>
      <c r="I884">
        <v>74</v>
      </c>
      <c r="J884">
        <v>7.70668337986341</v>
      </c>
      <c r="K884" t="b">
        <f t="shared" si="67"/>
        <v>1</v>
      </c>
      <c r="L884">
        <f t="shared" si="68"/>
        <v>277.374252026585</v>
      </c>
      <c r="M884">
        <f t="shared" si="69"/>
        <v>554.74850405317</v>
      </c>
      <c r="N884">
        <f t="shared" si="65"/>
        <v>1463.71636953343</v>
      </c>
      <c r="O884" s="21">
        <f t="shared" si="66"/>
        <v>1681.0560728883938</v>
      </c>
    </row>
    <row r="885" spans="1:15" x14ac:dyDescent="0.35">
      <c r="A885" t="s">
        <v>66</v>
      </c>
      <c r="B885">
        <v>12</v>
      </c>
      <c r="C885" t="s">
        <v>65</v>
      </c>
      <c r="D885">
        <v>75</v>
      </c>
      <c r="E885">
        <v>237.013057741247</v>
      </c>
      <c r="F885">
        <v>35.043548380099502</v>
      </c>
      <c r="G885" t="s">
        <v>66</v>
      </c>
      <c r="H885">
        <v>12</v>
      </c>
      <c r="I885">
        <v>75</v>
      </c>
      <c r="J885">
        <v>7.77717575210412</v>
      </c>
      <c r="K885" t="b">
        <f t="shared" si="67"/>
        <v>1</v>
      </c>
      <c r="L885">
        <f t="shared" si="68"/>
        <v>279.83378187345062</v>
      </c>
      <c r="M885">
        <f t="shared" si="69"/>
        <v>559.66756374690124</v>
      </c>
      <c r="N885">
        <f t="shared" si="65"/>
        <v>1476.6954188572593</v>
      </c>
      <c r="O885" s="21">
        <f t="shared" si="66"/>
        <v>1695.962314384549</v>
      </c>
    </row>
    <row r="886" spans="1:15" x14ac:dyDescent="0.35">
      <c r="A886" t="s">
        <v>66</v>
      </c>
      <c r="B886">
        <v>12</v>
      </c>
      <c r="C886" t="s">
        <v>65</v>
      </c>
      <c r="D886">
        <v>76</v>
      </c>
      <c r="E886">
        <v>238.941096010048</v>
      </c>
      <c r="F886">
        <v>35.502914010649398</v>
      </c>
      <c r="G886" t="s">
        <v>66</v>
      </c>
      <c r="H886">
        <v>12</v>
      </c>
      <c r="I886">
        <v>76</v>
      </c>
      <c r="J886">
        <v>7.8460738779900403</v>
      </c>
      <c r="K886" t="b">
        <f t="shared" si="67"/>
        <v>1</v>
      </c>
      <c r="L886">
        <f t="shared" si="68"/>
        <v>282.29008389868744</v>
      </c>
      <c r="M886">
        <f t="shared" si="69"/>
        <v>564.58016779737488</v>
      </c>
      <c r="N886">
        <f t="shared" si="65"/>
        <v>1489.6574348215695</v>
      </c>
      <c r="O886" s="21">
        <f t="shared" si="66"/>
        <v>1710.8489933253784</v>
      </c>
    </row>
    <row r="887" spans="1:15" x14ac:dyDescent="0.35">
      <c r="A887" t="s">
        <v>66</v>
      </c>
      <c r="B887">
        <v>12</v>
      </c>
      <c r="C887" t="s">
        <v>65</v>
      </c>
      <c r="D887">
        <v>77</v>
      </c>
      <c r="E887">
        <v>240.87722033814001</v>
      </c>
      <c r="F887">
        <v>35.952246650116599</v>
      </c>
      <c r="G887" t="s">
        <v>66</v>
      </c>
      <c r="H887">
        <v>12</v>
      </c>
      <c r="I887">
        <v>77</v>
      </c>
      <c r="J887">
        <v>7.9140019702878899</v>
      </c>
      <c r="K887" t="b">
        <f t="shared" si="67"/>
        <v>1</v>
      </c>
      <c r="L887">
        <f t="shared" si="68"/>
        <v>284.7434689585445</v>
      </c>
      <c r="M887">
        <f t="shared" si="69"/>
        <v>569.48693791708899</v>
      </c>
      <c r="N887">
        <f t="shared" si="65"/>
        <v>1502.6040578287309</v>
      </c>
      <c r="O887" s="21">
        <f t="shared" si="66"/>
        <v>1725.7179936881485</v>
      </c>
    </row>
    <row r="888" spans="1:15" x14ac:dyDescent="0.35">
      <c r="A888" t="s">
        <v>66</v>
      </c>
      <c r="B888">
        <v>12</v>
      </c>
      <c r="C888" t="s">
        <v>65</v>
      </c>
      <c r="D888">
        <v>78</v>
      </c>
      <c r="E888">
        <v>242.81569046905699</v>
      </c>
      <c r="F888">
        <v>36.397013557059303</v>
      </c>
      <c r="G888" t="s">
        <v>66</v>
      </c>
      <c r="H888">
        <v>12</v>
      </c>
      <c r="I888">
        <v>78</v>
      </c>
      <c r="J888">
        <v>7.9812891352995701</v>
      </c>
      <c r="K888" t="b">
        <f t="shared" si="67"/>
        <v>1</v>
      </c>
      <c r="L888">
        <f t="shared" si="68"/>
        <v>287.19399316141585</v>
      </c>
      <c r="M888">
        <f t="shared" si="69"/>
        <v>574.38798632283169</v>
      </c>
      <c r="N888">
        <f t="shared" si="65"/>
        <v>1515.535583965255</v>
      </c>
      <c r="O888" s="21">
        <f t="shared" si="66"/>
        <v>1740.5696555237323</v>
      </c>
    </row>
    <row r="889" spans="1:15" x14ac:dyDescent="0.35">
      <c r="A889" t="s">
        <v>66</v>
      </c>
      <c r="B889">
        <v>12</v>
      </c>
      <c r="C889" t="s">
        <v>65</v>
      </c>
      <c r="D889">
        <v>79</v>
      </c>
      <c r="E889">
        <v>244.753251894909</v>
      </c>
      <c r="F889">
        <v>36.840224221493003</v>
      </c>
      <c r="G889" t="s">
        <v>66</v>
      </c>
      <c r="H889">
        <v>12</v>
      </c>
      <c r="I889">
        <v>79</v>
      </c>
      <c r="J889">
        <v>8.0481124265587702</v>
      </c>
      <c r="K889" t="b">
        <f t="shared" si="67"/>
        <v>1</v>
      </c>
      <c r="L889">
        <f t="shared" si="68"/>
        <v>289.64158854296079</v>
      </c>
      <c r="M889">
        <f t="shared" si="69"/>
        <v>579.28317708592158</v>
      </c>
      <c r="N889">
        <f t="shared" si="65"/>
        <v>1528.451654580268</v>
      </c>
      <c r="O889" s="21">
        <f t="shared" si="66"/>
        <v>1755.4035669270349</v>
      </c>
    </row>
    <row r="890" spans="1:15" x14ac:dyDescent="0.35">
      <c r="A890" t="s">
        <v>66</v>
      </c>
      <c r="B890">
        <v>12</v>
      </c>
      <c r="C890" t="s">
        <v>65</v>
      </c>
      <c r="D890">
        <v>80</v>
      </c>
      <c r="E890">
        <v>246.38051423500701</v>
      </c>
      <c r="F890">
        <v>37.310900741758402</v>
      </c>
      <c r="G890" t="s">
        <v>66</v>
      </c>
      <c r="H890">
        <v>12</v>
      </c>
      <c r="I890">
        <v>80</v>
      </c>
      <c r="J890">
        <v>8.1110527991675099</v>
      </c>
      <c r="K890" t="b">
        <f t="shared" si="67"/>
        <v>1</v>
      </c>
      <c r="L890">
        <f t="shared" si="68"/>
        <v>291.80246777593294</v>
      </c>
      <c r="M890">
        <f t="shared" si="69"/>
        <v>583.60493555186588</v>
      </c>
      <c r="N890">
        <f t="shared" si="65"/>
        <v>1539.8547112186434</v>
      </c>
      <c r="O890" s="21">
        <f t="shared" si="66"/>
        <v>1768.4998047026238</v>
      </c>
    </row>
    <row r="891" spans="1:15" x14ac:dyDescent="0.35">
      <c r="A891" t="s">
        <v>66</v>
      </c>
      <c r="B891">
        <v>12</v>
      </c>
      <c r="C891" t="s">
        <v>65</v>
      </c>
      <c r="D891">
        <v>81</v>
      </c>
      <c r="E891">
        <v>247.98375070592999</v>
      </c>
      <c r="F891">
        <v>37.748832271431802</v>
      </c>
      <c r="G891" t="s">
        <v>66</v>
      </c>
      <c r="H891">
        <v>12</v>
      </c>
      <c r="I891">
        <v>81</v>
      </c>
      <c r="J891">
        <v>8.1712419578916506</v>
      </c>
      <c r="K891" t="b">
        <f t="shared" si="67"/>
        <v>1</v>
      </c>
      <c r="L891">
        <f t="shared" si="68"/>
        <v>293.90382493525345</v>
      </c>
      <c r="M891">
        <f t="shared" si="69"/>
        <v>587.80764987050691</v>
      </c>
      <c r="N891">
        <f t="shared" ref="N891:N910" si="70">M891/(1-0.621)</f>
        <v>1550.9436672045038</v>
      </c>
      <c r="O891" s="21">
        <f t="shared" ref="O891:O910" si="71">M891/0.33</f>
        <v>1781.2353026378996</v>
      </c>
    </row>
    <row r="892" spans="1:15" x14ac:dyDescent="0.35">
      <c r="A892" t="s">
        <v>66</v>
      </c>
      <c r="B892">
        <v>12</v>
      </c>
      <c r="C892" t="s">
        <v>65</v>
      </c>
      <c r="D892">
        <v>82</v>
      </c>
      <c r="E892">
        <v>249.55530418145</v>
      </c>
      <c r="F892">
        <v>38.163255598486998</v>
      </c>
      <c r="G892" t="s">
        <v>66</v>
      </c>
      <c r="H892">
        <v>12</v>
      </c>
      <c r="I892">
        <v>82</v>
      </c>
      <c r="J892">
        <v>8.2292781341838701</v>
      </c>
      <c r="K892" t="b">
        <f t="shared" si="67"/>
        <v>1</v>
      </c>
      <c r="L892">
        <f t="shared" si="68"/>
        <v>295.94783791412084</v>
      </c>
      <c r="M892">
        <f t="shared" si="69"/>
        <v>591.89567582824168</v>
      </c>
      <c r="N892">
        <f t="shared" si="70"/>
        <v>1561.7300153779463</v>
      </c>
      <c r="O892" s="21">
        <f t="shared" si="71"/>
        <v>1793.6232600855808</v>
      </c>
    </row>
    <row r="893" spans="1:15" x14ac:dyDescent="0.35">
      <c r="A893" t="s">
        <v>66</v>
      </c>
      <c r="B893">
        <v>12</v>
      </c>
      <c r="C893" t="s">
        <v>65</v>
      </c>
      <c r="D893">
        <v>83</v>
      </c>
      <c r="E893">
        <v>251.091357494123</v>
      </c>
      <c r="F893">
        <v>38.559544587247402</v>
      </c>
      <c r="G893" t="s">
        <v>66</v>
      </c>
      <c r="H893">
        <v>12</v>
      </c>
      <c r="I893">
        <v>83</v>
      </c>
      <c r="J893">
        <v>8.28548563003325</v>
      </c>
      <c r="K893" t="b">
        <f t="shared" si="67"/>
        <v>1</v>
      </c>
      <c r="L893">
        <f t="shared" si="68"/>
        <v>297.93638771140365</v>
      </c>
      <c r="M893">
        <f t="shared" si="69"/>
        <v>595.87277542280731</v>
      </c>
      <c r="N893">
        <f t="shared" si="70"/>
        <v>1572.2236818543729</v>
      </c>
      <c r="O893" s="21">
        <f t="shared" si="71"/>
        <v>1805.6750770388098</v>
      </c>
    </row>
    <row r="894" spans="1:15" x14ac:dyDescent="0.35">
      <c r="A894" t="s">
        <v>66</v>
      </c>
      <c r="B894">
        <v>12</v>
      </c>
      <c r="C894" t="s">
        <v>65</v>
      </c>
      <c r="D894">
        <v>84</v>
      </c>
      <c r="E894">
        <v>252.59024902915399</v>
      </c>
      <c r="F894">
        <v>38.940884992870799</v>
      </c>
      <c r="G894" t="s">
        <v>66</v>
      </c>
      <c r="H894">
        <v>12</v>
      </c>
      <c r="I894">
        <v>84</v>
      </c>
      <c r="J894">
        <v>8.3400489332342396</v>
      </c>
      <c r="K894" t="b">
        <f t="shared" si="67"/>
        <v>1</v>
      </c>
      <c r="L894">
        <f t="shared" si="68"/>
        <v>299.87118295525903</v>
      </c>
      <c r="M894">
        <f t="shared" si="69"/>
        <v>599.74236591051806</v>
      </c>
      <c r="N894">
        <f t="shared" si="70"/>
        <v>1582.4336831412086</v>
      </c>
      <c r="O894" s="21">
        <f t="shared" si="71"/>
        <v>1817.4011088197517</v>
      </c>
    </row>
    <row r="895" spans="1:15" x14ac:dyDescent="0.35">
      <c r="A895" t="s">
        <v>66</v>
      </c>
      <c r="B895">
        <v>12</v>
      </c>
      <c r="C895" t="s">
        <v>65</v>
      </c>
      <c r="D895">
        <v>85</v>
      </c>
      <c r="E895">
        <v>254.051519924243</v>
      </c>
      <c r="F895">
        <v>39.309222292074601</v>
      </c>
      <c r="G895" t="s">
        <v>66</v>
      </c>
      <c r="H895">
        <v>12</v>
      </c>
      <c r="I895">
        <v>85</v>
      </c>
      <c r="J895">
        <v>8.3930814619344893</v>
      </c>
      <c r="K895" t="b">
        <f t="shared" si="67"/>
        <v>1</v>
      </c>
      <c r="L895">
        <f t="shared" si="68"/>
        <v>301.7538236782521</v>
      </c>
      <c r="M895">
        <f t="shared" si="69"/>
        <v>603.50764735650421</v>
      </c>
      <c r="N895">
        <f t="shared" si="70"/>
        <v>1592.3684626820691</v>
      </c>
      <c r="O895" s="21">
        <f t="shared" si="71"/>
        <v>1828.8110525954671</v>
      </c>
    </row>
    <row r="896" spans="1:15" x14ac:dyDescent="0.35">
      <c r="A896" t="s">
        <v>66</v>
      </c>
      <c r="B896">
        <v>12</v>
      </c>
      <c r="C896" t="s">
        <v>65</v>
      </c>
      <c r="D896">
        <v>86</v>
      </c>
      <c r="E896">
        <v>255.47537571420801</v>
      </c>
      <c r="F896">
        <v>39.665797722106198</v>
      </c>
      <c r="G896" t="s">
        <v>66</v>
      </c>
      <c r="H896">
        <v>12</v>
      </c>
      <c r="I896">
        <v>86</v>
      </c>
      <c r="J896">
        <v>8.4446604875470701</v>
      </c>
      <c r="K896" t="b">
        <f t="shared" si="67"/>
        <v>1</v>
      </c>
      <c r="L896">
        <f t="shared" si="68"/>
        <v>303.58583392386129</v>
      </c>
      <c r="M896">
        <f t="shared" si="69"/>
        <v>607.17166784772257</v>
      </c>
      <c r="N896">
        <f t="shared" si="70"/>
        <v>1602.0360629227509</v>
      </c>
      <c r="O896" s="21">
        <f t="shared" si="71"/>
        <v>1839.9141449930987</v>
      </c>
    </row>
    <row r="897" spans="1:15" x14ac:dyDescent="0.35">
      <c r="A897" t="s">
        <v>66</v>
      </c>
      <c r="B897">
        <v>12</v>
      </c>
      <c r="C897" t="s">
        <v>65</v>
      </c>
      <c r="D897">
        <v>87</v>
      </c>
      <c r="E897">
        <v>256.86238254666699</v>
      </c>
      <c r="F897">
        <v>40.011451260921</v>
      </c>
      <c r="G897" t="s">
        <v>66</v>
      </c>
      <c r="H897">
        <v>12</v>
      </c>
      <c r="I897">
        <v>87</v>
      </c>
      <c r="J897">
        <v>8.4948447048571296</v>
      </c>
      <c r="K897" t="b">
        <f t="shared" si="67"/>
        <v>1</v>
      </c>
      <c r="L897">
        <f t="shared" si="68"/>
        <v>305.36867851244511</v>
      </c>
      <c r="M897">
        <f t="shared" si="69"/>
        <v>610.73735702489023</v>
      </c>
      <c r="N897">
        <f t="shared" si="70"/>
        <v>1611.4442137859901</v>
      </c>
      <c r="O897" s="21">
        <f t="shared" si="71"/>
        <v>1850.7192637117885</v>
      </c>
    </row>
    <row r="898" spans="1:15" x14ac:dyDescent="0.35">
      <c r="A898" t="s">
        <v>66</v>
      </c>
      <c r="B898">
        <v>12</v>
      </c>
      <c r="C898" t="s">
        <v>65</v>
      </c>
      <c r="D898">
        <v>88</v>
      </c>
      <c r="E898">
        <v>258.21329606869199</v>
      </c>
      <c r="F898">
        <v>40.346792791965299</v>
      </c>
      <c r="G898" t="s">
        <v>66</v>
      </c>
      <c r="H898">
        <v>12</v>
      </c>
      <c r="I898">
        <v>88</v>
      </c>
      <c r="J898">
        <v>8.5436829843976607</v>
      </c>
      <c r="K898" t="b">
        <f t="shared" ref="K898:K910" si="72">H898=B898</f>
        <v>1</v>
      </c>
      <c r="L898">
        <f t="shared" ref="L898:L910" si="73">E898+F898+J898</f>
        <v>307.10377184505495</v>
      </c>
      <c r="M898">
        <f t="shared" ref="M898:M910" si="74">L898*2</f>
        <v>614.2075436901099</v>
      </c>
      <c r="N898">
        <f t="shared" si="70"/>
        <v>1620.6003791295775</v>
      </c>
      <c r="O898" s="21">
        <f t="shared" si="71"/>
        <v>1861.2349808791207</v>
      </c>
    </row>
    <row r="899" spans="1:15" x14ac:dyDescent="0.35">
      <c r="A899" t="s">
        <v>66</v>
      </c>
      <c r="B899">
        <v>12</v>
      </c>
      <c r="C899" t="s">
        <v>65</v>
      </c>
      <c r="D899">
        <v>89</v>
      </c>
      <c r="E899">
        <v>259.52896530233397</v>
      </c>
      <c r="F899">
        <v>40.6722987589404</v>
      </c>
      <c r="G899" t="s">
        <v>66</v>
      </c>
      <c r="H899">
        <v>12</v>
      </c>
      <c r="I899">
        <v>89</v>
      </c>
      <c r="J899">
        <v>8.5912186937013608</v>
      </c>
      <c r="K899" t="b">
        <f t="shared" si="72"/>
        <v>1</v>
      </c>
      <c r="L899">
        <f t="shared" si="73"/>
        <v>308.79248275497577</v>
      </c>
      <c r="M899">
        <f t="shared" si="74"/>
        <v>617.58496550995153</v>
      </c>
      <c r="N899">
        <f t="shared" si="70"/>
        <v>1629.5117823481571</v>
      </c>
      <c r="O899" s="21">
        <f t="shared" si="71"/>
        <v>1871.4695924543985</v>
      </c>
    </row>
    <row r="900" spans="1:15" x14ac:dyDescent="0.35">
      <c r="A900" t="s">
        <v>66</v>
      </c>
      <c r="B900">
        <v>12</v>
      </c>
      <c r="C900" t="s">
        <v>65</v>
      </c>
      <c r="D900">
        <v>90</v>
      </c>
      <c r="E900">
        <v>260.81027887708899</v>
      </c>
      <c r="F900">
        <v>40.988366726790403</v>
      </c>
      <c r="G900" t="s">
        <v>66</v>
      </c>
      <c r="H900">
        <v>12</v>
      </c>
      <c r="I900">
        <v>90</v>
      </c>
      <c r="J900">
        <v>8.6374918200374307</v>
      </c>
      <c r="K900" t="b">
        <f t="shared" si="72"/>
        <v>1</v>
      </c>
      <c r="L900">
        <f t="shared" si="73"/>
        <v>310.43613742391682</v>
      </c>
      <c r="M900">
        <f t="shared" si="74"/>
        <v>620.87227484783364</v>
      </c>
      <c r="N900">
        <f t="shared" si="70"/>
        <v>1638.1854217620939</v>
      </c>
      <c r="O900" s="21">
        <f t="shared" si="71"/>
        <v>1881.4311359025262</v>
      </c>
    </row>
    <row r="901" spans="1:15" x14ac:dyDescent="0.35">
      <c r="A901" t="s">
        <v>66</v>
      </c>
      <c r="B901">
        <v>12</v>
      </c>
      <c r="C901" t="s">
        <v>65</v>
      </c>
      <c r="D901">
        <v>91</v>
      </c>
      <c r="E901">
        <v>262.058135168229</v>
      </c>
      <c r="F901">
        <v>41.295346176541898</v>
      </c>
      <c r="G901" t="s">
        <v>66</v>
      </c>
      <c r="H901">
        <v>12</v>
      </c>
      <c r="I901">
        <v>91</v>
      </c>
      <c r="J901">
        <v>8.6825400179273799</v>
      </c>
      <c r="K901" t="b">
        <f t="shared" si="72"/>
        <v>1</v>
      </c>
      <c r="L901">
        <f t="shared" si="73"/>
        <v>312.03602136269831</v>
      </c>
      <c r="M901">
        <f t="shared" si="74"/>
        <v>624.07204272539661</v>
      </c>
      <c r="N901">
        <f t="shared" si="70"/>
        <v>1646.628081069648</v>
      </c>
      <c r="O901" s="21">
        <f t="shared" si="71"/>
        <v>1891.1274021981715</v>
      </c>
    </row>
    <row r="902" spans="1:15" x14ac:dyDescent="0.35">
      <c r="A902" t="s">
        <v>66</v>
      </c>
      <c r="B902">
        <v>12</v>
      </c>
      <c r="C902" t="s">
        <v>65</v>
      </c>
      <c r="D902">
        <v>92</v>
      </c>
      <c r="E902">
        <v>263.27342591325299</v>
      </c>
      <c r="F902">
        <v>41.593555891203401</v>
      </c>
      <c r="G902" t="s">
        <v>66</v>
      </c>
      <c r="H902">
        <v>12</v>
      </c>
      <c r="I902">
        <v>92</v>
      </c>
      <c r="J902">
        <v>8.7263991389050108</v>
      </c>
      <c r="K902" t="b">
        <f t="shared" si="72"/>
        <v>1</v>
      </c>
      <c r="L902">
        <f t="shared" si="73"/>
        <v>313.59338094336141</v>
      </c>
      <c r="M902">
        <f t="shared" si="74"/>
        <v>627.18676188672282</v>
      </c>
      <c r="N902">
        <f t="shared" si="70"/>
        <v>1654.8463374319863</v>
      </c>
      <c r="O902" s="21">
        <f t="shared" si="71"/>
        <v>1900.5659451112813</v>
      </c>
    </row>
    <row r="903" spans="1:15" x14ac:dyDescent="0.35">
      <c r="A903" t="s">
        <v>66</v>
      </c>
      <c r="B903">
        <v>12</v>
      </c>
      <c r="C903" t="s">
        <v>65</v>
      </c>
      <c r="D903">
        <v>93</v>
      </c>
      <c r="E903">
        <v>264.45702741580902</v>
      </c>
      <c r="F903">
        <v>41.8832937829401</v>
      </c>
      <c r="G903" t="s">
        <v>66</v>
      </c>
      <c r="H903">
        <v>12</v>
      </c>
      <c r="I903">
        <v>93</v>
      </c>
      <c r="J903">
        <v>8.7691035156694195</v>
      </c>
      <c r="K903" t="b">
        <f t="shared" si="72"/>
        <v>1</v>
      </c>
      <c r="L903">
        <f t="shared" si="73"/>
        <v>315.10942471441854</v>
      </c>
      <c r="M903">
        <f t="shared" si="74"/>
        <v>630.21884942883707</v>
      </c>
      <c r="N903">
        <f t="shared" si="70"/>
        <v>1662.8465684138182</v>
      </c>
      <c r="O903" s="21">
        <f t="shared" si="71"/>
        <v>1909.7540891782942</v>
      </c>
    </row>
    <row r="904" spans="1:15" x14ac:dyDescent="0.35">
      <c r="A904" t="s">
        <v>66</v>
      </c>
      <c r="B904">
        <v>12</v>
      </c>
      <c r="C904" t="s">
        <v>65</v>
      </c>
      <c r="D904">
        <v>94</v>
      </c>
      <c r="E904">
        <v>265.60979601122801</v>
      </c>
      <c r="F904">
        <v>42.164842464306503</v>
      </c>
      <c r="G904" t="s">
        <v>66</v>
      </c>
      <c r="H904">
        <v>12</v>
      </c>
      <c r="I904">
        <v>94</v>
      </c>
      <c r="J904">
        <v>8.8106861308971691</v>
      </c>
      <c r="K904" t="b">
        <f t="shared" si="72"/>
        <v>1</v>
      </c>
      <c r="L904">
        <f t="shared" si="73"/>
        <v>316.5853246064317</v>
      </c>
      <c r="M904">
        <f t="shared" si="74"/>
        <v>633.1706492128634</v>
      </c>
      <c r="N904">
        <f t="shared" si="70"/>
        <v>1670.6349583452859</v>
      </c>
      <c r="O904" s="21">
        <f t="shared" si="71"/>
        <v>1918.6989370086769</v>
      </c>
    </row>
    <row r="905" spans="1:15" x14ac:dyDescent="0.35">
      <c r="A905" t="s">
        <v>66</v>
      </c>
      <c r="B905">
        <v>12</v>
      </c>
      <c r="C905" t="s">
        <v>65</v>
      </c>
      <c r="D905">
        <v>95</v>
      </c>
      <c r="E905">
        <v>266.73256591690898</v>
      </c>
      <c r="F905">
        <v>42.438472427039798</v>
      </c>
      <c r="G905" t="s">
        <v>66</v>
      </c>
      <c r="H905">
        <v>12</v>
      </c>
      <c r="I905">
        <v>95</v>
      </c>
      <c r="J905">
        <v>8.8511787316197204</v>
      </c>
      <c r="K905" t="b">
        <f t="shared" si="72"/>
        <v>1</v>
      </c>
      <c r="L905">
        <f t="shared" si="73"/>
        <v>318.02221707556851</v>
      </c>
      <c r="M905">
        <f t="shared" si="74"/>
        <v>636.04443415113701</v>
      </c>
      <c r="N905">
        <f t="shared" si="70"/>
        <v>1678.2175043565621</v>
      </c>
      <c r="O905" s="21">
        <f t="shared" si="71"/>
        <v>1927.4073762155665</v>
      </c>
    </row>
    <row r="906" spans="1:15" x14ac:dyDescent="0.35">
      <c r="A906" t="s">
        <v>66</v>
      </c>
      <c r="B906">
        <v>12</v>
      </c>
      <c r="C906" t="s">
        <v>65</v>
      </c>
      <c r="D906">
        <v>96</v>
      </c>
      <c r="E906">
        <v>267.826148409334</v>
      </c>
      <c r="F906">
        <v>42.704443879076898</v>
      </c>
      <c r="G906" t="s">
        <v>66</v>
      </c>
      <c r="H906">
        <v>12</v>
      </c>
      <c r="I906">
        <v>96</v>
      </c>
      <c r="J906">
        <v>8.8906119168832607</v>
      </c>
      <c r="K906" t="b">
        <f t="shared" si="72"/>
        <v>1</v>
      </c>
      <c r="L906">
        <f t="shared" si="73"/>
        <v>319.42120420529415</v>
      </c>
      <c r="M906">
        <f t="shared" si="74"/>
        <v>638.84240841058829</v>
      </c>
      <c r="N906">
        <f t="shared" si="70"/>
        <v>1685.6000221915258</v>
      </c>
      <c r="O906" s="21">
        <f t="shared" si="71"/>
        <v>1935.8860860926918</v>
      </c>
    </row>
    <row r="907" spans="1:15" x14ac:dyDescent="0.35">
      <c r="A907" t="s">
        <v>66</v>
      </c>
      <c r="B907">
        <v>12</v>
      </c>
      <c r="C907" t="s">
        <v>65</v>
      </c>
      <c r="D907">
        <v>97</v>
      </c>
      <c r="E907">
        <v>268.89133173160502</v>
      </c>
      <c r="F907">
        <v>42.963007831584001</v>
      </c>
      <c r="G907" t="s">
        <v>66</v>
      </c>
      <c r="H907">
        <v>12</v>
      </c>
      <c r="I907">
        <v>97</v>
      </c>
      <c r="J907">
        <v>8.9290152109537004</v>
      </c>
      <c r="K907" t="b">
        <f t="shared" si="72"/>
        <v>1</v>
      </c>
      <c r="L907">
        <f t="shared" si="73"/>
        <v>320.78335477414271</v>
      </c>
      <c r="M907">
        <f t="shared" si="74"/>
        <v>641.56670954828542</v>
      </c>
      <c r="N907">
        <f t="shared" si="70"/>
        <v>1692.7881518424417</v>
      </c>
      <c r="O907" s="21">
        <f t="shared" si="71"/>
        <v>1944.1415440857133</v>
      </c>
    </row>
    <row r="908" spans="1:15" x14ac:dyDescent="0.35">
      <c r="A908" t="s">
        <v>66</v>
      </c>
      <c r="B908">
        <v>12</v>
      </c>
      <c r="C908" t="s">
        <v>65</v>
      </c>
      <c r="D908">
        <v>98</v>
      </c>
      <c r="E908">
        <v>269.92888139621698</v>
      </c>
      <c r="F908">
        <v>43.214406768870901</v>
      </c>
      <c r="G908" t="s">
        <v>66</v>
      </c>
      <c r="H908">
        <v>12</v>
      </c>
      <c r="I908">
        <v>98</v>
      </c>
      <c r="J908">
        <v>8.9664171273850695</v>
      </c>
      <c r="K908" t="b">
        <f t="shared" si="72"/>
        <v>1</v>
      </c>
      <c r="L908">
        <f t="shared" si="73"/>
        <v>322.10970529247294</v>
      </c>
      <c r="M908">
        <f t="shared" si="74"/>
        <v>644.21941058494588</v>
      </c>
      <c r="N908">
        <f t="shared" si="70"/>
        <v>1699.7873630209654</v>
      </c>
      <c r="O908" s="21">
        <f t="shared" si="71"/>
        <v>1952.1800320755935</v>
      </c>
    </row>
    <row r="909" spans="1:15" x14ac:dyDescent="0.35">
      <c r="A909" t="s">
        <v>66</v>
      </c>
      <c r="B909">
        <v>12</v>
      </c>
      <c r="C909" t="s">
        <v>65</v>
      </c>
      <c r="D909">
        <v>99</v>
      </c>
      <c r="E909">
        <v>270.93954069488802</v>
      </c>
      <c r="F909">
        <v>43.458875088036898</v>
      </c>
      <c r="G909" t="s">
        <v>66</v>
      </c>
      <c r="H909">
        <v>12</v>
      </c>
      <c r="I909">
        <v>99</v>
      </c>
      <c r="J909">
        <v>9.0028452262925995</v>
      </c>
      <c r="K909" t="b">
        <f t="shared" si="72"/>
        <v>1</v>
      </c>
      <c r="L909">
        <f t="shared" si="73"/>
        <v>323.40126100921754</v>
      </c>
      <c r="M909">
        <f t="shared" si="74"/>
        <v>646.80252201843507</v>
      </c>
      <c r="N909">
        <f t="shared" si="70"/>
        <v>1706.6029604708049</v>
      </c>
      <c r="O909" s="21">
        <f t="shared" si="71"/>
        <v>1960.0076424801061</v>
      </c>
    </row>
    <row r="910" spans="1:15" x14ac:dyDescent="0.35">
      <c r="A910" t="s">
        <v>66</v>
      </c>
      <c r="B910">
        <v>12</v>
      </c>
      <c r="C910" t="s">
        <v>65</v>
      </c>
      <c r="D910">
        <v>100</v>
      </c>
      <c r="E910">
        <v>271.924031310224</v>
      </c>
      <c r="F910">
        <v>43.696639412907302</v>
      </c>
      <c r="G910" t="s">
        <v>66</v>
      </c>
      <c r="H910">
        <v>12</v>
      </c>
      <c r="I910">
        <v>100</v>
      </c>
      <c r="J910">
        <v>9.0383261659748904</v>
      </c>
      <c r="K910" t="b">
        <f t="shared" si="72"/>
        <v>1</v>
      </c>
      <c r="L910">
        <f t="shared" si="73"/>
        <v>324.65899688910616</v>
      </c>
      <c r="M910">
        <f t="shared" si="74"/>
        <v>649.31799377821233</v>
      </c>
      <c r="N910">
        <f t="shared" si="70"/>
        <v>1713.2400891245707</v>
      </c>
      <c r="O910" s="21">
        <f t="shared" si="71"/>
        <v>1967.6302841764009</v>
      </c>
    </row>
    <row r="911" spans="1:15" x14ac:dyDescent="0.35">
      <c r="F911" s="15"/>
    </row>
  </sheetData>
  <sortState xmlns:xlrd2="http://schemas.microsoft.com/office/spreadsheetml/2017/richdata2" ref="A2:O911">
    <sortCondition ref="A2:A911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EF99B6E6173418F140FEA2205202F" ma:contentTypeVersion="7" ma:contentTypeDescription="Create a new document." ma:contentTypeScope="" ma:versionID="1b25444b49154a832e4279b5b4cabbe4">
  <xsd:schema xmlns:xsd="http://www.w3.org/2001/XMLSchema" xmlns:xs="http://www.w3.org/2001/XMLSchema" xmlns:p="http://schemas.microsoft.com/office/2006/metadata/properties" xmlns:ns2="cf0797e8-ccba-4196-aa7d-6d4101829a48" targetNamespace="http://schemas.microsoft.com/office/2006/metadata/properties" ma:root="true" ma:fieldsID="b5854e622b34430c063741d0128b9441" ns2:_="">
    <xsd:import namespace="cf0797e8-ccba-4196-aa7d-6d4101829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797e8-ccba-4196-aa7d-6d4101829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D6CEA-083E-420A-882D-5ACACD4FB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797e8-ccba-4196-aa7d-6d4101829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6F4CF3-8888-4F2F-B2C1-815A4519A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DE75B7-DD7A-4CFE-BAA1-C017EEC76CD0}">
  <ds:schemaRefs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cf0797e8-ccba-4196-aa7d-6d4101829a48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Over to underbark</vt:lpstr>
      <vt:lpstr>Sheet3</vt:lpstr>
      <vt:lpstr>CARBINE OUTPUTS</vt:lpstr>
    </vt:vector>
  </TitlesOfParts>
  <Manager/>
  <Company>Forest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Whittaker</dc:creator>
  <cp:keywords/>
  <dc:description/>
  <cp:lastModifiedBy>Jacob O'Sullivan</cp:lastModifiedBy>
  <cp:revision/>
  <dcterms:created xsi:type="dcterms:W3CDTF">2025-12-10T10:25:15Z</dcterms:created>
  <dcterms:modified xsi:type="dcterms:W3CDTF">2026-01-27T08:26:56Z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0x010100245EF99B6E6173418F140FEA2205202F</vt:lpwstr>
  </property>
</Properties>
</file>