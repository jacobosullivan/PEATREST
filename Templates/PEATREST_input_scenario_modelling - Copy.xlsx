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codeName="ThisWorkbook"/>
  <mc:AlternateContent xmlns:mc="http://schemas.openxmlformats.org/markup-compatibility/2006">
    <mc:Choice Requires="x15">
      <x15ac:absPath xmlns:x15ac="http://schemas.microsoft.com/office/spreadsheetml/2010/11/ac" url="https://forestresearch-my.sharepoint.com/personal/jacob_osullivan_forestresearch_gov_uk/Documents/Turbines and trees/PEATREST/Templates/"/>
    </mc:Choice>
  </mc:AlternateContent>
  <xr:revisionPtr revIDLastSave="158" documentId="109_{2692C0AF-F37D-4242-A816-1D703B957833}" xr6:coauthVersionLast="47" xr6:coauthVersionMax="47" xr10:uidLastSave="{F02DA665-9944-4038-8445-8A201E19F8B3}"/>
  <bookViews>
    <workbookView xWindow="-110" yWindow="-110" windowWidth="19420" windowHeight="10300" xr2:uid="{00000000-000D-0000-FFFF-FFFF00000000}"/>
  </bookViews>
  <sheets>
    <sheet name="Forestry input data" sheetId="28" r:id="rId1"/>
    <sheet name="3PG parms" sheetId="36" r:id="rId2"/>
    <sheet name="Decay rate parms" sheetId="37" r:id="rId3"/>
    <sheet name="fE YC coefficients" sheetId="38" r:id="rId4"/>
  </sheets>
  <externalReferences>
    <externalReference r:id="rId5"/>
  </externalReferences>
  <definedNames>
    <definedName name="AirTemp">'[1]Input data'!$C$29</definedName>
    <definedName name="BiomassTransport">'[1]Input data'!$C$75</definedName>
    <definedName name="BiomassValue">'[1]Input data'!$C$69</definedName>
    <definedName name="CtoBio">'[1]Input data'!$C$71</definedName>
    <definedName name="dDM_mol">#REF!</definedName>
    <definedName name="DistInFront">'[1]Input data'!$C$56</definedName>
    <definedName name="DistInFrontLargeClear">'[1]Input data'!$C$57</definedName>
    <definedName name="DistToBiofuel">'[1]Input data'!$C$11</definedName>
    <definedName name="EFFossilFuel">'[1]Input data'!$C$80</definedName>
    <definedName name="FarmLife">'[1]Input data'!$C$15</definedName>
    <definedName name="FellingEmissions">'[1]Input data'!$C$73</definedName>
    <definedName name="ForestAge">'[1]Input data'!$C$52</definedName>
    <definedName name="ForestWidth">'[1]Input data'!$C$58</definedName>
    <definedName name="gDM_mol">#REF!</definedName>
    <definedName name="halfAge">#REF!</definedName>
    <definedName name="Intstep">#REF!</definedName>
    <definedName name="k">#REF!</definedName>
    <definedName name="LAIund">#REF!</definedName>
    <definedName name="lf">#REF!</definedName>
    <definedName name="MaxLUE">#REF!</definedName>
    <definedName name="MethodAreaFelled">'[1]Input data'!$C$59</definedName>
    <definedName name="molPAR_MJ">#REF!</definedName>
    <definedName name="nf">#REF!</definedName>
    <definedName name="NumTurbines">'[1]Input data'!$C$13</definedName>
    <definedName name="PAR">#REF!</definedName>
    <definedName name="PlantingAge">'[1]Input data'!$C$54</definedName>
    <definedName name="RedFac">#REF!</definedName>
    <definedName name="RemovalEmissions">'[1]Input data'!$C$74</definedName>
    <definedName name="ReplantYear">'[1]Input data'!$C$53</definedName>
    <definedName name="SafeDistance">'[1]Input data'!$C$55</definedName>
    <definedName name="sla">#REF!</definedName>
    <definedName name="SoilSubgroup">'[1]Input data'!$C$27</definedName>
    <definedName name="Species">'[1]Input data'!$C$41</definedName>
    <definedName name="TransportEmissions">'[1]Input data'!$C$76</definedName>
    <definedName name="TreeCseq">'[1]Input data'!$C$40</definedName>
    <definedName name="TurbineHeight">'[1]Input data'!$C$18</definedName>
    <definedName name="UseAsBiofuel">'[1]Input data'!$C$50</definedName>
    <definedName name="wf0">#REF!</definedName>
    <definedName name="WindFarmArea">'[1]Input data'!$C$14</definedName>
    <definedName name="Windspeed">'[1]Input data'!$C$19</definedName>
    <definedName name="Y">#REF!</definedName>
  </definedNames>
  <calcPr calcId="191029"/>
  <customWorkbookViews>
    <customWorkbookView name="Jagadeesh And Dali  - Personal View" guid="{DA59FCE9-3342-40E5-9DAB-341AFC9E9804}" mergeInterval="0" personalView="1" maximized="1" windowWidth="1020" windowHeight="596" activeSheetId="6"/>
    <customWorkbookView name="soi450 - Personal View" guid="{7ADC3CB4-E91A-4D68-AA62-B94BAF7A6D27}" mergeInterval="0" personalView="1" maximized="1" windowWidth="1020" windowHeight="565" activeSheetId="5"/>
    <customWorkbookView name="soi663 - Personal View" guid="{55FEC4CD-8C58-46CE-8DB2-DCE86527AF45}" mergeInterval="0" personalView="1" maximized="1" windowWidth="1020" windowHeight="596" activeSheetId="5"/>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79" i="28" l="1"/>
  <c r="C178" i="28"/>
  <c r="C144" i="28"/>
  <c r="C143" i="28"/>
  <c r="C109" i="28"/>
  <c r="C108" i="28"/>
  <c r="C39" i="28"/>
  <c r="C38" i="28"/>
  <c r="C74" i="28"/>
  <c r="C73" i="28"/>
  <c r="D10" i="37" l="1"/>
  <c r="D9" i="37"/>
  <c r="D8" i="37"/>
  <c r="D7" i="37"/>
  <c r="D6" i="37"/>
  <c r="D5" i="37"/>
  <c r="D4" i="37"/>
  <c r="D3" i="37"/>
  <c r="D2" i="37"/>
  <c r="C177" i="28" l="1"/>
  <c r="C142" i="28"/>
  <c r="C107" i="28"/>
  <c r="C72" i="28"/>
  <c r="C37" i="28"/>
  <c r="Y92" i="28" l="1"/>
  <c r="AB92" i="28" s="1"/>
  <c r="Y91" i="28"/>
  <c r="Z91" i="28" s="1"/>
  <c r="Y90" i="28"/>
  <c r="Z90" i="28" s="1"/>
  <c r="Y89" i="28"/>
  <c r="Z89" i="28" s="1"/>
  <c r="Y88" i="28"/>
  <c r="AA88" i="28" s="1"/>
  <c r="Y87" i="28"/>
  <c r="Z87" i="28" s="1"/>
  <c r="Y86" i="28"/>
  <c r="AA86" i="28" s="1"/>
  <c r="Y85" i="28"/>
  <c r="AB85" i="28" s="1"/>
  <c r="Y84" i="28"/>
  <c r="AB84" i="28" s="1"/>
  <c r="Y83" i="28"/>
  <c r="AB83" i="28" s="1"/>
  <c r="Y82" i="28"/>
  <c r="AB82" i="28" s="1"/>
  <c r="Y81" i="28"/>
  <c r="AB81" i="28" s="1"/>
  <c r="Y80" i="28"/>
  <c r="AB80" i="28" s="1"/>
  <c r="Y79" i="28"/>
  <c r="AB79" i="28" s="1"/>
  <c r="Y78" i="28"/>
  <c r="AA78" i="28" s="1"/>
  <c r="Y77" i="28"/>
  <c r="AA77" i="28" s="1"/>
  <c r="Y76" i="28"/>
  <c r="AA76" i="28" s="1"/>
  <c r="Y75" i="28"/>
  <c r="Z75" i="28" s="1"/>
  <c r="Y74" i="28"/>
  <c r="AB74" i="28" s="1"/>
  <c r="Y73" i="28"/>
  <c r="AB73" i="28" s="1"/>
  <c r="Y72" i="28"/>
  <c r="AB72" i="28" s="1"/>
  <c r="Y71" i="28"/>
  <c r="AA71" i="28" s="1"/>
  <c r="Y70" i="28"/>
  <c r="AB70" i="28" s="1"/>
  <c r="Y69" i="28"/>
  <c r="AB69" i="28" s="1"/>
  <c r="Y68" i="28"/>
  <c r="AB68" i="28" s="1"/>
  <c r="Y67" i="28"/>
  <c r="AB67" i="28" s="1"/>
  <c r="Y66" i="28"/>
  <c r="AA66" i="28" s="1"/>
  <c r="Y65" i="28"/>
  <c r="AB65" i="28" s="1"/>
  <c r="Y64" i="28"/>
  <c r="AA64" i="28" s="1"/>
  <c r="Y63" i="28"/>
  <c r="AA63" i="28" s="1"/>
  <c r="Y62" i="28"/>
  <c r="Z62" i="28" s="1"/>
  <c r="Y61" i="28"/>
  <c r="AB61" i="28" s="1"/>
  <c r="Y60" i="28"/>
  <c r="AB60" i="28" s="1"/>
  <c r="Y59" i="28"/>
  <c r="AB59" i="28" s="1"/>
  <c r="Y58" i="28"/>
  <c r="AB58" i="28" s="1"/>
  <c r="Y57" i="28"/>
  <c r="Z57" i="28" s="1"/>
  <c r="Y56" i="28"/>
  <c r="AA56" i="28" s="1"/>
  <c r="Y55" i="28"/>
  <c r="AA55" i="28" s="1"/>
  <c r="Y54" i="28"/>
  <c r="Z54" i="28" s="1"/>
  <c r="Y53" i="28"/>
  <c r="AB53" i="28" s="1"/>
  <c r="Y52" i="28"/>
  <c r="Z52" i="28" s="1"/>
  <c r="Y51" i="28"/>
  <c r="AB51" i="28" s="1"/>
  <c r="Y50" i="28"/>
  <c r="AB50" i="28" s="1"/>
  <c r="Y49" i="28"/>
  <c r="AA49" i="28" s="1"/>
  <c r="Y48" i="28"/>
  <c r="AB48" i="28" s="1"/>
  <c r="Y47" i="28"/>
  <c r="AB47" i="28" s="1"/>
  <c r="Y46" i="28"/>
  <c r="AB46" i="28" s="1"/>
  <c r="C36" i="28"/>
  <c r="C35" i="28"/>
  <c r="C34" i="28"/>
  <c r="C176" i="28"/>
  <c r="C175" i="28"/>
  <c r="C174" i="28"/>
  <c r="C172" i="28"/>
  <c r="C141" i="28"/>
  <c r="C140" i="28"/>
  <c r="C139" i="28"/>
  <c r="C106" i="28"/>
  <c r="C105" i="28"/>
  <c r="C104" i="28"/>
  <c r="C71" i="28"/>
  <c r="C70" i="28"/>
  <c r="C69" i="28"/>
  <c r="AB90" i="28" l="1"/>
  <c r="AB87" i="28"/>
  <c r="Z63" i="28"/>
  <c r="AA87" i="28"/>
  <c r="Z53" i="28"/>
  <c r="AA75" i="28"/>
  <c r="Z86" i="28"/>
  <c r="AA68" i="28"/>
  <c r="AB62" i="28"/>
  <c r="AB56" i="28"/>
  <c r="Z66" i="28"/>
  <c r="AB86" i="28"/>
  <c r="Z68" i="28"/>
  <c r="AA80" i="28"/>
  <c r="Z92" i="28"/>
  <c r="AA53" i="28"/>
  <c r="AB63" i="28"/>
  <c r="Z46" i="28"/>
  <c r="AB75" i="28"/>
  <c r="Z67" i="28"/>
  <c r="AA52" i="28"/>
  <c r="Z69" i="28"/>
  <c r="AA89" i="28"/>
  <c r="Z70" i="28"/>
  <c r="AA57" i="28"/>
  <c r="Z74" i="28"/>
  <c r="AA62" i="28"/>
  <c r="AA90" i="28"/>
  <c r="Z48" i="28"/>
  <c r="Z81" i="28"/>
  <c r="AA67" i="28"/>
  <c r="AA91" i="28"/>
  <c r="AB57" i="28"/>
  <c r="AA47" i="28"/>
  <c r="Z82" i="28"/>
  <c r="AB52" i="28"/>
  <c r="AB91" i="28"/>
  <c r="Z58" i="28"/>
  <c r="AA69" i="28"/>
  <c r="AA74" i="28"/>
  <c r="AB55" i="28"/>
  <c r="AB76" i="28"/>
  <c r="AB78" i="28"/>
  <c r="Z76" i="28"/>
  <c r="Z47" i="28"/>
  <c r="Z78" i="28"/>
  <c r="AA81" i="28"/>
  <c r="AB88" i="28"/>
  <c r="AA54" i="28"/>
  <c r="AB66" i="28"/>
  <c r="AA79" i="28"/>
  <c r="Z77" i="28"/>
  <c r="Z64" i="28"/>
  <c r="Z79" i="28"/>
  <c r="AA65" i="28"/>
  <c r="AB54" i="28"/>
  <c r="AB89" i="28"/>
  <c r="Z65" i="28"/>
  <c r="Z80" i="28"/>
  <c r="AA46" i="28"/>
  <c r="AB77" i="28"/>
  <c r="Z55" i="28"/>
  <c r="Z88" i="28"/>
  <c r="Z56" i="28"/>
  <c r="AB64" i="28"/>
  <c r="Z50" i="28"/>
  <c r="Z60" i="28"/>
  <c r="Z72" i="28"/>
  <c r="Z84" i="28"/>
  <c r="Z59" i="28"/>
  <c r="Z83" i="28"/>
  <c r="Z51" i="28"/>
  <c r="Z61" i="28"/>
  <c r="Z73" i="28"/>
  <c r="Z85" i="28"/>
  <c r="AA48" i="28"/>
  <c r="AA58" i="28"/>
  <c r="AA70" i="28"/>
  <c r="AA82" i="28"/>
  <c r="AA92" i="28"/>
  <c r="AA83" i="28"/>
  <c r="AA50" i="28"/>
  <c r="AA60" i="28"/>
  <c r="AA72" i="28"/>
  <c r="AA84" i="28"/>
  <c r="AA51" i="28"/>
  <c r="AA61" i="28"/>
  <c r="AA73" i="28"/>
  <c r="AA85" i="28"/>
  <c r="Z49" i="28"/>
  <c r="AA59" i="28"/>
  <c r="AB49" i="28"/>
  <c r="AB71" i="28"/>
  <c r="Z71" i="28"/>
  <c r="C137" i="28"/>
  <c r="C102" i="28"/>
  <c r="C67" i="28"/>
  <c r="C32" i="28"/>
  <c r="C29" i="28"/>
  <c r="C64" i="28"/>
  <c r="C63" i="28"/>
  <c r="C169" i="28"/>
  <c r="C168" i="28"/>
  <c r="C134" i="28"/>
  <c r="C133" i="28"/>
  <c r="C99" i="28"/>
  <c r="C98" i="28"/>
  <c r="C28" i="2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xml:space="preserve">Jo Smith </author>
  </authors>
  <commentList>
    <comment ref="C3" authorId="0" shapeId="0" xr:uid="{37910C7F-EABF-4BBA-AE65-2C217A330EE4}">
      <text>
        <r>
          <rPr>
            <sz val="8"/>
            <color indexed="81"/>
            <rFont val="Tahoma"/>
            <family val="2"/>
          </rPr>
          <t xml:space="preserve">Note: Photosynthetically active radiation
Average annual sum of solar irradiance of 800kWh (figure obtained from 
http://re.jrc.ec.europa.eu/pvgis/countries/europe.htm 
(solar irradiance map of UK and Ireland).
 Further data was obtained from 
http://www.satel-light.com/pub/Bradley06212010152223/map2.htm 
which yielded the same result.). 800 kWh is equivalent to 2880 MJ. 
</t>
        </r>
      </text>
    </comment>
    <comment ref="D3" authorId="0" shapeId="0" xr:uid="{5C448531-A21B-4F0D-83AB-B364FB4C81D5}">
      <text>
        <r>
          <rPr>
            <sz val="8"/>
            <color indexed="81"/>
            <rFont val="Tahoma"/>
            <family val="2"/>
          </rPr>
          <t xml:space="preserve">Note: Photosynthetically active radiation
Average annual sum of solar irradiance of 800kWh (figure obtained from 
http://re.jrc.ec.europa.eu/pvgis/countries/europe.htm 
(solar irradiance map of UK and Ireland).
 Further data was obtained from 
http://www.satel-light.com/pub/Bradley06212010152223/map2.htm 
which yielded the same result.). 800 kWh is equivalent to 2880 MJ. 
</t>
        </r>
      </text>
    </comment>
    <comment ref="C4" authorId="0" shapeId="0" xr:uid="{D860DDCC-BED5-4A28-ABBF-00AF52C939D6}">
      <text>
        <r>
          <rPr>
            <sz val="8"/>
            <color indexed="81"/>
            <rFont val="Tahoma"/>
            <family val="2"/>
          </rPr>
          <t>Note:Light extinction coefficient set after work of Xenakis et al 2008</t>
        </r>
      </text>
    </comment>
    <comment ref="D4" authorId="0" shapeId="0" xr:uid="{D46E19F2-3399-4802-B86E-261AFF2D6782}">
      <text>
        <r>
          <rPr>
            <sz val="8"/>
            <color indexed="81"/>
            <rFont val="Tahoma"/>
            <family val="2"/>
          </rPr>
          <t>Note:Light extinction coefficient set after work of Xenakis et al 2008</t>
        </r>
      </text>
    </comment>
    <comment ref="C6" authorId="0" shapeId="0" xr:uid="{D3221BDD-7A49-41CD-A798-CBC374F8364F}">
      <text>
        <r>
          <rPr>
            <sz val="8"/>
            <color indexed="81"/>
            <rFont val="Tahoma"/>
            <family val="2"/>
          </rPr>
          <t>Note: calibrated against observed data by Xenakis et al 2008.</t>
        </r>
      </text>
    </comment>
    <comment ref="D6" authorId="0" shapeId="0" xr:uid="{35E5528D-6C0B-43A1-B854-D75171D1FBD1}">
      <text>
        <r>
          <rPr>
            <sz val="8"/>
            <color indexed="81"/>
            <rFont val="Tahoma"/>
            <family val="2"/>
          </rPr>
          <t>Note: calibrated against observed data by Xenakis et al 2008</t>
        </r>
      </text>
    </comment>
    <comment ref="C8" authorId="0" shapeId="0" xr:uid="{F52EBECD-DECD-43D4-A7F4-57980B1A4942}">
      <text>
        <r>
          <rPr>
            <sz val="8"/>
            <color indexed="81"/>
            <rFont val="Tahoma"/>
            <family val="2"/>
          </rPr>
          <t>Note: Maximum light-use efficiency for Scots Pine set after Xenakis et al 2008</t>
        </r>
      </text>
    </comment>
    <comment ref="D8" authorId="0" shapeId="0" xr:uid="{754B8101-83D8-4642-A818-435FC51E542A}">
      <text>
        <r>
          <rPr>
            <sz val="8"/>
            <color indexed="81"/>
            <rFont val="Tahoma"/>
            <family val="2"/>
          </rPr>
          <t>Note: Value for maximum light-use efficiency for Sitka Spruce set after Minnuno et al, 2010</t>
        </r>
      </text>
    </comment>
    <comment ref="C9" authorId="0" shapeId="0" xr:uid="{E9BC2EF4-0B57-4C1B-8D18-34675DA1097B}">
      <text>
        <r>
          <rPr>
            <sz val="8"/>
            <color indexed="81"/>
            <rFont val="Tahoma"/>
            <family val="2"/>
          </rPr>
          <t>Note: NPP/GPP set to 0.47 after Waring et al (2000) and Minnuno etal (2010)</t>
        </r>
      </text>
    </comment>
    <comment ref="D9" authorId="0" shapeId="0" xr:uid="{81C8062C-03D2-4BEA-AEA7-16F395109AD0}">
      <text>
        <r>
          <rPr>
            <sz val="8"/>
            <color indexed="81"/>
            <rFont val="Tahoma"/>
            <family val="2"/>
          </rPr>
          <t>Note: NPP/GPP set to 0.47 after Waring et al (2000) and Minnuno etal (2010)</t>
        </r>
      </text>
    </comment>
    <comment ref="C10" authorId="0" shapeId="0" xr:uid="{73521085-E3AE-4A10-8587-F997C8CA5A54}">
      <text>
        <r>
          <rPr>
            <sz val="8"/>
            <color indexed="81"/>
            <rFont val="Tahoma"/>
            <family val="2"/>
          </rPr>
          <t>Note: Allocation to foliage set to 0.25 after Magnani et al., 2007</t>
        </r>
      </text>
    </comment>
    <comment ref="D10" authorId="0" shapeId="0" xr:uid="{DBC5B1CE-A561-4DDC-8C22-11B98AC82DE1}">
      <text>
        <r>
          <rPr>
            <sz val="8"/>
            <color indexed="81"/>
            <rFont val="Tahoma"/>
            <family val="2"/>
          </rPr>
          <t>Note: Allocation to foliage set to 0.25 after Magnani et al., 2007</t>
        </r>
      </text>
    </comment>
    <comment ref="C12" authorId="0" shapeId="0" xr:uid="{6E445EF5-1916-4045-9E62-A485E70B05C1}">
      <text>
        <r>
          <rPr>
            <sz val="8"/>
            <color indexed="81"/>
            <rFont val="Tahoma"/>
            <family val="2"/>
          </rPr>
          <t>Note: Age for 50% reduction in light use efficiency for Scots Pine set to 100 yrs after work of Xenakis et al., 2008</t>
        </r>
      </text>
    </comment>
    <comment ref="D12" authorId="0" shapeId="0" xr:uid="{35957F6E-4F91-4973-B800-6DD5B8C039DA}">
      <text>
        <r>
          <rPr>
            <sz val="8"/>
            <color indexed="81"/>
            <rFont val="Tahoma"/>
            <family val="2"/>
          </rPr>
          <t>Note: Age for 50% reduction in light use efficiency for Scots Pine set to 120 years by after work of Magnani et al, 2007</t>
        </r>
      </text>
    </comment>
    <comment ref="C18" authorId="0" shapeId="0" xr:uid="{1242D61A-A5CB-412D-80ED-C54CF72408A1}">
      <text>
        <r>
          <rPr>
            <sz val="8"/>
            <color indexed="81"/>
            <rFont val="Tahoma"/>
            <family val="2"/>
          </rPr>
          <t>Note: LAI set after Magnani et al, 2007</t>
        </r>
      </text>
    </comment>
    <comment ref="D18" authorId="0" shapeId="0" xr:uid="{A7CEA19A-1C73-4881-A6D9-1051BFD491C4}">
      <text>
        <r>
          <rPr>
            <sz val="8"/>
            <color indexed="81"/>
            <rFont val="Tahoma"/>
            <family val="2"/>
          </rPr>
          <t>Note: LAI set after Magnani et al, 2007</t>
        </r>
      </text>
    </comment>
  </commentList>
</comments>
</file>

<file path=xl/sharedStrings.xml><?xml version="1.0" encoding="utf-8"?>
<sst xmlns="http://schemas.openxmlformats.org/spreadsheetml/2006/main" count="306" uniqueCount="166">
  <si>
    <t>Years after felling when replanting occurs</t>
  </si>
  <si>
    <t>Forestry Plantation Characteristics</t>
  </si>
  <si>
    <t>Record source of data</t>
  </si>
  <si>
    <t>Possible range of values</t>
  </si>
  <si>
    <t>Enter minimum value here</t>
  </si>
  <si>
    <t>Expected values</t>
  </si>
  <si>
    <t>Enter expected value here</t>
  </si>
  <si>
    <t>Enter maximum value here</t>
  </si>
  <si>
    <t>Lifetime of windfarm (years)</t>
  </si>
  <si>
    <t>Species</t>
  </si>
  <si>
    <t>Age of forestry when felled for windfarm (yr)</t>
  </si>
  <si>
    <r>
      <t>Value of felled forestry as a biomass fuel (MWh t</t>
    </r>
    <r>
      <rPr>
        <vertAlign val="superscript"/>
        <sz val="10"/>
        <rFont val="Arial"/>
        <family val="2"/>
      </rPr>
      <t>-1</t>
    </r>
    <r>
      <rPr>
        <sz val="10"/>
        <rFont val="Arial"/>
        <family val="2"/>
      </rPr>
      <t>)</t>
    </r>
  </si>
  <si>
    <t>(Carbon : Biomass) ratio of felled forestry</t>
  </si>
  <si>
    <t>Parameter</t>
  </si>
  <si>
    <t>Units</t>
  </si>
  <si>
    <t>3PG module</t>
  </si>
  <si>
    <t>Accumulated temperature</t>
  </si>
  <si>
    <t>Light extinction coefficient</t>
  </si>
  <si>
    <t>-</t>
  </si>
  <si>
    <t>Specific leaf area</t>
  </si>
  <si>
    <t>Leaf longevity</t>
  </si>
  <si>
    <t>yrs</t>
  </si>
  <si>
    <t>Fine root longevity</t>
  </si>
  <si>
    <t>Maximum light-use efficiency</t>
  </si>
  <si>
    <t>Ratio of NPP to GPP</t>
  </si>
  <si>
    <t>Allocation to foliage</t>
  </si>
  <si>
    <t>Coefficient for allocation response to nitrogen</t>
  </si>
  <si>
    <t>Age for 50% reduction in light-use efficiency</t>
  </si>
  <si>
    <t>Initial foliage biomass</t>
  </si>
  <si>
    <t>Understorey module</t>
  </si>
  <si>
    <t>Understorey LAI</t>
  </si>
  <si>
    <t>AREA 1</t>
  </si>
  <si>
    <t>AREA 2</t>
  </si>
  <si>
    <t>AREA 3</t>
  </si>
  <si>
    <t>AREA 4</t>
  </si>
  <si>
    <t>AREA 5</t>
  </si>
  <si>
    <t>Years when replanted forestry will be grown on wind farm site</t>
  </si>
  <si>
    <t>Average annual photosynthetically active radiation</t>
  </si>
  <si>
    <t xml:space="preserve">Note - total number of turbines already specified: </t>
  </si>
  <si>
    <t>Scots pine</t>
  </si>
  <si>
    <t>Sitka spruce</t>
  </si>
  <si>
    <t>Input data</t>
  </si>
  <si>
    <t>C</t>
  </si>
  <si>
    <r>
      <t>Grid-mix emission factor (t CO</t>
    </r>
    <r>
      <rPr>
        <vertAlign val="subscript"/>
        <sz val="10"/>
        <rFont val="Arial"/>
        <family val="2"/>
      </rPr>
      <t>2</t>
    </r>
    <r>
      <rPr>
        <sz val="10"/>
        <rFont val="Arial"/>
        <family val="2"/>
      </rPr>
      <t xml:space="preserve"> MWh</t>
    </r>
    <r>
      <rPr>
        <vertAlign val="superscript"/>
        <sz val="10"/>
        <rFont val="Arial"/>
        <family val="2"/>
      </rPr>
      <t>-1</t>
    </r>
    <r>
      <rPr>
        <sz val="10"/>
        <rFont val="Arial"/>
        <family val="2"/>
      </rPr>
      <t>)</t>
    </r>
  </si>
  <si>
    <t>Yes</t>
  </si>
  <si>
    <t>No</t>
  </si>
  <si>
    <t>Felling regime</t>
  </si>
  <si>
    <r>
      <t>Emissions of CO</t>
    </r>
    <r>
      <rPr>
        <vertAlign val="subscript"/>
        <sz val="10"/>
        <rFont val="Arial"/>
        <family val="2"/>
      </rPr>
      <t>2</t>
    </r>
    <r>
      <rPr>
        <sz val="10"/>
        <rFont val="Arial"/>
        <family val="2"/>
      </rPr>
      <t xml:space="preserve"> associated with transportation (g CO</t>
    </r>
    <r>
      <rPr>
        <vertAlign val="subscript"/>
        <sz val="10"/>
        <rFont val="Arial"/>
        <family val="2"/>
      </rPr>
      <t>2</t>
    </r>
    <r>
      <rPr>
        <sz val="10"/>
        <rFont val="Arial"/>
        <family val="2"/>
      </rPr>
      <t xml:space="preserve"> km</t>
    </r>
    <r>
      <rPr>
        <vertAlign val="superscript"/>
        <sz val="10"/>
        <rFont val="Arial"/>
        <family val="2"/>
      </rPr>
      <t>-1</t>
    </r>
    <r>
      <rPr>
        <sz val="10"/>
        <rFont val="Arial"/>
        <family val="2"/>
      </rPr>
      <t xml:space="preserve"> t</t>
    </r>
    <r>
      <rPr>
        <vertAlign val="superscript"/>
        <sz val="10"/>
        <rFont val="Arial"/>
        <family val="2"/>
      </rPr>
      <t>-1</t>
    </r>
    <r>
      <rPr>
        <sz val="10"/>
        <rFont val="Arial"/>
        <family val="2"/>
      </rPr>
      <t>)</t>
    </r>
  </si>
  <si>
    <t>t</t>
  </si>
  <si>
    <t>y0</t>
  </si>
  <si>
    <t>y1</t>
  </si>
  <si>
    <t>t1</t>
  </si>
  <si>
    <t>c</t>
  </si>
  <si>
    <t>n1</t>
  </si>
  <si>
    <t>n2</t>
  </si>
  <si>
    <t>n3</t>
  </si>
  <si>
    <t>Value</t>
  </si>
  <si>
    <t>y(n1)</t>
  </si>
  <si>
    <t>y(n2)</t>
  </si>
  <si>
    <t>y(n3)</t>
  </si>
  <si>
    <t>t0</t>
  </si>
  <si>
    <t>Fallow period between harvesting of forestry and restoration of peatland hydrology (yr)</t>
  </si>
  <si>
    <t>Input used to parameterise 3PG module</t>
  </si>
  <si>
    <t>Yield Class</t>
  </si>
  <si>
    <t>Age of forestry when felled (yr)</t>
  </si>
  <si>
    <t>Is forestry being rotated?</t>
  </si>
  <si>
    <t>Total area felled (ha)</t>
  </si>
  <si>
    <t>Expected post-restoration water table depth (m)</t>
  </si>
  <si>
    <t>Peatland restoration</t>
  </si>
  <si>
    <t>Pre-restoration water table depth (m)</t>
  </si>
  <si>
    <t>Felled Forest Biomass used for timber products (if No, left in situ)?</t>
  </si>
  <si>
    <r>
      <t>Emissions from damming (kg CO</t>
    </r>
    <r>
      <rPr>
        <vertAlign val="subscript"/>
        <sz val="10"/>
        <rFont val="Arial"/>
        <family val="2"/>
      </rPr>
      <t>2</t>
    </r>
    <r>
      <rPr>
        <sz val="10"/>
        <rFont val="Arial"/>
        <family val="2"/>
      </rPr>
      <t xml:space="preserve"> ha</t>
    </r>
    <r>
      <rPr>
        <vertAlign val="superscript"/>
        <sz val="10"/>
        <rFont val="Arial"/>
        <family val="2"/>
      </rPr>
      <t>-1</t>
    </r>
    <r>
      <rPr>
        <sz val="10"/>
        <rFont val="Arial"/>
        <family val="2"/>
      </rPr>
      <t>)</t>
    </r>
  </si>
  <si>
    <r>
      <t>Emissions from bunding (kg CO</t>
    </r>
    <r>
      <rPr>
        <vertAlign val="subscript"/>
        <sz val="10"/>
        <rFont val="Arial"/>
        <family val="2"/>
      </rPr>
      <t>2</t>
    </r>
    <r>
      <rPr>
        <sz val="10"/>
        <rFont val="Arial"/>
        <family val="2"/>
      </rPr>
      <t xml:space="preserve"> ha</t>
    </r>
    <r>
      <rPr>
        <vertAlign val="superscript"/>
        <sz val="10"/>
        <rFont val="Arial"/>
        <family val="2"/>
      </rPr>
      <t>-1</t>
    </r>
    <r>
      <rPr>
        <sz val="10"/>
        <rFont val="Arial"/>
        <family val="2"/>
      </rPr>
      <t>)</t>
    </r>
  </si>
  <si>
    <r>
      <t>Emissions from turfing (imported) (kg CO</t>
    </r>
    <r>
      <rPr>
        <vertAlign val="subscript"/>
        <sz val="10"/>
        <rFont val="Arial"/>
        <family val="2"/>
      </rPr>
      <t>2</t>
    </r>
    <r>
      <rPr>
        <sz val="10"/>
        <rFont val="Arial"/>
        <family val="2"/>
      </rPr>
      <t xml:space="preserve"> ha</t>
    </r>
    <r>
      <rPr>
        <vertAlign val="superscript"/>
        <sz val="10"/>
        <rFont val="Arial"/>
        <family val="2"/>
      </rPr>
      <t>-1</t>
    </r>
    <r>
      <rPr>
        <sz val="10"/>
        <rFont val="Arial"/>
        <family val="2"/>
      </rPr>
      <t>)</t>
    </r>
  </si>
  <si>
    <r>
      <t>Emissions from turfing (local) (kg CO</t>
    </r>
    <r>
      <rPr>
        <vertAlign val="subscript"/>
        <sz val="10"/>
        <rFont val="Arial"/>
        <family val="2"/>
      </rPr>
      <t>2</t>
    </r>
    <r>
      <rPr>
        <sz val="10"/>
        <rFont val="Arial"/>
        <family val="2"/>
      </rPr>
      <t xml:space="preserve"> ha</t>
    </r>
    <r>
      <rPr>
        <vertAlign val="superscript"/>
        <sz val="10"/>
        <rFont val="Arial"/>
        <family val="2"/>
      </rPr>
      <t>-1</t>
    </r>
    <r>
      <rPr>
        <sz val="10"/>
        <rFont val="Arial"/>
        <family val="2"/>
      </rPr>
      <t>)</t>
    </r>
  </si>
  <si>
    <r>
      <t>Emissions from lime and fertilser treatment (kg CO</t>
    </r>
    <r>
      <rPr>
        <vertAlign val="subscript"/>
        <sz val="10"/>
        <rFont val="Arial"/>
        <family val="2"/>
      </rPr>
      <t>2</t>
    </r>
    <r>
      <rPr>
        <sz val="10"/>
        <rFont val="Arial"/>
        <family val="2"/>
      </rPr>
      <t xml:space="preserve"> ha</t>
    </r>
    <r>
      <rPr>
        <vertAlign val="superscript"/>
        <sz val="10"/>
        <rFont val="Arial"/>
        <family val="2"/>
      </rPr>
      <t>-1</t>
    </r>
    <r>
      <rPr>
        <sz val="10"/>
        <rFont val="Arial"/>
        <family val="2"/>
      </rPr>
      <t>)</t>
    </r>
  </si>
  <si>
    <t>Management interventions</t>
  </si>
  <si>
    <t>Gully/grip (drain) blocking</t>
  </si>
  <si>
    <t>Surface/shallow bunding</t>
  </si>
  <si>
    <t>Direct re-vegetation of bog plants (imported turf)</t>
  </si>
  <si>
    <t>Direct re-vegetation of bog plants (local turf)</t>
  </si>
  <si>
    <t>Indirect re-vegetation of bog plants (lime and fertilization)</t>
  </si>
  <si>
    <t>Peat depth (m)</t>
  </si>
  <si>
    <t>Depth of peat drainage for forestry (m)</t>
  </si>
  <si>
    <t>Emissions from peat smoothing (kg CO2 ha-1)</t>
  </si>
  <si>
    <t>Peat smoothing (including stump flipping)</t>
  </si>
  <si>
    <r>
      <t>Emissions from mulching (kg CO</t>
    </r>
    <r>
      <rPr>
        <vertAlign val="subscript"/>
        <sz val="10"/>
        <rFont val="Arial"/>
        <family val="2"/>
      </rPr>
      <t>2</t>
    </r>
    <r>
      <rPr>
        <sz val="10"/>
        <rFont val="Arial"/>
        <family val="2"/>
      </rPr>
      <t xml:space="preserve"> ha</t>
    </r>
    <r>
      <rPr>
        <vertAlign val="superscript"/>
        <sz val="10"/>
        <rFont val="Arial"/>
        <family val="2"/>
      </rPr>
      <t>-1</t>
    </r>
    <r>
      <rPr>
        <sz val="10"/>
        <rFont val="Arial"/>
        <family val="2"/>
      </rPr>
      <t>)</t>
    </r>
  </si>
  <si>
    <t>Shape parameter for restoration of peatland ecosystem function</t>
  </si>
  <si>
    <t>Time to restoration of peatland ecosystem function (yr)</t>
  </si>
  <si>
    <r>
      <t>Emissions from felling (kg CO</t>
    </r>
    <r>
      <rPr>
        <vertAlign val="subscript"/>
        <sz val="10"/>
        <rFont val="Arial"/>
        <family val="2"/>
      </rPr>
      <t>2</t>
    </r>
    <r>
      <rPr>
        <sz val="10"/>
        <rFont val="Arial"/>
        <family val="2"/>
      </rPr>
      <t xml:space="preserve"> m</t>
    </r>
    <r>
      <rPr>
        <vertAlign val="superscript"/>
        <sz val="10"/>
        <rFont val="Arial"/>
        <family val="2"/>
      </rPr>
      <t>-3</t>
    </r>
    <r>
      <rPr>
        <sz val="10"/>
        <rFont val="Arial"/>
        <family val="2"/>
      </rPr>
      <t>)</t>
    </r>
  </si>
  <si>
    <t>Aqauatic carbon flux</t>
  </si>
  <si>
    <r>
      <t>Reprentative total aquatic carbon flux restored peatland (t CO</t>
    </r>
    <r>
      <rPr>
        <vertAlign val="subscript"/>
        <sz val="10"/>
        <rFont val="Arial"/>
        <family val="2"/>
      </rPr>
      <t>2</t>
    </r>
    <r>
      <rPr>
        <sz val="10"/>
        <rFont val="Arial"/>
        <family val="2"/>
      </rPr>
      <t xml:space="preserve"> ha</t>
    </r>
    <r>
      <rPr>
        <vertAlign val="superscript"/>
        <sz val="10"/>
        <rFont val="Arial"/>
        <family val="2"/>
      </rPr>
      <t>-1</t>
    </r>
    <r>
      <rPr>
        <sz val="10"/>
        <rFont val="Arial"/>
        <family val="2"/>
      </rPr>
      <t xml:space="preserve"> yr</t>
    </r>
    <r>
      <rPr>
        <vertAlign val="superscript"/>
        <sz val="10"/>
        <rFont val="Arial"/>
        <family val="2"/>
      </rPr>
      <t>-1</t>
    </r>
    <r>
      <rPr>
        <sz val="10"/>
        <rFont val="Arial"/>
        <family val="2"/>
      </rPr>
      <t>)</t>
    </r>
  </si>
  <si>
    <t>Aquatic carbon loss to total gaseous loss ratio</t>
  </si>
  <si>
    <t>Emissions factors</t>
  </si>
  <si>
    <r>
      <t>Proportion of aquatic carbon the ends up as atmospheric CO</t>
    </r>
    <r>
      <rPr>
        <vertAlign val="subscript"/>
        <sz val="10"/>
        <rFont val="Arial"/>
        <family val="2"/>
      </rPr>
      <t>2</t>
    </r>
  </si>
  <si>
    <t>Rooting depth</t>
  </si>
  <si>
    <t>Average rooting depth (m)</t>
  </si>
  <si>
    <r>
      <t>Biomass density of the rooting zone (t Biomass m</t>
    </r>
    <r>
      <rPr>
        <vertAlign val="superscript"/>
        <sz val="10"/>
        <rFont val="Arial"/>
        <family val="2"/>
      </rPr>
      <t>-3</t>
    </r>
    <r>
      <rPr>
        <sz val="10"/>
        <rFont val="Arial"/>
        <family val="2"/>
      </rPr>
      <t xml:space="preserve"> soil)</t>
    </r>
  </si>
  <si>
    <t>Var_name</t>
  </si>
  <si>
    <t>Scots_Pine</t>
  </si>
  <si>
    <t>Sitka_Spruce</t>
  </si>
  <si>
    <t>phi_p</t>
  </si>
  <si>
    <t>kP</t>
  </si>
  <si>
    <t>SLA</t>
  </si>
  <si>
    <t>L_long</t>
  </si>
  <si>
    <t>R_long</t>
  </si>
  <si>
    <t>e_max</t>
  </si>
  <si>
    <t>YPP</t>
  </si>
  <si>
    <t>pF</t>
  </si>
  <si>
    <t>N0</t>
  </si>
  <si>
    <t>A0.5</t>
  </si>
  <si>
    <t>Wl_init</t>
  </si>
  <si>
    <t>Age of seedlings on replanting</t>
  </si>
  <si>
    <t>t_seedling_replant</t>
  </si>
  <si>
    <t>acc_temp</t>
  </si>
  <si>
    <t>Environmental growth modifier</t>
  </si>
  <si>
    <t>f_E</t>
  </si>
  <si>
    <t>LAI_u</t>
  </si>
  <si>
    <t>Forestry parameters</t>
  </si>
  <si>
    <t>Rotation length (yr)</t>
  </si>
  <si>
    <t>t_rotation</t>
  </si>
  <si>
    <t>t_harv</t>
  </si>
  <si>
    <t>t_wf</t>
  </si>
  <si>
    <t>t_replant</t>
  </si>
  <si>
    <t>t_replant_guar</t>
  </si>
  <si>
    <t>Type</t>
  </si>
  <si>
    <t>Compartment</t>
  </si>
  <si>
    <t>Var</t>
  </si>
  <si>
    <t>alpha</t>
  </si>
  <si>
    <t>Half-life</t>
  </si>
  <si>
    <t>delta</t>
  </si>
  <si>
    <t>Processed</t>
  </si>
  <si>
    <t>Paper</t>
  </si>
  <si>
    <t>alpha_wpF</t>
  </si>
  <si>
    <t>Panel</t>
  </si>
  <si>
    <t>alpha_wpM</t>
  </si>
  <si>
    <t>Sawn</t>
  </si>
  <si>
    <t>alpha_wpS</t>
  </si>
  <si>
    <t>Offcuts</t>
  </si>
  <si>
    <t>alpha_wpO</t>
  </si>
  <si>
    <t>Unprocessed</t>
  </si>
  <si>
    <t>Foliage</t>
  </si>
  <si>
    <t>alpha_f</t>
  </si>
  <si>
    <t>Stemwood</t>
  </si>
  <si>
    <t>alpha_s</t>
  </si>
  <si>
    <t>Roots</t>
  </si>
  <si>
    <t>alpha_r</t>
  </si>
  <si>
    <t>Branches</t>
  </si>
  <si>
    <t>alpha_b</t>
  </si>
  <si>
    <t>Mulch</t>
  </si>
  <si>
    <t>alpha_m</t>
  </si>
  <si>
    <t>y</t>
  </si>
  <si>
    <t>x</t>
  </si>
  <si>
    <t>a0</t>
  </si>
  <si>
    <t>a1</t>
  </si>
  <si>
    <t>a2</t>
  </si>
  <si>
    <t>a3</t>
  </si>
  <si>
    <t>a4</t>
  </si>
  <si>
    <t>YC</t>
  </si>
  <si>
    <t>NPP_max</t>
  </si>
  <si>
    <t>NPP_max_LCA</t>
  </si>
  <si>
    <t>spp</t>
  </si>
  <si>
    <r>
      <t>MJ m</t>
    </r>
    <r>
      <rPr>
        <vertAlign val="superscript"/>
        <sz val="10"/>
        <rFont val="Arial"/>
        <family val="2"/>
      </rPr>
      <t>-2</t>
    </r>
    <r>
      <rPr>
        <sz val="10"/>
        <rFont val="Arial"/>
        <family val="2"/>
      </rPr>
      <t xml:space="preserve"> yr</t>
    </r>
    <r>
      <rPr>
        <vertAlign val="superscript"/>
        <sz val="10"/>
        <rFont val="Arial"/>
        <family val="2"/>
      </rPr>
      <t>-1</t>
    </r>
  </si>
  <si>
    <r>
      <t>m</t>
    </r>
    <r>
      <rPr>
        <vertAlign val="superscript"/>
        <sz val="10"/>
        <rFont val="Arial"/>
        <family val="2"/>
      </rPr>
      <t>2</t>
    </r>
    <r>
      <rPr>
        <sz val="10"/>
        <rFont val="Arial"/>
        <family val="2"/>
      </rPr>
      <t xml:space="preserve"> kg</t>
    </r>
    <r>
      <rPr>
        <vertAlign val="superscript"/>
        <sz val="10"/>
        <rFont val="Arial"/>
        <family val="2"/>
      </rPr>
      <t>-1</t>
    </r>
    <r>
      <rPr>
        <sz val="10"/>
        <rFont val="Arial"/>
        <family val="2"/>
      </rPr>
      <t xml:space="preserve"> C</t>
    </r>
  </si>
  <si>
    <r>
      <t>kg C MJ</t>
    </r>
    <r>
      <rPr>
        <vertAlign val="superscript"/>
        <sz val="10"/>
        <rFont val="Arial"/>
        <family val="2"/>
      </rPr>
      <t>-1</t>
    </r>
    <r>
      <rPr>
        <sz val="10"/>
        <rFont val="Arial"/>
        <family val="2"/>
      </rPr>
      <t>day</t>
    </r>
    <r>
      <rPr>
        <vertAlign val="superscript"/>
        <sz val="10"/>
        <rFont val="Arial"/>
        <family val="2"/>
      </rPr>
      <t>-1</t>
    </r>
  </si>
  <si>
    <r>
      <t>kg C m</t>
    </r>
    <r>
      <rPr>
        <vertAlign val="superscript"/>
        <sz val="10"/>
        <rFont val="Arial"/>
        <family val="2"/>
      </rPr>
      <t>-2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</si>
</sst>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
    <numFmt numFmtId="166" formatCode="0.00000"/>
  </numFmts>
  <fonts count="18" x14ac:knownFonts="1">
    <font>
      <sz val="10"/>
      <name val="Arial"/>
    </font>
    <font>
      <sz val="10"/>
      <name val="Arial"/>
      <family val="2"/>
    </font>
    <font>
      <sz val="8"/>
      <name val="Arial"/>
      <family val="2"/>
    </font>
    <font>
      <vertAlign val="superscript"/>
      <sz val="10"/>
      <name val="Arial"/>
      <family val="2"/>
    </font>
    <font>
      <b/>
      <sz val="10"/>
      <name val="Arial"/>
      <family val="2"/>
    </font>
    <font>
      <sz val="10"/>
      <name val="Arial"/>
      <family val="2"/>
    </font>
    <font>
      <vertAlign val="subscript"/>
      <sz val="10"/>
      <name val="Arial"/>
      <family val="2"/>
    </font>
    <font>
      <u/>
      <sz val="10"/>
      <name val="Arial"/>
      <family val="2"/>
    </font>
    <font>
      <b/>
      <u/>
      <sz val="10"/>
      <name val="Arial"/>
      <family val="2"/>
    </font>
    <font>
      <strike/>
      <sz val="10"/>
      <name val="Arial"/>
      <family val="2"/>
    </font>
    <font>
      <sz val="8"/>
      <color indexed="81"/>
      <name val="Tahoma"/>
      <family val="2"/>
    </font>
    <font>
      <sz val="6"/>
      <name val="Arial"/>
      <family val="2"/>
    </font>
    <font>
      <sz val="8"/>
      <color indexed="9"/>
      <name val="Arial"/>
      <family val="2"/>
    </font>
    <font>
      <b/>
      <sz val="10"/>
      <color indexed="9"/>
      <name val="Arial"/>
      <family val="2"/>
    </font>
    <font>
      <sz val="10"/>
      <color indexed="9"/>
      <name val="Arial"/>
      <family val="2"/>
    </font>
    <font>
      <b/>
      <sz val="8"/>
      <color indexed="9"/>
      <name val="Arial"/>
      <family val="2"/>
    </font>
    <font>
      <sz val="12"/>
      <name val="Aptos"/>
      <family val="2"/>
    </font>
    <font>
      <sz val="8"/>
      <name val="Aptos"/>
      <family val="2"/>
    </font>
  </fonts>
  <fills count="17">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indexed="11"/>
        <bgColor indexed="64"/>
      </patternFill>
    </fill>
    <fill>
      <patternFill patternType="solid">
        <fgColor indexed="50"/>
        <bgColor indexed="64"/>
      </patternFill>
    </fill>
    <fill>
      <patternFill patternType="solid">
        <fgColor indexed="45"/>
        <bgColor indexed="64"/>
      </patternFill>
    </fill>
    <fill>
      <patternFill patternType="solid">
        <fgColor indexed="55"/>
        <bgColor indexed="64"/>
      </patternFill>
    </fill>
    <fill>
      <patternFill patternType="solid">
        <fgColor indexed="57"/>
        <bgColor indexed="64"/>
      </patternFill>
    </fill>
    <fill>
      <patternFill patternType="solid">
        <fgColor indexed="19"/>
        <bgColor indexed="64"/>
      </patternFill>
    </fill>
    <fill>
      <patternFill patternType="solid">
        <fgColor rgb="FFFF99CC"/>
        <bgColor indexed="64"/>
      </patternFill>
    </fill>
    <fill>
      <patternFill patternType="solid">
        <fgColor rgb="FF00FF00"/>
        <bgColor indexed="64"/>
      </patternFill>
    </fill>
    <fill>
      <patternFill patternType="solid">
        <fgColor rgb="FF99CC00"/>
        <bgColor indexed="64"/>
      </patternFill>
    </fill>
    <fill>
      <patternFill patternType="solid">
        <fgColor rgb="FF808000"/>
        <bgColor indexed="64"/>
      </patternFill>
    </fill>
    <fill>
      <patternFill patternType="solid">
        <fgColor theme="3" tint="0.79998168889431442"/>
        <bgColor indexed="64"/>
      </patternFill>
    </fill>
    <fill>
      <patternFill patternType="solid">
        <fgColor theme="0" tint="-0.249977111117893"/>
        <bgColor indexed="64"/>
      </patternFill>
    </fill>
    <fill>
      <patternFill patternType="solid">
        <fgColor theme="0"/>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top/>
      <bottom/>
      <diagonal/>
    </border>
    <border>
      <left style="medium">
        <color indexed="64"/>
      </left>
      <right/>
      <top style="thin">
        <color indexed="64"/>
      </top>
      <bottom/>
      <diagonal/>
    </border>
    <border>
      <left style="medium">
        <color indexed="64"/>
      </left>
      <right/>
      <top/>
      <bottom style="medium">
        <color indexed="64"/>
      </bottom>
      <diagonal/>
    </border>
    <border>
      <left style="medium">
        <color indexed="64"/>
      </left>
      <right/>
      <top style="medium">
        <color indexed="64"/>
      </top>
      <bottom/>
      <diagonal/>
    </border>
    <border>
      <left/>
      <right/>
      <top style="medium">
        <color indexed="64"/>
      </top>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top style="medium">
        <color indexed="64"/>
      </top>
      <bottom/>
      <diagonal/>
    </border>
    <border>
      <left/>
      <right style="medium">
        <color indexed="64"/>
      </right>
      <top/>
      <bottom/>
      <diagonal/>
    </border>
    <border>
      <left/>
      <right style="thin">
        <color indexed="64"/>
      </right>
      <top style="medium">
        <color indexed="64"/>
      </top>
      <bottom/>
      <diagonal/>
    </border>
    <border>
      <left/>
      <right style="thin">
        <color indexed="64"/>
      </right>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style="thin">
        <color indexed="64"/>
      </left>
      <right/>
      <top/>
      <bottom style="medium">
        <color indexed="64"/>
      </bottom>
      <diagonal/>
    </border>
    <border>
      <left/>
      <right/>
      <top/>
      <bottom style="medium">
        <color indexed="64"/>
      </bottom>
      <diagonal/>
    </border>
  </borders>
  <cellStyleXfs count="2">
    <xf numFmtId="0" fontId="0" fillId="0" borderId="0"/>
    <xf numFmtId="0" fontId="1" fillId="0" borderId="0"/>
  </cellStyleXfs>
  <cellXfs count="278">
    <xf numFmtId="0" fontId="0" fillId="0" borderId="0" xfId="0"/>
    <xf numFmtId="0" fontId="0" fillId="2" borderId="0" xfId="0" applyFill="1" applyAlignment="1">
      <alignment vertical="center"/>
    </xf>
    <xf numFmtId="0" fontId="0" fillId="2" borderId="5" xfId="0" applyFill="1" applyBorder="1" applyAlignment="1">
      <alignment vertical="center"/>
    </xf>
    <xf numFmtId="0" fontId="0" fillId="2" borderId="3" xfId="0" applyFill="1" applyBorder="1" applyAlignment="1">
      <alignment vertical="center"/>
    </xf>
    <xf numFmtId="0" fontId="11" fillId="2" borderId="0" xfId="0" applyFont="1" applyFill="1"/>
    <xf numFmtId="0" fontId="0" fillId="2" borderId="6" xfId="0" applyFill="1" applyBorder="1" applyAlignment="1">
      <alignment horizontal="center" vertical="center"/>
    </xf>
    <xf numFmtId="1" fontId="0" fillId="6" borderId="5" xfId="0" applyNumberFormat="1" applyFill="1" applyBorder="1" applyAlignment="1" applyProtection="1">
      <alignment horizontal="center" vertical="center"/>
      <protection locked="0"/>
    </xf>
    <xf numFmtId="2" fontId="0" fillId="6" borderId="5" xfId="0" applyNumberFormat="1" applyFill="1" applyBorder="1" applyAlignment="1" applyProtection="1">
      <alignment horizontal="center" vertical="center"/>
      <protection locked="0"/>
    </xf>
    <xf numFmtId="49" fontId="5" fillId="3" borderId="5" xfId="0" applyNumberFormat="1" applyFont="1" applyFill="1" applyBorder="1" applyAlignment="1" applyProtection="1">
      <alignment horizontal="center" vertical="center" wrapText="1"/>
      <protection locked="0"/>
    </xf>
    <xf numFmtId="49" fontId="9" fillId="3" borderId="5" xfId="0" applyNumberFormat="1" applyFont="1" applyFill="1" applyBorder="1" applyAlignment="1" applyProtection="1">
      <alignment horizontal="center" vertical="center" wrapText="1"/>
      <protection locked="0"/>
    </xf>
    <xf numFmtId="1" fontId="0" fillId="6" borderId="0" xfId="0" applyNumberFormat="1" applyFill="1" applyAlignment="1" applyProtection="1">
      <alignment horizontal="center" vertical="center"/>
      <protection locked="0"/>
    </xf>
    <xf numFmtId="0" fontId="0" fillId="6" borderId="6" xfId="0" applyFill="1" applyBorder="1" applyAlignment="1" applyProtection="1">
      <alignment horizontal="center" vertical="center"/>
      <protection locked="0"/>
    </xf>
    <xf numFmtId="166" fontId="0" fillId="6" borderId="5" xfId="0" applyNumberFormat="1" applyFill="1" applyBorder="1" applyAlignment="1" applyProtection="1">
      <alignment horizontal="center" vertical="center"/>
      <protection locked="0"/>
    </xf>
    <xf numFmtId="1" fontId="0" fillId="8" borderId="7" xfId="0" applyNumberFormat="1" applyFill="1" applyBorder="1" applyAlignment="1" applyProtection="1">
      <alignment horizontal="center" vertical="center"/>
      <protection locked="0"/>
    </xf>
    <xf numFmtId="49" fontId="9" fillId="8" borderId="7" xfId="0" applyNumberFormat="1" applyFont="1" applyFill="1" applyBorder="1" applyAlignment="1" applyProtection="1">
      <alignment horizontal="center" vertical="center" wrapText="1"/>
      <protection locked="0"/>
    </xf>
    <xf numFmtId="0" fontId="0" fillId="5" borderId="5" xfId="0" applyFill="1" applyBorder="1" applyAlignment="1" applyProtection="1">
      <alignment vertical="center"/>
      <protection locked="0"/>
    </xf>
    <xf numFmtId="0" fontId="5" fillId="5" borderId="0" xfId="0" applyFont="1" applyFill="1" applyAlignment="1" applyProtection="1">
      <alignment horizontal="center" vertical="center" wrapText="1"/>
      <protection locked="0"/>
    </xf>
    <xf numFmtId="49" fontId="5" fillId="5" borderId="5" xfId="0" applyNumberFormat="1" applyFont="1" applyFill="1" applyBorder="1" applyAlignment="1" applyProtection="1">
      <alignment horizontal="center" vertical="center" wrapText="1"/>
      <protection locked="0"/>
    </xf>
    <xf numFmtId="1" fontId="0" fillId="5" borderId="7" xfId="0" applyNumberFormat="1" applyFill="1" applyBorder="1" applyAlignment="1" applyProtection="1">
      <alignment horizontal="center" vertical="center"/>
      <protection locked="0"/>
    </xf>
    <xf numFmtId="49" fontId="9" fillId="5" borderId="7" xfId="0" applyNumberFormat="1" applyFont="1" applyFill="1" applyBorder="1" applyAlignment="1" applyProtection="1">
      <alignment horizontal="center" vertical="center" wrapText="1"/>
      <protection locked="0"/>
    </xf>
    <xf numFmtId="0" fontId="0" fillId="9" borderId="5" xfId="0" applyFill="1" applyBorder="1" applyAlignment="1" applyProtection="1">
      <alignment vertical="center"/>
      <protection locked="0"/>
    </xf>
    <xf numFmtId="0" fontId="5" fillId="9" borderId="0" xfId="0" applyFont="1" applyFill="1" applyAlignment="1" applyProtection="1">
      <alignment horizontal="center" vertical="center" wrapText="1"/>
      <protection locked="0"/>
    </xf>
    <xf numFmtId="49" fontId="5" fillId="9" borderId="5" xfId="0" applyNumberFormat="1" applyFont="1" applyFill="1" applyBorder="1" applyAlignment="1" applyProtection="1">
      <alignment horizontal="center" vertical="center" wrapText="1"/>
      <protection locked="0"/>
    </xf>
    <xf numFmtId="1" fontId="0" fillId="9" borderId="7" xfId="0" applyNumberFormat="1" applyFill="1" applyBorder="1" applyAlignment="1" applyProtection="1">
      <alignment horizontal="center" vertical="center"/>
      <protection locked="0"/>
    </xf>
    <xf numFmtId="49" fontId="9" fillId="9" borderId="7" xfId="0" applyNumberFormat="1" applyFont="1" applyFill="1" applyBorder="1" applyAlignment="1" applyProtection="1">
      <alignment horizontal="center" vertical="center" wrapText="1"/>
      <protection locked="0"/>
    </xf>
    <xf numFmtId="0" fontId="0" fillId="4" borderId="5" xfId="0" applyFill="1" applyBorder="1" applyAlignment="1" applyProtection="1">
      <alignment vertical="center"/>
      <protection locked="0"/>
    </xf>
    <xf numFmtId="0" fontId="5" fillId="4" borderId="0" xfId="0" applyFont="1" applyFill="1" applyAlignment="1" applyProtection="1">
      <alignment horizontal="center" vertical="center" wrapText="1"/>
      <protection locked="0"/>
    </xf>
    <xf numFmtId="49" fontId="5" fillId="4" borderId="5" xfId="0" applyNumberFormat="1" applyFont="1" applyFill="1" applyBorder="1" applyAlignment="1" applyProtection="1">
      <alignment horizontal="center" vertical="center" wrapText="1"/>
      <protection locked="0"/>
    </xf>
    <xf numFmtId="1" fontId="0" fillId="4" borderId="7" xfId="0" applyNumberFormat="1" applyFill="1" applyBorder="1" applyAlignment="1" applyProtection="1">
      <alignment horizontal="center" vertical="center"/>
      <protection locked="0"/>
    </xf>
    <xf numFmtId="49" fontId="9" fillId="4" borderId="7" xfId="0" applyNumberFormat="1" applyFont="1" applyFill="1" applyBorder="1" applyAlignment="1" applyProtection="1">
      <alignment horizontal="center" vertical="center" wrapText="1"/>
      <protection locked="0"/>
    </xf>
    <xf numFmtId="0" fontId="5" fillId="2" borderId="13" xfId="0" applyFont="1" applyFill="1" applyBorder="1" applyAlignment="1">
      <alignment vertical="center" wrapText="1"/>
    </xf>
    <xf numFmtId="0" fontId="0" fillId="2" borderId="0" xfId="0" applyFill="1" applyAlignment="1">
      <alignment vertical="center" shrinkToFit="1"/>
    </xf>
    <xf numFmtId="0" fontId="7" fillId="2" borderId="18" xfId="0" applyFont="1" applyFill="1" applyBorder="1" applyAlignment="1">
      <alignment horizontal="center" vertical="center" wrapText="1"/>
    </xf>
    <xf numFmtId="0" fontId="7" fillId="0" borderId="0" xfId="0" applyFont="1" applyAlignment="1">
      <alignment horizontal="center" vertical="center" wrapText="1"/>
    </xf>
    <xf numFmtId="0" fontId="0" fillId="7" borderId="25" xfId="0" applyFill="1" applyBorder="1" applyAlignment="1">
      <alignment vertical="center"/>
    </xf>
    <xf numFmtId="0" fontId="4" fillId="7" borderId="16" xfId="0" applyFont="1" applyFill="1" applyBorder="1" applyAlignment="1">
      <alignment horizontal="center" vertical="center" wrapText="1"/>
    </xf>
    <xf numFmtId="0" fontId="0" fillId="7" borderId="25" xfId="0" applyFill="1" applyBorder="1" applyAlignment="1">
      <alignment horizontal="center" vertical="center"/>
    </xf>
    <xf numFmtId="0" fontId="5" fillId="7" borderId="17" xfId="0" applyFont="1" applyFill="1" applyBorder="1" applyAlignment="1">
      <alignment horizontal="center" vertical="center" wrapText="1"/>
    </xf>
    <xf numFmtId="0" fontId="2" fillId="2" borderId="0" xfId="0" applyFont="1" applyFill="1" applyAlignment="1">
      <alignment vertical="center" shrinkToFit="1"/>
    </xf>
    <xf numFmtId="0" fontId="11" fillId="2" borderId="0" xfId="0" applyFont="1" applyFill="1" applyAlignment="1">
      <alignment horizontal="right" vertical="center" shrinkToFit="1"/>
    </xf>
    <xf numFmtId="0" fontId="11" fillId="2" borderId="0" xfId="0" applyFont="1" applyFill="1" applyAlignment="1">
      <alignment vertical="center"/>
    </xf>
    <xf numFmtId="0" fontId="2" fillId="2" borderId="0" xfId="0" applyFont="1" applyFill="1" applyAlignment="1">
      <alignment shrinkToFit="1"/>
    </xf>
    <xf numFmtId="0" fontId="4" fillId="2" borderId="23" xfId="0" applyFont="1" applyFill="1" applyBorder="1" applyAlignment="1">
      <alignment horizontal="center" vertical="center"/>
    </xf>
    <xf numFmtId="49" fontId="5" fillId="3" borderId="5" xfId="0" applyNumberFormat="1" applyFont="1" applyFill="1" applyBorder="1" applyAlignment="1">
      <alignment horizontal="center" vertical="center" wrapText="1"/>
    </xf>
    <xf numFmtId="49" fontId="5" fillId="3" borderId="26" xfId="0" applyNumberFormat="1" applyFont="1" applyFill="1" applyBorder="1" applyAlignment="1">
      <alignment horizontal="center" vertical="center" wrapText="1"/>
    </xf>
    <xf numFmtId="0" fontId="4" fillId="7" borderId="16" xfId="0" applyFont="1" applyFill="1" applyBorder="1" applyAlignment="1">
      <alignment horizontal="center" vertical="center"/>
    </xf>
    <xf numFmtId="0" fontId="4" fillId="7" borderId="27" xfId="0" applyFont="1" applyFill="1" applyBorder="1" applyAlignment="1">
      <alignment horizontal="center" vertical="center"/>
    </xf>
    <xf numFmtId="0" fontId="7" fillId="2" borderId="6" xfId="0" applyFont="1" applyFill="1" applyBorder="1" applyAlignment="1">
      <alignment vertical="center"/>
    </xf>
    <xf numFmtId="0" fontId="0" fillId="2" borderId="6" xfId="0" applyFill="1" applyBorder="1" applyAlignment="1">
      <alignment vertical="center"/>
    </xf>
    <xf numFmtId="0" fontId="5" fillId="2" borderId="13" xfId="0" applyFont="1" applyFill="1" applyBorder="1" applyAlignment="1">
      <alignment vertical="center"/>
    </xf>
    <xf numFmtId="49" fontId="9" fillId="3" borderId="26" xfId="0" applyNumberFormat="1" applyFont="1" applyFill="1" applyBorder="1" applyAlignment="1">
      <alignment horizontal="center" vertical="center" wrapText="1"/>
    </xf>
    <xf numFmtId="0" fontId="4" fillId="7" borderId="17" xfId="0" applyFont="1" applyFill="1" applyBorder="1" applyAlignment="1">
      <alignment horizontal="center" vertical="center" wrapText="1"/>
    </xf>
    <xf numFmtId="49" fontId="5" fillId="7" borderId="25" xfId="0" applyNumberFormat="1" applyFont="1" applyFill="1" applyBorder="1" applyAlignment="1">
      <alignment horizontal="center" vertical="center" wrapText="1"/>
    </xf>
    <xf numFmtId="49" fontId="5" fillId="7" borderId="23" xfId="0" applyNumberFormat="1" applyFont="1" applyFill="1" applyBorder="1" applyAlignment="1">
      <alignment horizontal="center" vertical="center" wrapText="1"/>
    </xf>
    <xf numFmtId="0" fontId="11" fillId="2" borderId="0" xfId="0" applyFont="1" applyFill="1" applyAlignment="1">
      <alignment horizontal="right" vertical="center" wrapText="1" shrinkToFit="1"/>
    </xf>
    <xf numFmtId="0" fontId="4" fillId="7" borderId="22" xfId="0" applyFont="1" applyFill="1" applyBorder="1" applyAlignment="1">
      <alignment vertical="center" wrapText="1"/>
    </xf>
    <xf numFmtId="0" fontId="4" fillId="7" borderId="8" xfId="0" applyFont="1" applyFill="1" applyBorder="1" applyAlignment="1">
      <alignment horizontal="right" vertical="center" wrapText="1"/>
    </xf>
    <xf numFmtId="1" fontId="4" fillId="7" borderId="4" xfId="0" applyNumberFormat="1" applyFont="1" applyFill="1" applyBorder="1" applyAlignment="1">
      <alignment horizontal="center" vertical="center" wrapText="1"/>
    </xf>
    <xf numFmtId="0" fontId="4" fillId="7" borderId="8" xfId="0" applyFont="1" applyFill="1" applyBorder="1" applyAlignment="1">
      <alignment vertical="center" wrapText="1"/>
    </xf>
    <xf numFmtId="0" fontId="4" fillId="7" borderId="29" xfId="0" applyFont="1" applyFill="1" applyBorder="1" applyAlignment="1">
      <alignment vertical="center" wrapText="1"/>
    </xf>
    <xf numFmtId="0" fontId="13" fillId="8" borderId="14" xfId="0" applyFont="1" applyFill="1" applyBorder="1" applyAlignment="1">
      <alignment horizontal="center" vertical="center"/>
    </xf>
    <xf numFmtId="0" fontId="15" fillId="8" borderId="11" xfId="0" applyFont="1" applyFill="1" applyBorder="1" applyAlignment="1">
      <alignment horizontal="left" vertical="center"/>
    </xf>
    <xf numFmtId="0" fontId="14" fillId="8" borderId="9" xfId="0" applyFont="1" applyFill="1" applyBorder="1" applyAlignment="1">
      <alignment vertical="center"/>
    </xf>
    <xf numFmtId="0" fontId="14" fillId="8" borderId="10" xfId="0" applyFont="1" applyFill="1" applyBorder="1" applyAlignment="1">
      <alignment horizontal="center" vertical="center" wrapText="1"/>
    </xf>
    <xf numFmtId="49" fontId="14" fillId="8" borderId="9" xfId="0" applyNumberFormat="1" applyFont="1" applyFill="1" applyBorder="1" applyAlignment="1">
      <alignment horizontal="center" vertical="center" wrapText="1"/>
    </xf>
    <xf numFmtId="49" fontId="14" fillId="8" borderId="30" xfId="0" applyNumberFormat="1" applyFont="1" applyFill="1" applyBorder="1" applyAlignment="1">
      <alignment horizontal="center" vertical="center" wrapText="1"/>
    </xf>
    <xf numFmtId="49" fontId="9" fillId="8" borderId="26" xfId="0" applyNumberFormat="1" applyFont="1" applyFill="1" applyBorder="1" applyAlignment="1">
      <alignment horizontal="center" vertical="center" wrapText="1"/>
    </xf>
    <xf numFmtId="0" fontId="5" fillId="8" borderId="13" xfId="0" applyFont="1" applyFill="1" applyBorder="1" applyAlignment="1">
      <alignment horizontal="left" vertical="center" wrapText="1"/>
    </xf>
    <xf numFmtId="49" fontId="5" fillId="8" borderId="26" xfId="0" applyNumberFormat="1" applyFont="1" applyFill="1" applyBorder="1" applyAlignment="1">
      <alignment horizontal="center" vertical="center" wrapText="1"/>
    </xf>
    <xf numFmtId="0" fontId="0" fillId="8" borderId="13" xfId="0" applyFill="1" applyBorder="1" applyAlignment="1">
      <alignment vertical="center"/>
    </xf>
    <xf numFmtId="0" fontId="11" fillId="2" borderId="0" xfId="0" applyFont="1" applyFill="1" applyAlignment="1">
      <alignment vertical="center" shrinkToFit="1"/>
    </xf>
    <xf numFmtId="0" fontId="0" fillId="8" borderId="13" xfId="0" applyFill="1" applyBorder="1" applyAlignment="1">
      <alignment horizontal="left" vertical="center" indent="1"/>
    </xf>
    <xf numFmtId="0" fontId="0" fillId="2" borderId="6" xfId="0" applyFill="1" applyBorder="1" applyAlignment="1">
      <alignment horizontal="left" vertical="center" indent="1"/>
    </xf>
    <xf numFmtId="0" fontId="5" fillId="8" borderId="13" xfId="0" applyFont="1" applyFill="1" applyBorder="1" applyAlignment="1">
      <alignment horizontal="left" vertical="center" indent="1"/>
    </xf>
    <xf numFmtId="0" fontId="5" fillId="8" borderId="22" xfId="0" applyFont="1" applyFill="1" applyBorder="1" applyAlignment="1">
      <alignment horizontal="left" vertical="center" indent="1"/>
    </xf>
    <xf numFmtId="0" fontId="5" fillId="8" borderId="12" xfId="0" applyFont="1" applyFill="1" applyBorder="1" applyAlignment="1">
      <alignment horizontal="left" vertical="center" indent="1"/>
    </xf>
    <xf numFmtId="49" fontId="9" fillId="8" borderId="29" xfId="0" applyNumberFormat="1" applyFont="1" applyFill="1" applyBorder="1" applyAlignment="1">
      <alignment horizontal="center" vertical="center" wrapText="1"/>
    </xf>
    <xf numFmtId="0" fontId="4" fillId="5" borderId="13" xfId="0" applyFont="1" applyFill="1" applyBorder="1" applyAlignment="1">
      <alignment horizontal="center" vertical="center"/>
    </xf>
    <xf numFmtId="0" fontId="15" fillId="5" borderId="6" xfId="0" applyFont="1" applyFill="1" applyBorder="1" applyAlignment="1">
      <alignment horizontal="left" vertical="center"/>
    </xf>
    <xf numFmtId="49" fontId="5" fillId="5" borderId="26" xfId="0" applyNumberFormat="1" applyFont="1" applyFill="1" applyBorder="1" applyAlignment="1">
      <alignment horizontal="center" vertical="center" wrapText="1"/>
    </xf>
    <xf numFmtId="49" fontId="9" fillId="5" borderId="26" xfId="0" applyNumberFormat="1" applyFont="1" applyFill="1" applyBorder="1" applyAlignment="1">
      <alignment horizontal="center" vertical="center" wrapText="1"/>
    </xf>
    <xf numFmtId="0" fontId="5" fillId="5" borderId="13" xfId="0" applyFont="1" applyFill="1" applyBorder="1" applyAlignment="1">
      <alignment horizontal="left" vertical="center" wrapText="1"/>
    </xf>
    <xf numFmtId="0" fontId="0" fillId="5" borderId="13" xfId="0" applyFill="1" applyBorder="1" applyAlignment="1">
      <alignment vertical="center"/>
    </xf>
    <xf numFmtId="0" fontId="0" fillId="5" borderId="13" xfId="0" applyFill="1" applyBorder="1" applyAlignment="1">
      <alignment horizontal="left" vertical="center" indent="1"/>
    </xf>
    <xf numFmtId="0" fontId="5" fillId="5" borderId="13" xfId="0" applyFont="1" applyFill="1" applyBorder="1" applyAlignment="1">
      <alignment horizontal="left" vertical="center" indent="1"/>
    </xf>
    <xf numFmtId="0" fontId="5" fillId="5" borderId="13" xfId="0" applyFont="1" applyFill="1" applyBorder="1" applyAlignment="1">
      <alignment horizontal="left" vertical="center" wrapText="1" indent="1"/>
    </xf>
    <xf numFmtId="0" fontId="15" fillId="9" borderId="6" xfId="0" applyFont="1" applyFill="1" applyBorder="1" applyAlignment="1">
      <alignment horizontal="left" vertical="center"/>
    </xf>
    <xf numFmtId="0" fontId="5" fillId="9" borderId="13" xfId="0" applyFont="1" applyFill="1" applyBorder="1" applyAlignment="1">
      <alignment horizontal="left" vertical="center"/>
    </xf>
    <xf numFmtId="49" fontId="9" fillId="9" borderId="26" xfId="0" applyNumberFormat="1" applyFont="1" applyFill="1" applyBorder="1" applyAlignment="1">
      <alignment horizontal="center" vertical="center" wrapText="1"/>
    </xf>
    <xf numFmtId="0" fontId="0" fillId="9" borderId="13" xfId="0" applyFill="1" applyBorder="1" applyAlignment="1">
      <alignment vertical="center"/>
    </xf>
    <xf numFmtId="0" fontId="0" fillId="9" borderId="13" xfId="0" applyFill="1" applyBorder="1" applyAlignment="1">
      <alignment horizontal="left" vertical="center" indent="1"/>
    </xf>
    <xf numFmtId="0" fontId="5" fillId="9" borderId="13" xfId="0" applyFont="1" applyFill="1" applyBorder="1" applyAlignment="1">
      <alignment horizontal="left" vertical="center" indent="1"/>
    </xf>
    <xf numFmtId="0" fontId="5" fillId="9" borderId="13" xfId="0" applyFont="1" applyFill="1" applyBorder="1" applyAlignment="1">
      <alignment horizontal="left" vertical="center" wrapText="1" indent="1"/>
    </xf>
    <xf numFmtId="0" fontId="5" fillId="9" borderId="12" xfId="0" applyFont="1" applyFill="1" applyBorder="1" applyAlignment="1">
      <alignment horizontal="left" vertical="center" indent="1"/>
    </xf>
    <xf numFmtId="0" fontId="15" fillId="4" borderId="6" xfId="0" applyFont="1" applyFill="1" applyBorder="1" applyAlignment="1">
      <alignment horizontal="left" vertical="center"/>
    </xf>
    <xf numFmtId="0" fontId="5" fillId="4" borderId="13" xfId="0" applyFont="1" applyFill="1" applyBorder="1" applyAlignment="1">
      <alignment horizontal="left" vertical="center"/>
    </xf>
    <xf numFmtId="49" fontId="9" fillId="4" borderId="26" xfId="0" applyNumberFormat="1" applyFont="1" applyFill="1" applyBorder="1" applyAlignment="1">
      <alignment horizontal="center" vertical="center" wrapText="1"/>
    </xf>
    <xf numFmtId="0" fontId="0" fillId="4" borderId="13" xfId="0" applyFill="1" applyBorder="1" applyAlignment="1">
      <alignment vertical="center"/>
    </xf>
    <xf numFmtId="0" fontId="0" fillId="4" borderId="13" xfId="0" applyFill="1" applyBorder="1" applyAlignment="1">
      <alignment horizontal="left" vertical="center" indent="1"/>
    </xf>
    <xf numFmtId="0" fontId="5" fillId="4" borderId="13" xfId="0" applyFont="1" applyFill="1" applyBorder="1" applyAlignment="1">
      <alignment horizontal="left" vertical="center" indent="1"/>
    </xf>
    <xf numFmtId="0" fontId="5" fillId="4" borderId="13" xfId="0" applyFont="1" applyFill="1" applyBorder="1" applyAlignment="1">
      <alignment horizontal="left" vertical="center" wrapText="1" indent="1"/>
    </xf>
    <xf numFmtId="0" fontId="5" fillId="4" borderId="12" xfId="0" applyFont="1" applyFill="1" applyBorder="1" applyAlignment="1">
      <alignment horizontal="left" vertical="center" indent="1"/>
    </xf>
    <xf numFmtId="0" fontId="1" fillId="2" borderId="6" xfId="0" applyFont="1" applyFill="1" applyBorder="1" applyAlignment="1">
      <alignment vertical="center"/>
    </xf>
    <xf numFmtId="49" fontId="2" fillId="3" borderId="5" xfId="0" applyNumberFormat="1" applyFont="1" applyFill="1" applyBorder="1" applyAlignment="1" applyProtection="1">
      <alignment horizontal="center" vertical="center" wrapText="1"/>
      <protection locked="0"/>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4" fillId="2" borderId="1" xfId="0" applyFont="1" applyFill="1" applyBorder="1" applyAlignment="1">
      <alignment horizontal="center" vertical="center"/>
    </xf>
    <xf numFmtId="0" fontId="4" fillId="2" borderId="21" xfId="0" applyFont="1" applyFill="1" applyBorder="1" applyAlignment="1">
      <alignment horizontal="center" vertical="center"/>
    </xf>
    <xf numFmtId="0" fontId="1" fillId="14" borderId="3" xfId="0" applyFont="1" applyFill="1" applyBorder="1" applyAlignment="1">
      <alignment horizontal="center" vertical="center"/>
    </xf>
    <xf numFmtId="0" fontId="0" fillId="14" borderId="6" xfId="0" applyFill="1" applyBorder="1" applyAlignment="1">
      <alignment horizontal="center" vertical="center"/>
    </xf>
    <xf numFmtId="0" fontId="1" fillId="14" borderId="4" xfId="0" applyFont="1" applyFill="1" applyBorder="1" applyAlignment="1">
      <alignment horizontal="center" vertical="center"/>
    </xf>
    <xf numFmtId="0" fontId="0" fillId="14" borderId="12" xfId="0" applyFill="1" applyBorder="1" applyAlignment="1">
      <alignment horizontal="center" vertical="center"/>
    </xf>
    <xf numFmtId="0" fontId="0" fillId="2" borderId="7" xfId="0" applyFill="1" applyBorder="1" applyAlignment="1">
      <alignment vertical="center"/>
    </xf>
    <xf numFmtId="0" fontId="4" fillId="2" borderId="20" xfId="0" applyFont="1" applyFill="1" applyBorder="1" applyAlignment="1">
      <alignment horizontal="center" vertical="center"/>
    </xf>
    <xf numFmtId="0" fontId="0" fillId="2" borderId="4" xfId="0" applyFill="1" applyBorder="1" applyAlignment="1">
      <alignment vertical="center"/>
    </xf>
    <xf numFmtId="1" fontId="0" fillId="10" borderId="5" xfId="0" applyNumberFormat="1" applyFill="1" applyBorder="1" applyAlignment="1" applyProtection="1">
      <alignment horizontal="center" vertical="center"/>
      <protection locked="0"/>
    </xf>
    <xf numFmtId="49" fontId="2" fillId="15" borderId="5" xfId="0" applyNumberFormat="1" applyFont="1" applyFill="1" applyBorder="1" applyAlignment="1" applyProtection="1">
      <alignment horizontal="center" vertical="center" wrapText="1"/>
      <protection locked="0"/>
    </xf>
    <xf numFmtId="49" fontId="5" fillId="15" borderId="5" xfId="0" applyNumberFormat="1" applyFont="1" applyFill="1" applyBorder="1" applyAlignment="1" applyProtection="1">
      <alignment horizontal="center" vertical="center" wrapText="1"/>
      <protection locked="0"/>
    </xf>
    <xf numFmtId="2" fontId="0" fillId="6" borderId="0" xfId="0" applyNumberFormat="1" applyFill="1" applyAlignment="1" applyProtection="1">
      <alignment horizontal="center" vertical="center"/>
      <protection locked="0"/>
    </xf>
    <xf numFmtId="0" fontId="0" fillId="13" borderId="13" xfId="0" applyFill="1" applyBorder="1" applyAlignment="1">
      <alignment vertical="center"/>
    </xf>
    <xf numFmtId="49" fontId="9" fillId="13" borderId="26" xfId="0" applyNumberFormat="1" applyFont="1" applyFill="1" applyBorder="1" applyAlignment="1">
      <alignment horizontal="center" vertical="center" wrapText="1"/>
    </xf>
    <xf numFmtId="49" fontId="9" fillId="11" borderId="26" xfId="0" applyNumberFormat="1" applyFont="1" applyFill="1" applyBorder="1" applyAlignment="1">
      <alignment horizontal="center" vertical="center" wrapText="1"/>
    </xf>
    <xf numFmtId="0" fontId="0" fillId="11" borderId="13" xfId="0" applyFill="1" applyBorder="1" applyAlignment="1">
      <alignment vertical="center"/>
    </xf>
    <xf numFmtId="49" fontId="9" fillId="12" borderId="26" xfId="0" applyNumberFormat="1" applyFont="1" applyFill="1" applyBorder="1" applyAlignment="1">
      <alignment horizontal="center" vertical="center" wrapText="1"/>
    </xf>
    <xf numFmtId="0" fontId="0" fillId="12" borderId="13" xfId="0" applyFill="1" applyBorder="1" applyAlignment="1">
      <alignment vertical="center"/>
    </xf>
    <xf numFmtId="0" fontId="0" fillId="10" borderId="0" xfId="0" applyFill="1" applyAlignment="1">
      <alignment horizontal="center" vertical="center"/>
    </xf>
    <xf numFmtId="0" fontId="1" fillId="10" borderId="0" xfId="0" applyFont="1" applyFill="1" applyAlignment="1">
      <alignment horizontal="center" vertical="center"/>
    </xf>
    <xf numFmtId="0" fontId="1" fillId="2" borderId="6" xfId="0" applyFont="1" applyFill="1" applyBorder="1" applyAlignment="1">
      <alignment horizontal="left" vertical="center" indent="1"/>
    </xf>
    <xf numFmtId="0" fontId="7" fillId="5" borderId="13" xfId="0" applyFont="1" applyFill="1" applyBorder="1" applyAlignment="1">
      <alignment vertical="center"/>
    </xf>
    <xf numFmtId="0" fontId="7" fillId="9" borderId="13" xfId="0" applyFont="1" applyFill="1" applyBorder="1" applyAlignment="1">
      <alignment vertical="center"/>
    </xf>
    <xf numFmtId="0" fontId="7" fillId="4" borderId="13" xfId="0" applyFont="1" applyFill="1" applyBorder="1" applyAlignment="1">
      <alignment vertical="center"/>
    </xf>
    <xf numFmtId="0" fontId="7" fillId="5" borderId="0" xfId="0" applyFont="1" applyFill="1" applyAlignment="1">
      <alignment vertical="center"/>
    </xf>
    <xf numFmtId="0" fontId="0" fillId="2" borderId="26" xfId="0" applyFill="1" applyBorder="1" applyAlignment="1">
      <alignment vertical="center"/>
    </xf>
    <xf numFmtId="0" fontId="5" fillId="5" borderId="6" xfId="0" applyFont="1" applyFill="1" applyBorder="1" applyAlignment="1">
      <alignment horizontal="left" vertical="center" indent="1"/>
    </xf>
    <xf numFmtId="0" fontId="5" fillId="9" borderId="14" xfId="0" applyFont="1" applyFill="1" applyBorder="1" applyAlignment="1">
      <alignment horizontal="left" vertical="center"/>
    </xf>
    <xf numFmtId="0" fontId="15" fillId="9" borderId="11" xfId="0" applyFont="1" applyFill="1" applyBorder="1" applyAlignment="1">
      <alignment horizontal="left" vertical="center"/>
    </xf>
    <xf numFmtId="49" fontId="5" fillId="12" borderId="26" xfId="0" applyNumberFormat="1" applyFont="1" applyFill="1" applyBorder="1" applyAlignment="1">
      <alignment horizontal="center" vertical="center" wrapText="1"/>
    </xf>
    <xf numFmtId="49" fontId="14" fillId="12" borderId="29" xfId="0" applyNumberFormat="1" applyFont="1" applyFill="1" applyBorder="1" applyAlignment="1">
      <alignment horizontal="center" vertical="center" wrapText="1"/>
    </xf>
    <xf numFmtId="0" fontId="4" fillId="12" borderId="0" xfId="0" applyFont="1" applyFill="1" applyAlignment="1">
      <alignment horizontal="center" vertical="center"/>
    </xf>
    <xf numFmtId="0" fontId="13" fillId="12" borderId="13" xfId="0" applyFont="1" applyFill="1" applyBorder="1" applyAlignment="1">
      <alignment horizontal="center" vertical="center"/>
    </xf>
    <xf numFmtId="49" fontId="5" fillId="13" borderId="26" xfId="0" applyNumberFormat="1" applyFont="1" applyFill="1" applyBorder="1" applyAlignment="1">
      <alignment horizontal="center" vertical="center" wrapText="1"/>
    </xf>
    <xf numFmtId="49" fontId="14" fillId="13" borderId="29" xfId="0" applyNumberFormat="1" applyFont="1" applyFill="1" applyBorder="1" applyAlignment="1">
      <alignment horizontal="center" vertical="center" wrapText="1"/>
    </xf>
    <xf numFmtId="0" fontId="13" fillId="13" borderId="22" xfId="0" applyFont="1" applyFill="1" applyBorder="1" applyAlignment="1">
      <alignment horizontal="center" vertical="center"/>
    </xf>
    <xf numFmtId="0" fontId="4" fillId="13" borderId="13" xfId="0" applyFont="1" applyFill="1" applyBorder="1" applyAlignment="1">
      <alignment horizontal="center" vertical="center"/>
    </xf>
    <xf numFmtId="49" fontId="5" fillId="11" borderId="26" xfId="0" applyNumberFormat="1" applyFont="1" applyFill="1" applyBorder="1" applyAlignment="1">
      <alignment horizontal="center" vertical="center" wrapText="1"/>
    </xf>
    <xf numFmtId="49" fontId="14" fillId="11" borderId="29" xfId="0" applyNumberFormat="1" applyFont="1" applyFill="1" applyBorder="1" applyAlignment="1">
      <alignment horizontal="center" vertical="center" wrapText="1"/>
    </xf>
    <xf numFmtId="0" fontId="4" fillId="11" borderId="13" xfId="0" applyFont="1" applyFill="1" applyBorder="1" applyAlignment="1">
      <alignment horizontal="center" vertical="center"/>
    </xf>
    <xf numFmtId="0" fontId="13" fillId="11" borderId="22" xfId="0" applyFont="1" applyFill="1" applyBorder="1" applyAlignment="1">
      <alignment horizontal="center" vertical="center"/>
    </xf>
    <xf numFmtId="0" fontId="0" fillId="13" borderId="26" xfId="0" applyFill="1" applyBorder="1" applyAlignment="1">
      <alignment vertical="center"/>
    </xf>
    <xf numFmtId="0" fontId="0" fillId="13" borderId="0" xfId="0" applyFill="1" applyAlignment="1">
      <alignment vertical="center"/>
    </xf>
    <xf numFmtId="0" fontId="7" fillId="8" borderId="13" xfId="0" applyFont="1" applyFill="1" applyBorder="1" applyAlignment="1">
      <alignment vertical="center"/>
    </xf>
    <xf numFmtId="0" fontId="0" fillId="8" borderId="13" xfId="0" applyFill="1" applyBorder="1" applyAlignment="1">
      <alignment horizontal="left" vertical="center" wrapText="1" indent="1"/>
    </xf>
    <xf numFmtId="49" fontId="9" fillId="8" borderId="26" xfId="0" applyNumberFormat="1" applyFont="1" applyFill="1" applyBorder="1" applyAlignment="1">
      <alignment horizontal="left" vertical="center" wrapText="1" indent="1"/>
    </xf>
    <xf numFmtId="0" fontId="1" fillId="2" borderId="0" xfId="0" applyFont="1" applyFill="1" applyAlignment="1">
      <alignment vertical="center" shrinkToFit="1"/>
    </xf>
    <xf numFmtId="0" fontId="0" fillId="6" borderId="0" xfId="0" applyFill="1" applyAlignment="1" applyProtection="1">
      <alignment horizontal="center" vertical="center"/>
      <protection locked="0"/>
    </xf>
    <xf numFmtId="1" fontId="0" fillId="6" borderId="6" xfId="0" applyNumberFormat="1" applyFill="1" applyBorder="1" applyAlignment="1" applyProtection="1">
      <alignment horizontal="center" vertical="center"/>
      <protection locked="0"/>
    </xf>
    <xf numFmtId="0" fontId="0" fillId="6" borderId="3" xfId="0" applyFill="1" applyBorder="1" applyAlignment="1" applyProtection="1">
      <alignment horizontal="center" vertical="center"/>
      <protection locked="0"/>
    </xf>
    <xf numFmtId="1" fontId="0" fillId="6" borderId="3" xfId="0" applyNumberFormat="1" applyFill="1" applyBorder="1" applyAlignment="1" applyProtection="1">
      <alignment horizontal="center" vertical="center"/>
      <protection locked="0"/>
    </xf>
    <xf numFmtId="2" fontId="2" fillId="3" borderId="5" xfId="0" applyNumberFormat="1" applyFont="1" applyFill="1" applyBorder="1" applyAlignment="1" applyProtection="1">
      <alignment horizontal="center" vertical="center" wrapText="1"/>
      <protection locked="0"/>
    </xf>
    <xf numFmtId="2" fontId="5" fillId="3" borderId="5" xfId="0" applyNumberFormat="1" applyFont="1" applyFill="1" applyBorder="1" applyAlignment="1" applyProtection="1">
      <alignment horizontal="center" vertical="center" wrapText="1"/>
      <protection locked="0"/>
    </xf>
    <xf numFmtId="0" fontId="4" fillId="12" borderId="13" xfId="0" applyFont="1" applyFill="1" applyBorder="1" applyAlignment="1">
      <alignment horizontal="center" vertical="center"/>
    </xf>
    <xf numFmtId="0" fontId="1" fillId="2" borderId="6" xfId="0" applyFont="1" applyFill="1" applyBorder="1" applyAlignment="1">
      <alignment horizontal="left" vertical="center" wrapText="1" indent="1"/>
    </xf>
    <xf numFmtId="0" fontId="0" fillId="2" borderId="2" xfId="0" applyFill="1" applyBorder="1" applyAlignment="1">
      <alignment vertical="center"/>
    </xf>
    <xf numFmtId="49" fontId="5" fillId="3" borderId="18" xfId="0" applyNumberFormat="1" applyFont="1" applyFill="1" applyBorder="1" applyAlignment="1">
      <alignment horizontal="center" vertical="center" wrapText="1"/>
    </xf>
    <xf numFmtId="1" fontId="4" fillId="7" borderId="12" xfId="0" applyNumberFormat="1" applyFont="1" applyFill="1" applyBorder="1" applyAlignment="1">
      <alignment horizontal="center" vertical="center" wrapText="1"/>
    </xf>
    <xf numFmtId="49" fontId="2" fillId="3" borderId="3" xfId="0" applyNumberFormat="1" applyFont="1" applyFill="1" applyBorder="1" applyAlignment="1" applyProtection="1">
      <alignment horizontal="center" vertical="center" wrapText="1"/>
      <protection locked="0"/>
    </xf>
    <xf numFmtId="49" fontId="2" fillId="7" borderId="19" xfId="0" applyNumberFormat="1" applyFont="1" applyFill="1" applyBorder="1" applyAlignment="1">
      <alignment horizontal="center" vertical="center" wrapText="1"/>
    </xf>
    <xf numFmtId="0" fontId="4" fillId="7" borderId="4" xfId="0" applyFont="1" applyFill="1" applyBorder="1" applyAlignment="1">
      <alignment vertical="center" wrapText="1"/>
    </xf>
    <xf numFmtId="49" fontId="12" fillId="8" borderId="2" xfId="0" applyNumberFormat="1" applyFont="1" applyFill="1" applyBorder="1" applyAlignment="1">
      <alignment horizontal="center" vertical="center" wrapText="1"/>
    </xf>
    <xf numFmtId="1" fontId="2" fillId="3" borderId="3" xfId="0" applyNumberFormat="1" applyFont="1" applyFill="1" applyBorder="1" applyAlignment="1" applyProtection="1">
      <alignment horizontal="center" vertical="center" wrapText="1"/>
      <protection locked="0"/>
    </xf>
    <xf numFmtId="166" fontId="0" fillId="6" borderId="0" xfId="0" applyNumberFormat="1" applyFill="1" applyAlignment="1" applyProtection="1">
      <alignment horizontal="center" vertical="center"/>
      <protection locked="0"/>
    </xf>
    <xf numFmtId="49" fontId="5" fillId="3" borderId="3" xfId="0" applyNumberFormat="1" applyFont="1" applyFill="1" applyBorder="1" applyAlignment="1" applyProtection="1">
      <alignment horizontal="center" vertical="center" wrapText="1"/>
      <protection locked="0"/>
    </xf>
    <xf numFmtId="1" fontId="0" fillId="8" borderId="8" xfId="0" applyNumberFormat="1" applyFill="1" applyBorder="1" applyAlignment="1" applyProtection="1">
      <alignment horizontal="center" vertical="center"/>
      <protection locked="0"/>
    </xf>
    <xf numFmtId="49" fontId="2" fillId="8" borderId="4" xfId="0" applyNumberFormat="1" applyFont="1" applyFill="1" applyBorder="1" applyAlignment="1" applyProtection="1">
      <alignment horizontal="center" vertical="center" wrapText="1"/>
      <protection locked="0"/>
    </xf>
    <xf numFmtId="49" fontId="2" fillId="5" borderId="3" xfId="0" applyNumberFormat="1" applyFont="1" applyFill="1" applyBorder="1" applyAlignment="1" applyProtection="1">
      <alignment horizontal="center" vertical="center" wrapText="1"/>
      <protection locked="0"/>
    </xf>
    <xf numFmtId="1" fontId="0" fillId="5" borderId="8" xfId="0" applyNumberFormat="1" applyFill="1" applyBorder="1" applyAlignment="1" applyProtection="1">
      <alignment horizontal="center" vertical="center"/>
      <protection locked="0"/>
    </xf>
    <xf numFmtId="49" fontId="2" fillId="5" borderId="4" xfId="0" applyNumberFormat="1" applyFont="1" applyFill="1" applyBorder="1" applyAlignment="1" applyProtection="1">
      <alignment horizontal="center" vertical="center" wrapText="1"/>
      <protection locked="0"/>
    </xf>
    <xf numFmtId="49" fontId="2" fillId="9" borderId="3" xfId="0" applyNumberFormat="1" applyFont="1" applyFill="1" applyBorder="1" applyAlignment="1" applyProtection="1">
      <alignment horizontal="center" vertical="center" wrapText="1"/>
      <protection locked="0"/>
    </xf>
    <xf numFmtId="1" fontId="0" fillId="9" borderId="8" xfId="0" applyNumberFormat="1" applyFill="1" applyBorder="1" applyAlignment="1" applyProtection="1">
      <alignment horizontal="center" vertical="center"/>
      <protection locked="0"/>
    </xf>
    <xf numFmtId="49" fontId="2" fillId="9" borderId="4" xfId="0" applyNumberFormat="1" applyFont="1" applyFill="1" applyBorder="1" applyAlignment="1" applyProtection="1">
      <alignment horizontal="center" vertical="center" wrapText="1"/>
      <protection locked="0"/>
    </xf>
    <xf numFmtId="49" fontId="2" fillId="4" borderId="3" xfId="0" applyNumberFormat="1" applyFont="1" applyFill="1" applyBorder="1" applyAlignment="1" applyProtection="1">
      <alignment horizontal="center" vertical="center" wrapText="1"/>
      <protection locked="0"/>
    </xf>
    <xf numFmtId="1" fontId="0" fillId="10" borderId="0" xfId="0" applyNumberFormat="1" applyFill="1" applyAlignment="1" applyProtection="1">
      <alignment horizontal="center" vertical="center"/>
      <protection locked="0"/>
    </xf>
    <xf numFmtId="49" fontId="2" fillId="15" borderId="3" xfId="0" applyNumberFormat="1" applyFont="1" applyFill="1" applyBorder="1" applyAlignment="1" applyProtection="1">
      <alignment horizontal="center" vertical="center" wrapText="1"/>
      <protection locked="0"/>
    </xf>
    <xf numFmtId="1" fontId="0" fillId="4" borderId="8" xfId="0" applyNumberFormat="1" applyFill="1" applyBorder="1" applyAlignment="1" applyProtection="1">
      <alignment horizontal="center" vertical="center"/>
      <protection locked="0"/>
    </xf>
    <xf numFmtId="49" fontId="2" fillId="4" borderId="4" xfId="0" applyNumberFormat="1" applyFont="1" applyFill="1" applyBorder="1" applyAlignment="1" applyProtection="1">
      <alignment horizontal="center" vertical="center" wrapText="1"/>
      <protection locked="0"/>
    </xf>
    <xf numFmtId="49" fontId="5" fillId="3" borderId="3" xfId="0" applyNumberFormat="1" applyFont="1" applyFill="1" applyBorder="1" applyAlignment="1">
      <alignment horizontal="center" vertical="center" wrapText="1"/>
    </xf>
    <xf numFmtId="49" fontId="5" fillId="7" borderId="19" xfId="0" applyNumberFormat="1" applyFont="1" applyFill="1" applyBorder="1" applyAlignment="1">
      <alignment horizontal="center" vertical="center" wrapText="1"/>
    </xf>
    <xf numFmtId="49" fontId="14" fillId="8" borderId="2" xfId="0" applyNumberFormat="1" applyFont="1" applyFill="1" applyBorder="1" applyAlignment="1">
      <alignment horizontal="center" vertical="center" wrapText="1"/>
    </xf>
    <xf numFmtId="1" fontId="5" fillId="3" borderId="3" xfId="0" applyNumberFormat="1" applyFont="1" applyFill="1" applyBorder="1" applyAlignment="1" applyProtection="1">
      <alignment horizontal="center" vertical="center" wrapText="1"/>
      <protection locked="0"/>
    </xf>
    <xf numFmtId="49" fontId="5" fillId="8" borderId="4" xfId="0" applyNumberFormat="1" applyFont="1" applyFill="1" applyBorder="1" applyAlignment="1" applyProtection="1">
      <alignment horizontal="center" vertical="center" wrapText="1"/>
      <protection locked="0"/>
    </xf>
    <xf numFmtId="49" fontId="5" fillId="5" borderId="3" xfId="0" applyNumberFormat="1" applyFont="1" applyFill="1" applyBorder="1" applyAlignment="1" applyProtection="1">
      <alignment horizontal="center" vertical="center" wrapText="1"/>
      <protection locked="0"/>
    </xf>
    <xf numFmtId="49" fontId="5" fillId="5" borderId="4" xfId="0" applyNumberFormat="1" applyFont="1" applyFill="1" applyBorder="1" applyAlignment="1" applyProtection="1">
      <alignment horizontal="center" vertical="center" wrapText="1"/>
      <protection locked="0"/>
    </xf>
    <xf numFmtId="49" fontId="5" fillId="9" borderId="3" xfId="0" applyNumberFormat="1" applyFont="1" applyFill="1" applyBorder="1" applyAlignment="1" applyProtection="1">
      <alignment horizontal="center" vertical="center" wrapText="1"/>
      <protection locked="0"/>
    </xf>
    <xf numFmtId="49" fontId="5" fillId="9" borderId="4" xfId="0" applyNumberFormat="1" applyFont="1" applyFill="1" applyBorder="1" applyAlignment="1" applyProtection="1">
      <alignment horizontal="center" vertical="center" wrapText="1"/>
      <protection locked="0"/>
    </xf>
    <xf numFmtId="49" fontId="5" fillId="4" borderId="3" xfId="0" applyNumberFormat="1" applyFont="1" applyFill="1" applyBorder="1" applyAlignment="1" applyProtection="1">
      <alignment horizontal="center" vertical="center" wrapText="1"/>
      <protection locked="0"/>
    </xf>
    <xf numFmtId="49" fontId="5" fillId="4" borderId="4" xfId="0" applyNumberFormat="1" applyFont="1" applyFill="1" applyBorder="1" applyAlignment="1" applyProtection="1">
      <alignment horizontal="center" vertical="center" wrapText="1"/>
      <protection locked="0"/>
    </xf>
    <xf numFmtId="2" fontId="2" fillId="3" borderId="3" xfId="0" applyNumberFormat="1" applyFont="1" applyFill="1" applyBorder="1" applyAlignment="1" applyProtection="1">
      <alignment horizontal="center" vertical="center" wrapText="1"/>
      <protection locked="0"/>
    </xf>
    <xf numFmtId="2" fontId="5" fillId="3" borderId="3" xfId="0" applyNumberFormat="1" applyFont="1" applyFill="1" applyBorder="1" applyAlignment="1" applyProtection="1">
      <alignment horizontal="center" vertical="center" wrapText="1"/>
      <protection locked="0"/>
    </xf>
    <xf numFmtId="2" fontId="0" fillId="6" borderId="3" xfId="0" applyNumberFormat="1" applyFill="1" applyBorder="1" applyAlignment="1" applyProtection="1">
      <alignment horizontal="center" vertical="center"/>
      <protection locked="0"/>
    </xf>
    <xf numFmtId="2" fontId="0" fillId="6" borderId="6" xfId="0" applyNumberFormat="1" applyFill="1" applyBorder="1" applyAlignment="1" applyProtection="1">
      <alignment horizontal="center" vertical="center"/>
      <protection locked="0"/>
    </xf>
    <xf numFmtId="0" fontId="1" fillId="2" borderId="6" xfId="0" applyFont="1" applyFill="1" applyBorder="1" applyAlignment="1">
      <alignment vertical="center" wrapText="1"/>
    </xf>
    <xf numFmtId="0" fontId="4" fillId="7" borderId="13" xfId="0" applyFont="1" applyFill="1" applyBorder="1" applyAlignment="1">
      <alignment horizontal="center" vertical="center"/>
    </xf>
    <xf numFmtId="49" fontId="5" fillId="7" borderId="26" xfId="0" applyNumberFormat="1" applyFont="1" applyFill="1" applyBorder="1" applyAlignment="1">
      <alignment horizontal="center" vertical="center" wrapText="1"/>
    </xf>
    <xf numFmtId="0" fontId="5" fillId="2" borderId="15" xfId="0" applyFont="1" applyFill="1" applyBorder="1" applyAlignment="1">
      <alignment vertical="center" wrapText="1"/>
    </xf>
    <xf numFmtId="0" fontId="5" fillId="7" borderId="19" xfId="0" applyFont="1" applyFill="1" applyBorder="1" applyAlignment="1">
      <alignment horizontal="center" vertical="center" wrapText="1"/>
    </xf>
    <xf numFmtId="0" fontId="5" fillId="7" borderId="25" xfId="0" applyFont="1" applyFill="1" applyBorder="1" applyAlignment="1">
      <alignment horizontal="center" vertical="center" wrapText="1"/>
    </xf>
    <xf numFmtId="49" fontId="9" fillId="3" borderId="24" xfId="0" applyNumberFormat="1" applyFont="1" applyFill="1" applyBorder="1" applyAlignment="1">
      <alignment horizontal="center" vertical="center" wrapText="1"/>
    </xf>
    <xf numFmtId="164" fontId="2" fillId="3" borderId="3" xfId="0" applyNumberFormat="1" applyFont="1" applyFill="1" applyBorder="1" applyAlignment="1" applyProtection="1">
      <alignment horizontal="center" vertical="center" wrapText="1"/>
      <protection locked="0"/>
    </xf>
    <xf numFmtId="164" fontId="0" fillId="6" borderId="5" xfId="0" applyNumberFormat="1" applyFill="1" applyBorder="1" applyAlignment="1" applyProtection="1">
      <alignment horizontal="center" vertical="center"/>
      <protection locked="0"/>
    </xf>
    <xf numFmtId="164" fontId="5" fillId="3" borderId="3" xfId="0" applyNumberFormat="1" applyFont="1" applyFill="1" applyBorder="1" applyAlignment="1" applyProtection="1">
      <alignment horizontal="center" vertical="center" wrapText="1"/>
      <protection locked="0"/>
    </xf>
    <xf numFmtId="164" fontId="9" fillId="3" borderId="5" xfId="0" applyNumberFormat="1" applyFont="1" applyFill="1" applyBorder="1" applyAlignment="1" applyProtection="1">
      <alignment horizontal="center" vertical="center" wrapText="1"/>
      <protection locked="0"/>
    </xf>
    <xf numFmtId="164" fontId="0" fillId="6" borderId="3" xfId="0" applyNumberFormat="1" applyFill="1" applyBorder="1" applyAlignment="1" applyProtection="1">
      <alignment horizontal="center" vertical="center"/>
      <protection locked="0"/>
    </xf>
    <xf numFmtId="164" fontId="2" fillId="3" borderId="5" xfId="0" applyNumberFormat="1" applyFont="1" applyFill="1" applyBorder="1" applyAlignment="1" applyProtection="1">
      <alignment horizontal="center" vertical="center" wrapText="1"/>
      <protection locked="0"/>
    </xf>
    <xf numFmtId="164" fontId="5" fillId="3" borderId="5" xfId="0" applyNumberFormat="1" applyFont="1" applyFill="1" applyBorder="1" applyAlignment="1" applyProtection="1">
      <alignment horizontal="center" vertical="center" wrapText="1"/>
      <protection locked="0"/>
    </xf>
    <xf numFmtId="49" fontId="1" fillId="3" borderId="3" xfId="0" applyNumberFormat="1" applyFont="1" applyFill="1" applyBorder="1" applyAlignment="1" applyProtection="1">
      <alignment horizontal="center" vertical="center" wrapText="1"/>
      <protection locked="0"/>
    </xf>
    <xf numFmtId="0" fontId="0" fillId="2" borderId="6" xfId="0" applyFill="1" applyBorder="1" applyAlignment="1" applyProtection="1">
      <alignment vertical="center"/>
      <protection locked="0"/>
    </xf>
    <xf numFmtId="0" fontId="1" fillId="2" borderId="28" xfId="0" applyFont="1" applyFill="1" applyBorder="1" applyAlignment="1">
      <alignment vertical="center"/>
    </xf>
    <xf numFmtId="0" fontId="0" fillId="7" borderId="19" xfId="0" applyFill="1" applyBorder="1" applyAlignment="1">
      <alignment vertical="center"/>
    </xf>
    <xf numFmtId="164" fontId="9" fillId="3" borderId="26" xfId="0" applyNumberFormat="1" applyFont="1" applyFill="1" applyBorder="1" applyAlignment="1" applyProtection="1">
      <alignment horizontal="center" vertical="center" wrapText="1"/>
      <protection locked="0"/>
    </xf>
    <xf numFmtId="0" fontId="1" fillId="0" borderId="0" xfId="0" applyFont="1"/>
    <xf numFmtId="11" fontId="0" fillId="0" borderId="0" xfId="0" applyNumberFormat="1"/>
    <xf numFmtId="0" fontId="0" fillId="16" borderId="0" xfId="0" applyFill="1" applyAlignment="1">
      <alignment vertical="center"/>
    </xf>
    <xf numFmtId="0" fontId="2" fillId="16" borderId="0" xfId="0" applyFont="1" applyFill="1" applyAlignment="1">
      <alignment vertical="center"/>
    </xf>
    <xf numFmtId="0" fontId="5" fillId="16" borderId="0" xfId="0" applyFont="1" applyFill="1" applyAlignment="1">
      <alignment vertical="center"/>
    </xf>
    <xf numFmtId="0" fontId="8" fillId="16" borderId="0" xfId="0" applyFont="1" applyFill="1" applyAlignment="1">
      <alignment vertical="center" wrapText="1"/>
    </xf>
    <xf numFmtId="0" fontId="2" fillId="16" borderId="0" xfId="0" applyFont="1" applyFill="1" applyAlignment="1">
      <alignment vertical="center" wrapText="1"/>
    </xf>
    <xf numFmtId="0" fontId="0" fillId="16" borderId="0" xfId="0" applyFill="1" applyAlignment="1">
      <alignment horizontal="right" vertical="center" wrapText="1"/>
    </xf>
    <xf numFmtId="0" fontId="5" fillId="16" borderId="0" xfId="0" applyFont="1" applyFill="1" applyAlignment="1">
      <alignment horizontal="left" vertical="center" indent="1"/>
    </xf>
    <xf numFmtId="0" fontId="0" fillId="13" borderId="15" xfId="0" applyFill="1" applyBorder="1" applyAlignment="1">
      <alignment vertical="center"/>
    </xf>
    <xf numFmtId="0" fontId="5" fillId="9" borderId="28" xfId="0" applyFont="1" applyFill="1" applyBorder="1" applyAlignment="1">
      <alignment horizontal="left" vertical="center" indent="1"/>
    </xf>
    <xf numFmtId="1" fontId="0" fillId="9" borderId="31" xfId="0" applyNumberFormat="1" applyFill="1" applyBorder="1" applyAlignment="1">
      <alignment horizontal="center" vertical="center"/>
    </xf>
    <xf numFmtId="49" fontId="2" fillId="9" borderId="18" xfId="0" applyNumberFormat="1" applyFont="1" applyFill="1" applyBorder="1" applyAlignment="1">
      <alignment horizontal="center" vertical="center" wrapText="1"/>
    </xf>
    <xf numFmtId="1" fontId="0" fillId="9" borderId="32" xfId="0" applyNumberFormat="1" applyFill="1" applyBorder="1" applyAlignment="1">
      <alignment horizontal="center" vertical="center"/>
    </xf>
    <xf numFmtId="49" fontId="5" fillId="9" borderId="31" xfId="0" applyNumberFormat="1" applyFont="1" applyFill="1" applyBorder="1" applyAlignment="1">
      <alignment horizontal="center" vertical="center" wrapText="1"/>
    </xf>
    <xf numFmtId="1" fontId="0" fillId="9" borderId="18" xfId="0" applyNumberFormat="1" applyFill="1" applyBorder="1" applyAlignment="1">
      <alignment horizontal="center" vertical="center"/>
    </xf>
    <xf numFmtId="49" fontId="9" fillId="9" borderId="31" xfId="0" applyNumberFormat="1" applyFont="1" applyFill="1" applyBorder="1" applyAlignment="1">
      <alignment horizontal="center" vertical="center" wrapText="1"/>
    </xf>
    <xf numFmtId="0" fontId="0" fillId="13" borderId="24" xfId="0" applyFill="1" applyBorder="1" applyAlignment="1">
      <alignment vertical="center"/>
    </xf>
    <xf numFmtId="0" fontId="1" fillId="2" borderId="6" xfId="0" applyFont="1" applyFill="1" applyBorder="1" applyAlignment="1">
      <alignment horizontal="left" vertical="center" wrapText="1"/>
    </xf>
    <xf numFmtId="0" fontId="5" fillId="6" borderId="3" xfId="0" applyFont="1" applyFill="1" applyBorder="1" applyAlignment="1" applyProtection="1">
      <alignment horizontal="center" vertical="center" wrapText="1"/>
      <protection locked="0"/>
    </xf>
    <xf numFmtId="0" fontId="5" fillId="6" borderId="0" xfId="0" applyFont="1" applyFill="1" applyAlignment="1" applyProtection="1">
      <alignment horizontal="center" vertical="center" wrapText="1"/>
      <protection locked="0"/>
    </xf>
    <xf numFmtId="1" fontId="0" fillId="6" borderId="5" xfId="0" applyNumberFormat="1" applyFill="1" applyBorder="1" applyAlignment="1">
      <alignment horizontal="center" vertical="center"/>
    </xf>
    <xf numFmtId="49" fontId="2" fillId="3" borderId="3" xfId="0" applyNumberFormat="1" applyFont="1" applyFill="1" applyBorder="1" applyAlignment="1">
      <alignment horizontal="center" vertical="center" wrapText="1"/>
    </xf>
    <xf numFmtId="1" fontId="0" fillId="6" borderId="0" xfId="0" applyNumberFormat="1" applyFill="1" applyAlignment="1">
      <alignment horizontal="center" vertical="center"/>
    </xf>
    <xf numFmtId="49" fontId="9" fillId="3" borderId="5" xfId="0" applyNumberFormat="1" applyFont="1" applyFill="1" applyBorder="1" applyAlignment="1">
      <alignment horizontal="center" vertical="center" wrapText="1"/>
    </xf>
    <xf numFmtId="0" fontId="0" fillId="2" borderId="6" xfId="0" applyFill="1" applyBorder="1" applyAlignment="1">
      <alignment horizontal="left" vertical="center" wrapText="1" indent="1"/>
    </xf>
    <xf numFmtId="165" fontId="0" fillId="6" borderId="5" xfId="0" applyNumberFormat="1" applyFill="1" applyBorder="1" applyAlignment="1" applyProtection="1">
      <alignment horizontal="center" vertical="center"/>
      <protection locked="0"/>
    </xf>
    <xf numFmtId="165" fontId="0" fillId="6" borderId="0" xfId="0" applyNumberFormat="1" applyFill="1" applyAlignment="1" applyProtection="1">
      <alignment horizontal="center" vertical="center"/>
      <protection locked="0"/>
    </xf>
    <xf numFmtId="49" fontId="9" fillId="3" borderId="5" xfId="0" applyNumberFormat="1" applyFont="1" applyFill="1" applyBorder="1" applyAlignment="1" applyProtection="1">
      <alignment horizontal="left" vertical="center" wrapText="1" indent="1"/>
      <protection locked="0"/>
    </xf>
    <xf numFmtId="0" fontId="1" fillId="2" borderId="0" xfId="0" applyFont="1" applyFill="1" applyAlignment="1">
      <alignment horizontal="left" vertical="center" wrapText="1"/>
    </xf>
    <xf numFmtId="0" fontId="4" fillId="0" borderId="0" xfId="0" applyFont="1" applyAlignment="1">
      <alignment horizontal="center" vertical="center" wrapText="1"/>
    </xf>
    <xf numFmtId="0" fontId="4" fillId="0" borderId="0" xfId="0" applyFont="1" applyAlignment="1">
      <alignment horizontal="left" vertical="top" wrapText="1"/>
    </xf>
    <xf numFmtId="0" fontId="1" fillId="0" borderId="0" xfId="0" applyFont="1" applyAlignment="1">
      <alignment horizontal="center" vertical="top"/>
    </xf>
    <xf numFmtId="0" fontId="1" fillId="0" borderId="0" xfId="0" applyFont="1" applyAlignment="1">
      <alignment vertical="top"/>
    </xf>
    <xf numFmtId="0" fontId="1" fillId="0" borderId="0" xfId="0" applyFont="1" applyAlignment="1">
      <alignment vertical="top" wrapText="1"/>
    </xf>
    <xf numFmtId="1" fontId="1" fillId="0" borderId="0" xfId="0" applyNumberFormat="1" applyFont="1" applyAlignment="1">
      <alignment horizontal="center" vertical="top"/>
    </xf>
    <xf numFmtId="0" fontId="1" fillId="0" borderId="0" xfId="0" quotePrefix="1" applyFont="1" applyAlignment="1">
      <alignment vertical="top"/>
    </xf>
    <xf numFmtId="166" fontId="1" fillId="0" borderId="0" xfId="0" applyNumberFormat="1" applyFont="1" applyAlignment="1">
      <alignment horizontal="center" vertical="top"/>
    </xf>
    <xf numFmtId="2" fontId="1" fillId="0" borderId="0" xfId="0" applyNumberFormat="1" applyFont="1" applyAlignment="1">
      <alignment horizontal="center" vertical="top"/>
    </xf>
    <xf numFmtId="2" fontId="1" fillId="0" borderId="0" xfId="0" applyNumberFormat="1" applyFont="1" applyAlignment="1">
      <alignment vertical="top"/>
    </xf>
    <xf numFmtId="0" fontId="4" fillId="0" borderId="0" xfId="0" applyFont="1" applyAlignment="1">
      <alignment vertical="top" wrapText="1"/>
    </xf>
    <xf numFmtId="0" fontId="1" fillId="0" borderId="0" xfId="0" applyFont="1" applyAlignment="1">
      <alignment horizontal="left" vertical="top"/>
    </xf>
    <xf numFmtId="0" fontId="1" fillId="0" borderId="3" xfId="0" applyFont="1" applyBorder="1" applyAlignment="1">
      <alignment horizontal="left" vertical="center" wrapText="1"/>
    </xf>
    <xf numFmtId="0" fontId="4" fillId="0" borderId="0" xfId="0" applyFont="1" applyAlignment="1">
      <alignment horizontal="center" vertical="center"/>
    </xf>
    <xf numFmtId="0" fontId="4" fillId="0" borderId="0" xfId="0" applyFont="1" applyAlignment="1">
      <alignment horizontal="center"/>
    </xf>
    <xf numFmtId="0" fontId="16" fillId="16" borderId="0" xfId="0" applyFont="1" applyFill="1"/>
    <xf numFmtId="0" fontId="17" fillId="16" borderId="0" xfId="0" applyFont="1" applyFill="1" applyAlignment="1">
      <alignment vertical="center"/>
    </xf>
    <xf numFmtId="0" fontId="4" fillId="2" borderId="16" xfId="0" applyFont="1" applyFill="1" applyBorder="1" applyAlignment="1">
      <alignment horizontal="center" vertical="center"/>
    </xf>
    <xf numFmtId="0" fontId="0" fillId="0" borderId="15" xfId="0" applyBorder="1" applyAlignment="1">
      <alignment horizontal="center" vertical="center"/>
    </xf>
    <xf numFmtId="0" fontId="4" fillId="2" borderId="27" xfId="0" applyFont="1" applyFill="1" applyBorder="1" applyAlignment="1">
      <alignment horizontal="center" vertical="center"/>
    </xf>
    <xf numFmtId="0" fontId="0" fillId="0" borderId="28" xfId="0" applyBorder="1" applyAlignment="1">
      <alignment horizontal="center" vertical="center"/>
    </xf>
    <xf numFmtId="0" fontId="4" fillId="2" borderId="25" xfId="0" applyFont="1" applyFill="1" applyBorder="1" applyAlignment="1">
      <alignment horizontal="center" vertical="top" wrapText="1"/>
    </xf>
    <xf numFmtId="0" fontId="4" fillId="2" borderId="17" xfId="0" applyFont="1" applyFill="1" applyBorder="1" applyAlignment="1">
      <alignment horizontal="center" vertical="top" wrapText="1"/>
    </xf>
    <xf numFmtId="0" fontId="4" fillId="2" borderId="25" xfId="0" applyFont="1" applyFill="1" applyBorder="1" applyAlignment="1">
      <alignment horizontal="center" vertical="center"/>
    </xf>
    <xf numFmtId="0" fontId="4" fillId="2" borderId="17" xfId="0" applyFont="1" applyFill="1" applyBorder="1" applyAlignment="1">
      <alignment horizontal="center" vertical="center"/>
    </xf>
    <xf numFmtId="0" fontId="5" fillId="16" borderId="0" xfId="0" applyFont="1" applyFill="1" applyAlignment="1">
      <alignment horizontal="right" vertical="center" wrapText="1"/>
    </xf>
    <xf numFmtId="0" fontId="0" fillId="16" borderId="0" xfId="0" applyFill="1" applyAlignment="1">
      <alignment horizontal="right" vertical="center" wrapText="1"/>
    </xf>
    <xf numFmtId="0" fontId="2" fillId="16" borderId="0" xfId="0" applyFont="1" applyFill="1" applyAlignment="1">
      <alignment horizontal="left" vertical="center" wrapText="1"/>
    </xf>
    <xf numFmtId="0" fontId="2" fillId="16" borderId="0" xfId="0" applyFont="1" applyFill="1" applyAlignment="1">
      <alignment horizontal="left" vertical="top" wrapText="1"/>
    </xf>
  </cellXfs>
  <cellStyles count="2">
    <cellStyle name="Normal" xfId="0" builtinId="0"/>
    <cellStyle name="Normal 2" xfId="1" xr:uid="{00000000-0005-0000-0000-000002000000}"/>
  </cellStyles>
  <dxfs count="0"/>
  <tableStyles count="0" defaultTableStyle="TableStyleMedium9" defaultPivotStyle="PivotStyleLight16"/>
  <colors>
    <mruColors>
      <color rgb="FFCCFFCC"/>
      <color rgb="FF808000"/>
      <color rgb="FF00FF00"/>
      <color rgb="FF99CC00"/>
      <color rgb="FFFF99CC"/>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GB"/>
              <a:t>Restoration trajectories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scatterChart>
        <c:scatterStyle val="smoothMarker"/>
        <c:varyColors val="0"/>
        <c:ser>
          <c:idx val="0"/>
          <c:order val="0"/>
          <c:tx>
            <c:v>n1</c:v>
          </c:tx>
          <c:spPr>
            <a:ln w="9525" cap="rnd">
              <a:solidFill>
                <a:schemeClr val="accent1"/>
              </a:solidFill>
              <a:round/>
            </a:ln>
            <a:effectLst>
              <a:outerShdw blurRad="40000" dist="23000" dir="5400000" rotWithShape="0">
                <a:srgbClr val="000000">
                  <a:alpha val="35000"/>
                </a:srgbClr>
              </a:outerShdw>
            </a:effectLst>
          </c:spPr>
          <c:marker>
            <c:symbol val="none"/>
          </c:marker>
          <c:xVal>
            <c:numRef>
              <c:f>'Forestry input data'!$Y$46:$Y$92</c:f>
              <c:numCache>
                <c:formatCode>General</c:formatCode>
                <c:ptCount val="47"/>
                <c:pt idx="0">
                  <c:v>0</c:v>
                </c:pt>
                <c:pt idx="1">
                  <c:v>1</c:v>
                </c:pt>
                <c:pt idx="2">
                  <c:v>2</c:v>
                </c:pt>
                <c:pt idx="3">
                  <c:v>3</c:v>
                </c:pt>
                <c:pt idx="4">
                  <c:v>4</c:v>
                </c:pt>
                <c:pt idx="5">
                  <c:v>5</c:v>
                </c:pt>
                <c:pt idx="6">
                  <c:v>6</c:v>
                </c:pt>
                <c:pt idx="7">
                  <c:v>7</c:v>
                </c:pt>
                <c:pt idx="8">
                  <c:v>9</c:v>
                </c:pt>
                <c:pt idx="9">
                  <c:v>11</c:v>
                </c:pt>
                <c:pt idx="10">
                  <c:v>12</c:v>
                </c:pt>
                <c:pt idx="11">
                  <c:v>13</c:v>
                </c:pt>
                <c:pt idx="12">
                  <c:v>14</c:v>
                </c:pt>
                <c:pt idx="13">
                  <c:v>15</c:v>
                </c:pt>
                <c:pt idx="14">
                  <c:v>16</c:v>
                </c:pt>
                <c:pt idx="15">
                  <c:v>17</c:v>
                </c:pt>
                <c:pt idx="16">
                  <c:v>18</c:v>
                </c:pt>
                <c:pt idx="17">
                  <c:v>19</c:v>
                </c:pt>
                <c:pt idx="18">
                  <c:v>20</c:v>
                </c:pt>
                <c:pt idx="19">
                  <c:v>21</c:v>
                </c:pt>
                <c:pt idx="20">
                  <c:v>22</c:v>
                </c:pt>
                <c:pt idx="21">
                  <c:v>23</c:v>
                </c:pt>
                <c:pt idx="22">
                  <c:v>24</c:v>
                </c:pt>
                <c:pt idx="23">
                  <c:v>25</c:v>
                </c:pt>
                <c:pt idx="24">
                  <c:v>26</c:v>
                </c:pt>
                <c:pt idx="25">
                  <c:v>27</c:v>
                </c:pt>
                <c:pt idx="26">
                  <c:v>28</c:v>
                </c:pt>
                <c:pt idx="27">
                  <c:v>29</c:v>
                </c:pt>
                <c:pt idx="28">
                  <c:v>30</c:v>
                </c:pt>
                <c:pt idx="29">
                  <c:v>31</c:v>
                </c:pt>
                <c:pt idx="30">
                  <c:v>32</c:v>
                </c:pt>
                <c:pt idx="31">
                  <c:v>33</c:v>
                </c:pt>
                <c:pt idx="32">
                  <c:v>34</c:v>
                </c:pt>
                <c:pt idx="33">
                  <c:v>35</c:v>
                </c:pt>
                <c:pt idx="34">
                  <c:v>36</c:v>
                </c:pt>
                <c:pt idx="35">
                  <c:v>37</c:v>
                </c:pt>
                <c:pt idx="36">
                  <c:v>38</c:v>
                </c:pt>
                <c:pt idx="37">
                  <c:v>39</c:v>
                </c:pt>
                <c:pt idx="38">
                  <c:v>40</c:v>
                </c:pt>
                <c:pt idx="39">
                  <c:v>41</c:v>
                </c:pt>
                <c:pt idx="40">
                  <c:v>42</c:v>
                </c:pt>
                <c:pt idx="41">
                  <c:v>43</c:v>
                </c:pt>
                <c:pt idx="42">
                  <c:v>44</c:v>
                </c:pt>
                <c:pt idx="43">
                  <c:v>45</c:v>
                </c:pt>
                <c:pt idx="44">
                  <c:v>47</c:v>
                </c:pt>
                <c:pt idx="45">
                  <c:v>49</c:v>
                </c:pt>
                <c:pt idx="46">
                  <c:v>50</c:v>
                </c:pt>
              </c:numCache>
            </c:numRef>
          </c:xVal>
          <c:yVal>
            <c:numRef>
              <c:f>'Forestry input data'!$Z$46:$Z$92</c:f>
              <c:numCache>
                <c:formatCode>General</c:formatCode>
                <c:ptCount val="47"/>
                <c:pt idx="0">
                  <c:v>0</c:v>
                </c:pt>
                <c:pt idx="1">
                  <c:v>0.1290364100439193</c:v>
                </c:pt>
                <c:pt idx="2">
                  <c:v>0.24142242497081623</c:v>
                </c:pt>
                <c:pt idx="3">
                  <c:v>0.339306551992404</c:v>
                </c:pt>
                <c:pt idx="4">
                  <c:v>0.42456006266284307</c:v>
                </c:pt>
                <c:pt idx="5">
                  <c:v>0.49881276637272765</c:v>
                </c:pt>
                <c:pt idx="6">
                  <c:v>0.56348416775983401</c:v>
                </c:pt>
                <c:pt idx="7">
                  <c:v>0.61981060367943874</c:v>
                </c:pt>
                <c:pt idx="8">
                  <c:v>0.71159684968733927</c:v>
                </c:pt>
                <c:pt idx="9">
                  <c:v>0.78122383760504466</c:v>
                </c:pt>
                <c:pt idx="10">
                  <c:v>0.80945392820367523</c:v>
                </c:pt>
                <c:pt idx="11">
                  <c:v>0.83404130925624387</c:v>
                </c:pt>
                <c:pt idx="12">
                  <c:v>0.85545602292540723</c:v>
                </c:pt>
                <c:pt idx="13">
                  <c:v>0.87410745882058327</c:v>
                </c:pt>
                <c:pt idx="14">
                  <c:v>0.89035218038568142</c:v>
                </c:pt>
                <c:pt idx="15">
                  <c:v>0.90450074139785641</c:v>
                </c:pt>
                <c:pt idx="16">
                  <c:v>0.91682362288973285</c:v>
                </c:pt>
                <c:pt idx="17">
                  <c:v>0.92755640399250094</c:v>
                </c:pt>
                <c:pt idx="18">
                  <c:v>0.9369042655519807</c:v>
                </c:pt>
                <c:pt idx="19">
                  <c:v>0.94504591261423754</c:v>
                </c:pt>
                <c:pt idx="20">
                  <c:v>0.95213699076773617</c:v>
                </c:pt>
                <c:pt idx="21">
                  <c:v>0.95831306165296648</c:v>
                </c:pt>
                <c:pt idx="22">
                  <c:v>0.96369219452298982</c:v>
                </c:pt>
                <c:pt idx="23">
                  <c:v>0.96837722339831622</c:v>
                </c:pt>
                <c:pt idx="24">
                  <c:v>0.97245771296661832</c:v>
                </c:pt>
                <c:pt idx="25">
                  <c:v>0.97601167080980511</c:v>
                </c:pt>
                <c:pt idx="26">
                  <c:v>0.97910703869145954</c:v>
                </c:pt>
                <c:pt idx="27">
                  <c:v>0.98180299141390015</c:v>
                </c:pt>
                <c:pt idx="28">
                  <c:v>0.98415106807538888</c:v>
                </c:pt>
                <c:pt idx="29">
                  <c:v>0.98619615735397115</c:v>
                </c:pt>
                <c:pt idx="30">
                  <c:v>0.98797735565382583</c:v>
                </c:pt>
                <c:pt idx="31">
                  <c:v>0.98952871451949098</c:v>
                </c:pt>
                <c:pt idx="32">
                  <c:v>0.99087989160644085</c:v>
                </c:pt>
                <c:pt idx="33">
                  <c:v>0.99205671765275716</c:v>
                </c:pt>
                <c:pt idx="34">
                  <c:v>0.99308169029081061</c:v>
                </c:pt>
                <c:pt idx="35">
                  <c:v>0.99397440413925642</c:v>
                </c:pt>
                <c:pt idx="36">
                  <c:v>0.99475192539750223</c:v>
                </c:pt>
                <c:pt idx="37">
                  <c:v>0.99542911810385126</c:v>
                </c:pt>
                <c:pt idx="38">
                  <c:v>0.99601892829446503</c:v>
                </c:pt>
                <c:pt idx="39">
                  <c:v>0.99653263149547466</c:v>
                </c:pt>
                <c:pt idx="40">
                  <c:v>0.99698004827959796</c:v>
                </c:pt>
                <c:pt idx="41">
                  <c:v>0.99736973200810464</c:v>
                </c:pt>
                <c:pt idx="42">
                  <c:v>0.99770913234723224</c:v>
                </c:pt>
                <c:pt idx="43">
                  <c:v>0.99800473768503117</c:v>
                </c:pt>
                <c:pt idx="44">
                  <c:v>0.99848643875156384</c:v>
                </c:pt>
                <c:pt idx="45">
                  <c:v>0.99885184637850311</c:v>
                </c:pt>
                <c:pt idx="46">
                  <c:v>0.999</c:v>
                </c:pt>
              </c:numCache>
            </c:numRef>
          </c:yVal>
          <c:smooth val="1"/>
          <c:extLst>
            <c:ext xmlns:c16="http://schemas.microsoft.com/office/drawing/2014/chart" uri="{C3380CC4-5D6E-409C-BE32-E72D297353CC}">
              <c16:uniqueId val="{00000000-B598-4868-AD0F-FF4786B8D38D}"/>
            </c:ext>
          </c:extLst>
        </c:ser>
        <c:ser>
          <c:idx val="1"/>
          <c:order val="1"/>
          <c:tx>
            <c:v>n2</c:v>
          </c:tx>
          <c:spPr>
            <a:ln w="9525" cap="rnd">
              <a:solidFill>
                <a:schemeClr val="accent2"/>
              </a:solidFill>
              <a:round/>
            </a:ln>
            <a:effectLst>
              <a:outerShdw blurRad="40000" dist="23000" dir="5400000" rotWithShape="0">
                <a:srgbClr val="000000">
                  <a:alpha val="35000"/>
                </a:srgbClr>
              </a:outerShdw>
            </a:effectLst>
          </c:spPr>
          <c:marker>
            <c:symbol val="none"/>
          </c:marker>
          <c:xVal>
            <c:numRef>
              <c:f>'Forestry input data'!$Y$46:$Y$92</c:f>
              <c:numCache>
                <c:formatCode>General</c:formatCode>
                <c:ptCount val="47"/>
                <c:pt idx="0">
                  <c:v>0</c:v>
                </c:pt>
                <c:pt idx="1">
                  <c:v>1</c:v>
                </c:pt>
                <c:pt idx="2">
                  <c:v>2</c:v>
                </c:pt>
                <c:pt idx="3">
                  <c:v>3</c:v>
                </c:pt>
                <c:pt idx="4">
                  <c:v>4</c:v>
                </c:pt>
                <c:pt idx="5">
                  <c:v>5</c:v>
                </c:pt>
                <c:pt idx="6">
                  <c:v>6</c:v>
                </c:pt>
                <c:pt idx="7">
                  <c:v>7</c:v>
                </c:pt>
                <c:pt idx="8">
                  <c:v>9</c:v>
                </c:pt>
                <c:pt idx="9">
                  <c:v>11</c:v>
                </c:pt>
                <c:pt idx="10">
                  <c:v>12</c:v>
                </c:pt>
                <c:pt idx="11">
                  <c:v>13</c:v>
                </c:pt>
                <c:pt idx="12">
                  <c:v>14</c:v>
                </c:pt>
                <c:pt idx="13">
                  <c:v>15</c:v>
                </c:pt>
                <c:pt idx="14">
                  <c:v>16</c:v>
                </c:pt>
                <c:pt idx="15">
                  <c:v>17</c:v>
                </c:pt>
                <c:pt idx="16">
                  <c:v>18</c:v>
                </c:pt>
                <c:pt idx="17">
                  <c:v>19</c:v>
                </c:pt>
                <c:pt idx="18">
                  <c:v>20</c:v>
                </c:pt>
                <c:pt idx="19">
                  <c:v>21</c:v>
                </c:pt>
                <c:pt idx="20">
                  <c:v>22</c:v>
                </c:pt>
                <c:pt idx="21">
                  <c:v>23</c:v>
                </c:pt>
                <c:pt idx="22">
                  <c:v>24</c:v>
                </c:pt>
                <c:pt idx="23">
                  <c:v>25</c:v>
                </c:pt>
                <c:pt idx="24">
                  <c:v>26</c:v>
                </c:pt>
                <c:pt idx="25">
                  <c:v>27</c:v>
                </c:pt>
                <c:pt idx="26">
                  <c:v>28</c:v>
                </c:pt>
                <c:pt idx="27">
                  <c:v>29</c:v>
                </c:pt>
                <c:pt idx="28">
                  <c:v>30</c:v>
                </c:pt>
                <c:pt idx="29">
                  <c:v>31</c:v>
                </c:pt>
                <c:pt idx="30">
                  <c:v>32</c:v>
                </c:pt>
                <c:pt idx="31">
                  <c:v>33</c:v>
                </c:pt>
                <c:pt idx="32">
                  <c:v>34</c:v>
                </c:pt>
                <c:pt idx="33">
                  <c:v>35</c:v>
                </c:pt>
                <c:pt idx="34">
                  <c:v>36</c:v>
                </c:pt>
                <c:pt idx="35">
                  <c:v>37</c:v>
                </c:pt>
                <c:pt idx="36">
                  <c:v>38</c:v>
                </c:pt>
                <c:pt idx="37">
                  <c:v>39</c:v>
                </c:pt>
                <c:pt idx="38">
                  <c:v>40</c:v>
                </c:pt>
                <c:pt idx="39">
                  <c:v>41</c:v>
                </c:pt>
                <c:pt idx="40">
                  <c:v>42</c:v>
                </c:pt>
                <c:pt idx="41">
                  <c:v>43</c:v>
                </c:pt>
                <c:pt idx="42">
                  <c:v>44</c:v>
                </c:pt>
                <c:pt idx="43">
                  <c:v>45</c:v>
                </c:pt>
                <c:pt idx="44">
                  <c:v>47</c:v>
                </c:pt>
                <c:pt idx="45">
                  <c:v>49</c:v>
                </c:pt>
                <c:pt idx="46">
                  <c:v>50</c:v>
                </c:pt>
              </c:numCache>
            </c:numRef>
          </c:xVal>
          <c:yVal>
            <c:numRef>
              <c:f>'Forestry input data'!$AA$46:$AA$92</c:f>
              <c:numCache>
                <c:formatCode>General</c:formatCode>
                <c:ptCount val="47"/>
                <c:pt idx="0">
                  <c:v>0</c:v>
                </c:pt>
                <c:pt idx="1">
                  <c:v>3.9068531065444834E-4</c:v>
                </c:pt>
                <c:pt idx="2">
                  <c:v>2.2080403737839704E-3</c:v>
                </c:pt>
                <c:pt idx="3">
                  <c:v>6.0728564632405169E-3</c:v>
                </c:pt>
                <c:pt idx="4">
                  <c:v>1.2426517915056889E-2</c:v>
                </c:pt>
                <c:pt idx="5">
                  <c:v>2.1607382578832435E-2</c:v>
                </c:pt>
                <c:pt idx="6">
                  <c:v>3.387108312819298E-2</c:v>
                </c:pt>
                <c:pt idx="7">
                  <c:v>4.9397275753695125E-2</c:v>
                </c:pt>
                <c:pt idx="8">
                  <c:v>9.0586216013680221E-2</c:v>
                </c:pt>
                <c:pt idx="9">
                  <c:v>0.14513967165580799</c:v>
                </c:pt>
                <c:pt idx="10">
                  <c:v>0.17710270545299744</c:v>
                </c:pt>
                <c:pt idx="11">
                  <c:v>0.2118808427624056</c:v>
                </c:pt>
                <c:pt idx="12">
                  <c:v>0.24916612484925771</c:v>
                </c:pt>
                <c:pt idx="13">
                  <c:v>0.28859828229016504</c:v>
                </c:pt>
                <c:pt idx="14">
                  <c:v>0.32977374367537338</c:v>
                </c:pt>
                <c:pt idx="15">
                  <c:v>0.37225597414923339</c:v>
                </c:pt>
                <c:pt idx="16">
                  <c:v>0.41558682244261425</c:v>
                </c:pt>
                <c:pt idx="17">
                  <c:v>0.45929848629782655</c:v>
                </c:pt>
                <c:pt idx="18">
                  <c:v>0.502925659907554</c:v>
                </c:pt>
                <c:pt idx="19">
                  <c:v>0.54601740578214697</c:v>
                </c:pt>
                <c:pt idx="20">
                  <c:v>0.58814829868006924</c:v>
                </c:pt>
                <c:pt idx="21">
                  <c:v>0.62892842066016752</c:v>
                </c:pt>
                <c:pt idx="22">
                  <c:v>0.66801184199679575</c:v>
                </c:pt>
                <c:pt idx="23">
                  <c:v>0.70510329902060831</c:v>
                </c:pt>
                <c:pt idx="24">
                  <c:v>0.73996287183624077</c:v>
                </c:pt>
                <c:pt idx="25">
                  <c:v>0.77240856616549414</c:v>
                </c:pt>
                <c:pt idx="26">
                  <c:v>0.8023168075083541</c:v>
                </c:pt>
                <c:pt idx="27">
                  <c:v>0.82962095557805693</c:v>
                </c:pt>
                <c:pt idx="28">
                  <c:v>0.85430803621032092</c:v>
                </c:pt>
                <c:pt idx="29">
                  <c:v>0.87641396131764537</c:v>
                </c:pt>
                <c:pt idx="30">
                  <c:v>0.89601756099471075</c:v>
                </c:pt>
                <c:pt idx="31">
                  <c:v>0.91323378327537441</c:v>
                </c:pt>
                <c:pt idx="32">
                  <c:v>0.92820642575582757</c:v>
                </c:pt>
                <c:pt idx="33">
                  <c:v>0.94110075050063302</c:v>
                </c:pt>
                <c:pt idx="34">
                  <c:v>0.95209630200705619</c:v>
                </c:pt>
                <c:pt idx="35">
                  <c:v>0.96138020135541458</c:v>
                </c:pt>
                <c:pt idx="36">
                  <c:v>0.9691411326117827</c:v>
                </c:pt>
                <c:pt idx="37">
                  <c:v>0.97556417497427961</c:v>
                </c:pt>
                <c:pt idx="38">
                  <c:v>0.98082657083717228</c:v>
                </c:pt>
                <c:pt idx="39">
                  <c:v>0.98509446015102475</c:v>
                </c:pt>
                <c:pt idx="40">
                  <c:v>0.98852055864309485</c:v>
                </c:pt>
                <c:pt idx="41">
                  <c:v>0.99124271410354214</c:v>
                </c:pt>
                <c:pt idx="42">
                  <c:v>0.99338324245368448</c:v>
                </c:pt>
                <c:pt idx="43">
                  <c:v>0.99504892408153423</c:v>
                </c:pt>
                <c:pt idx="44">
                  <c:v>0.99730874997545671</c:v>
                </c:pt>
                <c:pt idx="45">
                  <c:v>0.99859473730011838</c:v>
                </c:pt>
                <c:pt idx="46">
                  <c:v>0.999</c:v>
                </c:pt>
              </c:numCache>
            </c:numRef>
          </c:yVal>
          <c:smooth val="1"/>
          <c:extLst>
            <c:ext xmlns:c16="http://schemas.microsoft.com/office/drawing/2014/chart" uri="{C3380CC4-5D6E-409C-BE32-E72D297353CC}">
              <c16:uniqueId val="{00000001-B598-4868-AD0F-FF4786B8D38D}"/>
            </c:ext>
          </c:extLst>
        </c:ser>
        <c:ser>
          <c:idx val="2"/>
          <c:order val="2"/>
          <c:tx>
            <c:v>n3</c:v>
          </c:tx>
          <c:spPr>
            <a:ln w="9525" cap="rnd">
              <a:solidFill>
                <a:schemeClr val="accent3"/>
              </a:solidFill>
              <a:round/>
            </a:ln>
            <a:effectLst>
              <a:outerShdw blurRad="40000" dist="23000" dir="5400000" rotWithShape="0">
                <a:srgbClr val="000000">
                  <a:alpha val="35000"/>
                </a:srgbClr>
              </a:outerShdw>
            </a:effectLst>
          </c:spPr>
          <c:marker>
            <c:symbol val="none"/>
          </c:marker>
          <c:xVal>
            <c:numRef>
              <c:f>'Forestry input data'!$Y$46:$Y$92</c:f>
              <c:numCache>
                <c:formatCode>General</c:formatCode>
                <c:ptCount val="47"/>
                <c:pt idx="0">
                  <c:v>0</c:v>
                </c:pt>
                <c:pt idx="1">
                  <c:v>1</c:v>
                </c:pt>
                <c:pt idx="2">
                  <c:v>2</c:v>
                </c:pt>
                <c:pt idx="3">
                  <c:v>3</c:v>
                </c:pt>
                <c:pt idx="4">
                  <c:v>4</c:v>
                </c:pt>
                <c:pt idx="5">
                  <c:v>5</c:v>
                </c:pt>
                <c:pt idx="6">
                  <c:v>6</c:v>
                </c:pt>
                <c:pt idx="7">
                  <c:v>7</c:v>
                </c:pt>
                <c:pt idx="8">
                  <c:v>9</c:v>
                </c:pt>
                <c:pt idx="9">
                  <c:v>11</c:v>
                </c:pt>
                <c:pt idx="10">
                  <c:v>12</c:v>
                </c:pt>
                <c:pt idx="11">
                  <c:v>13</c:v>
                </c:pt>
                <c:pt idx="12">
                  <c:v>14</c:v>
                </c:pt>
                <c:pt idx="13">
                  <c:v>15</c:v>
                </c:pt>
                <c:pt idx="14">
                  <c:v>16</c:v>
                </c:pt>
                <c:pt idx="15">
                  <c:v>17</c:v>
                </c:pt>
                <c:pt idx="16">
                  <c:v>18</c:v>
                </c:pt>
                <c:pt idx="17">
                  <c:v>19</c:v>
                </c:pt>
                <c:pt idx="18">
                  <c:v>20</c:v>
                </c:pt>
                <c:pt idx="19">
                  <c:v>21</c:v>
                </c:pt>
                <c:pt idx="20">
                  <c:v>22</c:v>
                </c:pt>
                <c:pt idx="21">
                  <c:v>23</c:v>
                </c:pt>
                <c:pt idx="22">
                  <c:v>24</c:v>
                </c:pt>
                <c:pt idx="23">
                  <c:v>25</c:v>
                </c:pt>
                <c:pt idx="24">
                  <c:v>26</c:v>
                </c:pt>
                <c:pt idx="25">
                  <c:v>27</c:v>
                </c:pt>
                <c:pt idx="26">
                  <c:v>28</c:v>
                </c:pt>
                <c:pt idx="27">
                  <c:v>29</c:v>
                </c:pt>
                <c:pt idx="28">
                  <c:v>30</c:v>
                </c:pt>
                <c:pt idx="29">
                  <c:v>31</c:v>
                </c:pt>
                <c:pt idx="30">
                  <c:v>32</c:v>
                </c:pt>
                <c:pt idx="31">
                  <c:v>33</c:v>
                </c:pt>
                <c:pt idx="32">
                  <c:v>34</c:v>
                </c:pt>
                <c:pt idx="33">
                  <c:v>35</c:v>
                </c:pt>
                <c:pt idx="34">
                  <c:v>36</c:v>
                </c:pt>
                <c:pt idx="35">
                  <c:v>37</c:v>
                </c:pt>
                <c:pt idx="36">
                  <c:v>38</c:v>
                </c:pt>
                <c:pt idx="37">
                  <c:v>39</c:v>
                </c:pt>
                <c:pt idx="38">
                  <c:v>40</c:v>
                </c:pt>
                <c:pt idx="39">
                  <c:v>41</c:v>
                </c:pt>
                <c:pt idx="40">
                  <c:v>42</c:v>
                </c:pt>
                <c:pt idx="41">
                  <c:v>43</c:v>
                </c:pt>
                <c:pt idx="42">
                  <c:v>44</c:v>
                </c:pt>
                <c:pt idx="43">
                  <c:v>45</c:v>
                </c:pt>
                <c:pt idx="44">
                  <c:v>47</c:v>
                </c:pt>
                <c:pt idx="45">
                  <c:v>49</c:v>
                </c:pt>
                <c:pt idx="46">
                  <c:v>50</c:v>
                </c:pt>
              </c:numCache>
            </c:numRef>
          </c:xVal>
          <c:yVal>
            <c:numRef>
              <c:f>'Forestry input data'!$AB$46:$AB$92</c:f>
              <c:numCache>
                <c:formatCode>General</c:formatCode>
                <c:ptCount val="47"/>
                <c:pt idx="0">
                  <c:v>0</c:v>
                </c:pt>
                <c:pt idx="1">
                  <c:v>2.2104816643775393E-8</c:v>
                </c:pt>
                <c:pt idx="2">
                  <c:v>7.0735389035014862E-7</c:v>
                </c:pt>
                <c:pt idx="3">
                  <c:v>5.3714560785955712E-6</c:v>
                </c:pt>
                <c:pt idx="4">
                  <c:v>2.2635076320942638E-5</c:v>
                </c:pt>
                <c:pt idx="5">
                  <c:v>6.9075166990617554E-5</c:v>
                </c:pt>
                <c:pt idx="6">
                  <c:v>1.7187228442427926E-4</c:v>
                </c:pt>
                <c:pt idx="7">
                  <c:v>3.7144665412003341E-4</c:v>
                </c:pt>
                <c:pt idx="8">
                  <c:v>1.3044158418094032E-3</c:v>
                </c:pt>
                <c:pt idx="9">
                  <c:v>3.5536735681920284E-3</c:v>
                </c:pt>
                <c:pt idx="10">
                  <c:v>5.485286372002629E-3</c:v>
                </c:pt>
                <c:pt idx="11">
                  <c:v>8.1737753221678977E-3</c:v>
                </c:pt>
                <c:pt idx="12">
                  <c:v>1.1818112028105343E-2</c:v>
                </c:pt>
                <c:pt idx="13">
                  <c:v>1.6645748005519212E-2</c:v>
                </c:pt>
                <c:pt idx="14">
                  <c:v>2.2912020646323361E-2</c:v>
                </c:pt>
                <c:pt idx="15">
                  <c:v>3.0898261197787602E-2</c:v>
                </c:pt>
                <c:pt idx="16">
                  <c:v>4.0908267788234309E-2</c:v>
                </c:pt>
                <c:pt idx="17">
                  <c:v>5.326278369249926E-2</c:v>
                </c:pt>
                <c:pt idx="18">
                  <c:v>6.8291623542396596E-2</c:v>
                </c:pt>
                <c:pt idx="19">
                  <c:v>8.6323130752672173E-2</c:v>
                </c:pt>
                <c:pt idx="20">
                  <c:v>0.10767074244579511</c:v>
                </c:pt>
                <c:pt idx="21">
                  <c:v>0.13261659831478967</c:v>
                </c:pt>
                <c:pt idx="22">
                  <c:v>0.16139236976216209</c:v>
                </c:pt>
                <c:pt idx="23">
                  <c:v>0.19415781223851813</c:v>
                </c:pt>
                <c:pt idx="24">
                  <c:v>0.23097795355929318</c:v>
                </c:pt>
                <c:pt idx="25">
                  <c:v>0.27180030482823692</c:v>
                </c:pt>
                <c:pt idx="26">
                  <c:v>0.31643397787364336</c:v>
                </c:pt>
                <c:pt idx="27">
                  <c:v>0.36453304803355158</c:v>
                </c:pt>
                <c:pt idx="28">
                  <c:v>0.41558682244261402</c:v>
                </c:pt>
                <c:pt idx="29">
                  <c:v>0.46891975076157477</c:v>
                </c:pt>
                <c:pt idx="30">
                  <c:v>0.52370343131221975</c:v>
                </c:pt>
                <c:pt idx="31">
                  <c:v>0.57898242330021343</c:v>
                </c:pt>
                <c:pt idx="32">
                  <c:v>0.63371432892399926</c:v>
                </c:pt>
                <c:pt idx="33">
                  <c:v>0.68682289874110625</c:v>
                </c:pt>
                <c:pt idx="34">
                  <c:v>0.73726089850189358</c:v>
                </c:pt>
                <c:pt idx="35">
                  <c:v>0.78407744388738621</c:v>
                </c:pt>
                <c:pt idx="36">
                  <c:v>0.82648285744174654</c:v>
                </c:pt>
                <c:pt idx="37">
                  <c:v>0.86390327028919134</c:v>
                </c:pt>
                <c:pt idx="38">
                  <c:v>0.89601756099471053</c:v>
                </c:pt>
                <c:pt idx="39">
                  <c:v>0.92277098951020631</c:v>
                </c:pt>
                <c:pt idx="40">
                  <c:v>0.94436293999111653</c:v>
                </c:pt>
                <c:pt idx="41">
                  <c:v>0.96121007434763417</c:v>
                </c:pt>
                <c:pt idx="42">
                  <c:v>0.9738901576488701</c:v>
                </c:pt>
                <c:pt idx="43">
                  <c:v>0.98307494845487398</c:v>
                </c:pt>
                <c:pt idx="44">
                  <c:v>0.99371525106854153</c:v>
                </c:pt>
                <c:pt idx="45">
                  <c:v>0.99805805194152097</c:v>
                </c:pt>
                <c:pt idx="46">
                  <c:v>0.999</c:v>
                </c:pt>
              </c:numCache>
            </c:numRef>
          </c:yVal>
          <c:smooth val="1"/>
          <c:extLst>
            <c:ext xmlns:c16="http://schemas.microsoft.com/office/drawing/2014/chart" uri="{C3380CC4-5D6E-409C-BE32-E72D297353CC}">
              <c16:uniqueId val="{00000002-B598-4868-AD0F-FF4786B8D38D}"/>
            </c:ext>
          </c:extLst>
        </c:ser>
        <c:dLbls>
          <c:showLegendKey val="0"/>
          <c:showVal val="0"/>
          <c:showCatName val="0"/>
          <c:showSerName val="0"/>
          <c:showPercent val="0"/>
          <c:showBubbleSize val="0"/>
        </c:dLbls>
        <c:axId val="226900384"/>
        <c:axId val="226919104"/>
      </c:scatterChart>
      <c:valAx>
        <c:axId val="226900384"/>
        <c:scaling>
          <c:orientation val="minMax"/>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sz="1050"/>
                  <a:t>Time since restoration (yrs)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26919104"/>
        <c:crosses val="autoZero"/>
        <c:crossBetween val="midCat"/>
      </c:valAx>
      <c:valAx>
        <c:axId val="226919104"/>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GB" sz="1050"/>
                  <a:t>Proportional</a:t>
                </a:r>
                <a:r>
                  <a:rPr lang="en-GB"/>
                  <a:t> ecosystem function</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2690038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ctrlProps/ctrlProp1.xml><?xml version="1.0" encoding="utf-8"?>
<formControlPr xmlns="http://schemas.microsoft.com/office/spreadsheetml/2009/9/main" objectType="Drop" dropLines="2" dropStyle="combo" dx="22" fmlaLink="$D$26" fmlaRange="$L$38:$L$39" sel="2" val="0"/>
</file>

<file path=xl/ctrlProps/ctrlProp2.xml><?xml version="1.0" encoding="utf-8"?>
<formControlPr xmlns="http://schemas.microsoft.com/office/spreadsheetml/2009/9/main" objectType="Drop" dropLines="2" dropStyle="combo" dx="22" fmlaLink="D26" fmlaRange="$L$38:$L$39" sel="2" val="0"/>
</file>

<file path=xl/ctrlProps/ctrlProp3.xml><?xml version="1.0" encoding="utf-8"?>
<formControlPr xmlns="http://schemas.microsoft.com/office/spreadsheetml/2009/9/main" objectType="Drop" dropLines="2" dropStyle="combo" dx="22" fmlaLink="D26" fmlaRange="$L$38:$L$39" sel="2" val="0"/>
</file>

<file path=xl/ctrlProps/ctrlProp4.xml><?xml version="1.0" encoding="utf-8"?>
<formControlPr xmlns="http://schemas.microsoft.com/office/spreadsheetml/2009/9/main" objectType="Drop" dropLines="2" dropStyle="combo" dx="22" fmlaLink="$D$61" fmlaRange="$L$38:$L$39" sel="2" val="0"/>
</file>

<file path=xl/ctrlProps/ctrlProp5.xml><?xml version="1.0" encoding="utf-8"?>
<formControlPr xmlns="http://schemas.microsoft.com/office/spreadsheetml/2009/9/main" objectType="Drop" dropLines="2" dropStyle="combo" dx="22" fmlaLink="D61" fmlaRange="$L$38:$L$39" sel="2" val="0"/>
</file>

<file path=xl/ctrlProps/ctrlProp6.xml><?xml version="1.0" encoding="utf-8"?>
<formControlPr xmlns="http://schemas.microsoft.com/office/spreadsheetml/2009/9/main" objectType="Drop" dropLines="2" dropStyle="combo" dx="22" fmlaLink="D61" fmlaRange="$L$38:$L$39" sel="2" val="0"/>
</file>

<file path=xl/ctrlProps/ctrlProp7.xml><?xml version="1.0" encoding="utf-8"?>
<formControlPr xmlns="http://schemas.microsoft.com/office/spreadsheetml/2009/9/main" objectType="Drop" dropLines="2" dropStyle="combo" dx="22" fmlaLink="$D$26" fmlaRange="$L$38:$L$40" sel="2" val="0"/>
</file>

<file path=xl/ctrlProps/ctrlProp8.xml><?xml version="1.0" encoding="utf-8"?>
<formControlPr xmlns="http://schemas.microsoft.com/office/spreadsheetml/2009/9/main" objectType="Drop" dropLines="2" dropStyle="combo" dx="22" fmlaLink="D26" fmlaRange="$L$38:$L$40" sel="2" val="0"/>
</file>

<file path=xl/ctrlProps/ctrlProp9.xml><?xml version="1.0" encoding="utf-8"?>
<formControlPr xmlns="http://schemas.microsoft.com/office/spreadsheetml/2009/9/main" objectType="Drop" dropLines="2" dropStyle="combo" dx="22" fmlaLink="D26" fmlaRange="$L$38:$L$40" sel="2" val="0"/>
</file>

<file path=xl/ctrlProps/ctrlProp10.xml><?xml version="1.0" encoding="utf-8"?>
<formControlPr xmlns="http://schemas.microsoft.com/office/spreadsheetml/2009/9/main" objectType="Drop" dropLines="2" dropStyle="combo" dx="22" fmlaLink="$D$96" fmlaRange="$L$38:$L$39" sel="0" val="0"/>
</file>

<file path=xl/ctrlProps/ctrlProp11.xml><?xml version="1.0" encoding="utf-8"?>
<formControlPr xmlns="http://schemas.microsoft.com/office/spreadsheetml/2009/9/main" objectType="Drop" dropLines="2" dropStyle="combo" dx="22" fmlaLink="D96" fmlaRange="$L$38:$L$39" sel="0" val="0"/>
</file>

<file path=xl/ctrlProps/ctrlProp12.xml><?xml version="1.0" encoding="utf-8"?>
<formControlPr xmlns="http://schemas.microsoft.com/office/spreadsheetml/2009/9/main" objectType="Drop" dropLines="2" dropStyle="combo" dx="22" fmlaLink="D96" fmlaRange="$L$38:$L$39" sel="0" val="0"/>
</file>

<file path=xl/ctrlProps/ctrlProp13.xml><?xml version="1.0" encoding="utf-8"?>
<formControlPr xmlns="http://schemas.microsoft.com/office/spreadsheetml/2009/9/main" objectType="Drop" dropLines="2" dropStyle="combo" dx="22" fmlaLink="$D$26" fmlaRange="$L$38:$L$40" sel="2" val="0"/>
</file>

<file path=xl/ctrlProps/ctrlProp14.xml><?xml version="1.0" encoding="utf-8"?>
<formControlPr xmlns="http://schemas.microsoft.com/office/spreadsheetml/2009/9/main" objectType="Drop" dropLines="2" dropStyle="combo" dx="22" fmlaLink="D26" fmlaRange="$L$38:$L$40" sel="2" val="0"/>
</file>

<file path=xl/ctrlProps/ctrlProp15.xml><?xml version="1.0" encoding="utf-8"?>
<formControlPr xmlns="http://schemas.microsoft.com/office/spreadsheetml/2009/9/main" objectType="Drop" dropLines="2" dropStyle="combo" dx="22" fmlaLink="D26" fmlaRange="$L$38:$L$40" sel="2" val="0"/>
</file>

<file path=xl/ctrlProps/ctrlProp16.xml><?xml version="1.0" encoding="utf-8"?>
<formControlPr xmlns="http://schemas.microsoft.com/office/spreadsheetml/2009/9/main" objectType="Drop" dropLines="2" dropStyle="combo" dx="22" fmlaLink="$D$131" fmlaRange="$L$38:$L$39" sel="0" val="0"/>
</file>

<file path=xl/ctrlProps/ctrlProp17.xml><?xml version="1.0" encoding="utf-8"?>
<formControlPr xmlns="http://schemas.microsoft.com/office/spreadsheetml/2009/9/main" objectType="Drop" dropLines="2" dropStyle="combo" dx="22" fmlaLink="D131" fmlaRange="$L$38:$L$39" sel="0" val="0"/>
</file>

<file path=xl/ctrlProps/ctrlProp18.xml><?xml version="1.0" encoding="utf-8"?>
<formControlPr xmlns="http://schemas.microsoft.com/office/spreadsheetml/2009/9/main" objectType="Drop" dropLines="2" dropStyle="combo" dx="22" fmlaLink="D131" fmlaRange="$L$38:$L$39" sel="0" val="0"/>
</file>

<file path=xl/ctrlProps/ctrlProp19.xml><?xml version="1.0" encoding="utf-8"?>
<formControlPr xmlns="http://schemas.microsoft.com/office/spreadsheetml/2009/9/main" objectType="Drop" dropLines="2" dropStyle="combo" dx="22" fmlaLink="$D$26" fmlaRange="$L$38:$L$40" sel="2" val="0"/>
</file>

<file path=xl/ctrlProps/ctrlProp20.xml><?xml version="1.0" encoding="utf-8"?>
<formControlPr xmlns="http://schemas.microsoft.com/office/spreadsheetml/2009/9/main" objectType="Drop" dropLines="2" dropStyle="combo" dx="22" fmlaLink="D26" fmlaRange="$L$38:$L$40" sel="2" val="0"/>
</file>

<file path=xl/ctrlProps/ctrlProp21.xml><?xml version="1.0" encoding="utf-8"?>
<formControlPr xmlns="http://schemas.microsoft.com/office/spreadsheetml/2009/9/main" objectType="Drop" dropLines="2" dropStyle="combo" dx="22" fmlaLink="D26" fmlaRange="$L$38:$L$40" sel="2" val="0"/>
</file>

<file path=xl/ctrlProps/ctrlProp22.xml><?xml version="1.0" encoding="utf-8"?>
<formControlPr xmlns="http://schemas.microsoft.com/office/spreadsheetml/2009/9/main" objectType="Drop" dropLines="2" dropStyle="combo" dx="22" fmlaLink="$D$166" fmlaRange="$L$38:$L$39" sel="0" val="0"/>
</file>

<file path=xl/ctrlProps/ctrlProp23.xml><?xml version="1.0" encoding="utf-8"?>
<formControlPr xmlns="http://schemas.microsoft.com/office/spreadsheetml/2009/9/main" objectType="Drop" dropLines="2" dropStyle="combo" dx="22" fmlaLink="D166" fmlaRange="$L$38:$L$39" sel="0" val="0"/>
</file>

<file path=xl/ctrlProps/ctrlProp24.xml><?xml version="1.0" encoding="utf-8"?>
<formControlPr xmlns="http://schemas.microsoft.com/office/spreadsheetml/2009/9/main" objectType="Drop" dropLines="2" dropStyle="combo" dx="22" fmlaLink="D166" fmlaRange="$L$38:$L$39" sel="0" val="0"/>
</file>

<file path=xl/ctrlProps/ctrlProp25.xml><?xml version="1.0" encoding="utf-8"?>
<formControlPr xmlns="http://schemas.microsoft.com/office/spreadsheetml/2009/9/main" objectType="Drop" dropLines="2" dropStyle="combo" dx="22" fmlaRange="$L$47:$L$48" noThreeD="1" sel="2" val="0"/>
</file>

<file path=xl/ctrlProps/ctrlProp26.xml><?xml version="1.0" encoding="utf-8"?>
<formControlPr xmlns="http://schemas.microsoft.com/office/spreadsheetml/2009/9/main" objectType="Drop" dropLines="2" dropStyle="combo" dx="22" fmlaLink="$D$31" fmlaRange="$L$47:$L$48" noThreeD="1" sel="2" val="0"/>
</file>

<file path=xl/ctrlProps/ctrlProp27.xml><?xml version="1.0" encoding="utf-8"?>
<formControlPr xmlns="http://schemas.microsoft.com/office/spreadsheetml/2009/9/main" objectType="Drop" dropLines="2" dropStyle="combo" dx="22" fmlaLink="$D$31" fmlaRange="$L$47:$L$48" noThreeD="1" sel="2" val="0"/>
</file>

<file path=xl/ctrlProps/ctrlProp28.xml><?xml version="1.0" encoding="utf-8"?>
<formControlPr xmlns="http://schemas.microsoft.com/office/spreadsheetml/2009/9/main" objectType="Drop" dropLines="2" dropStyle="combo" dx="22" fmlaLink="$D$31" fmlaRange="$L$47:$L$48" noThreeD="1" sel="2" val="0"/>
</file>

<file path=xl/ctrlProps/ctrlProp29.xml><?xml version="1.0" encoding="utf-8"?>
<formControlPr xmlns="http://schemas.microsoft.com/office/spreadsheetml/2009/9/main" objectType="Drop" dropLines="2" dropStyle="combo" dx="22" fmlaRange="$L$47:$L$48" noThreeD="1" sel="2" val="0"/>
</file>

<file path=xl/ctrlProps/ctrlProp30.xml><?xml version="1.0" encoding="utf-8"?>
<formControlPr xmlns="http://schemas.microsoft.com/office/spreadsheetml/2009/9/main" objectType="Drop" dropLines="2" dropStyle="combo" dx="22" fmlaLink="$D$66" fmlaRange="$L$47:$L$48" noThreeD="1" sel="2" val="0"/>
</file>

<file path=xl/ctrlProps/ctrlProp31.xml><?xml version="1.0" encoding="utf-8"?>
<formControlPr xmlns="http://schemas.microsoft.com/office/spreadsheetml/2009/9/main" objectType="Drop" dropLines="2" dropStyle="combo" dx="22" fmlaLink="$D$66" fmlaRange="$L$47:$L$48" noThreeD="1" sel="2" val="0"/>
</file>

<file path=xl/ctrlProps/ctrlProp32.xml><?xml version="1.0" encoding="utf-8"?>
<formControlPr xmlns="http://schemas.microsoft.com/office/spreadsheetml/2009/9/main" objectType="Drop" dropLines="2" dropStyle="combo" dx="22" fmlaLink="$D$66" fmlaRange="$L$47:$L$48" noThreeD="1" sel="2" val="0"/>
</file>

<file path=xl/ctrlProps/ctrlProp33.xml><?xml version="1.0" encoding="utf-8"?>
<formControlPr xmlns="http://schemas.microsoft.com/office/spreadsheetml/2009/9/main" objectType="Drop" dropLines="2" dropStyle="combo" dx="22" fmlaRange="$L$47:$L$48" noThreeD="1" sel="2" val="0"/>
</file>

<file path=xl/ctrlProps/ctrlProp34.xml><?xml version="1.0" encoding="utf-8"?>
<formControlPr xmlns="http://schemas.microsoft.com/office/spreadsheetml/2009/9/main" objectType="Drop" dropLines="2" dropStyle="combo" dx="22" fmlaLink="$D$101" fmlaRange="$L$47:$L$48" noThreeD="1" sel="1" val="0"/>
</file>

<file path=xl/ctrlProps/ctrlProp35.xml><?xml version="1.0" encoding="utf-8"?>
<formControlPr xmlns="http://schemas.microsoft.com/office/spreadsheetml/2009/9/main" objectType="Drop" dropLines="2" dropStyle="combo" dx="22" fmlaLink="$D$101" fmlaRange="$L$47:$L$48" noThreeD="1" sel="1" val="0"/>
</file>

<file path=xl/ctrlProps/ctrlProp36.xml><?xml version="1.0" encoding="utf-8"?>
<formControlPr xmlns="http://schemas.microsoft.com/office/spreadsheetml/2009/9/main" objectType="Drop" dropLines="2" dropStyle="combo" dx="22" fmlaLink="$D$101" fmlaRange="$L$47:$L$48" noThreeD="1" sel="1" val="0"/>
</file>

<file path=xl/ctrlProps/ctrlProp37.xml><?xml version="1.0" encoding="utf-8"?>
<formControlPr xmlns="http://schemas.microsoft.com/office/spreadsheetml/2009/9/main" objectType="Drop" dropLines="2" dropStyle="combo" dx="22" fmlaRange="$L$47:$L$48" noThreeD="1" sel="2" val="0"/>
</file>

<file path=xl/ctrlProps/ctrlProp38.xml><?xml version="1.0" encoding="utf-8"?>
<formControlPr xmlns="http://schemas.microsoft.com/office/spreadsheetml/2009/9/main" objectType="Drop" dropLines="2" dropStyle="combo" dx="22" fmlaLink="$D$136" fmlaRange="$L$47:$L$48" noThreeD="1" sel="1" val="0"/>
</file>

<file path=xl/ctrlProps/ctrlProp39.xml><?xml version="1.0" encoding="utf-8"?>
<formControlPr xmlns="http://schemas.microsoft.com/office/spreadsheetml/2009/9/main" objectType="Drop" dropLines="2" dropStyle="combo" dx="22" fmlaLink="$D$136" fmlaRange="$L$47:$L$48" noThreeD="1" sel="1" val="0"/>
</file>

<file path=xl/ctrlProps/ctrlProp40.xml><?xml version="1.0" encoding="utf-8"?>
<formControlPr xmlns="http://schemas.microsoft.com/office/spreadsheetml/2009/9/main" objectType="Drop" dropLines="2" dropStyle="combo" dx="22" fmlaLink="$D$136" fmlaRange="$L$47:$L$48" noThreeD="1" sel="1" val="0"/>
</file>

<file path=xl/ctrlProps/ctrlProp41.xml><?xml version="1.0" encoding="utf-8"?>
<formControlPr xmlns="http://schemas.microsoft.com/office/spreadsheetml/2009/9/main" objectType="Drop" dropLines="2" dropStyle="combo" dx="22" fmlaRange="$L$47:$L$48" noThreeD="1" sel="2" val="0"/>
</file>

<file path=xl/ctrlProps/ctrlProp42.xml><?xml version="1.0" encoding="utf-8"?>
<formControlPr xmlns="http://schemas.microsoft.com/office/spreadsheetml/2009/9/main" objectType="Drop" dropLines="2" dropStyle="combo" dx="22" fmlaLink="$D$171" fmlaRange="$L$47:$L$48" noThreeD="1" sel="1" val="0"/>
</file>

<file path=xl/ctrlProps/ctrlProp43.xml><?xml version="1.0" encoding="utf-8"?>
<formControlPr xmlns="http://schemas.microsoft.com/office/spreadsheetml/2009/9/main" objectType="Drop" dropLines="2" dropStyle="combo" dx="22" fmlaLink="$D$171" fmlaRange="$L$47:$L$48" noThreeD="1" sel="1" val="0"/>
</file>

<file path=xl/ctrlProps/ctrlProp44.xml><?xml version="1.0" encoding="utf-8"?>
<formControlPr xmlns="http://schemas.microsoft.com/office/spreadsheetml/2009/9/main" objectType="Drop" dropLines="2" dropStyle="combo" dx="22" fmlaLink="$D$171" fmlaRange="$L$47:$L$48" noThreeD="1" sel="1" val="0"/>
</file>

<file path=xl/ctrlProps/ctrlProp45.xml><?xml version="1.0" encoding="utf-8"?>
<formControlPr xmlns="http://schemas.microsoft.com/office/spreadsheetml/2009/9/main" objectType="Drop" dropLines="2" dropStyle="combo" dx="22" fmlaLink="$D$31" fmlaRange="$L$47:$L$48" noThreeD="1" sel="2" val="0"/>
</file>

<file path=xl/ctrlProps/ctrlProp46.xml><?xml version="1.0" encoding="utf-8"?>
<formControlPr xmlns="http://schemas.microsoft.com/office/spreadsheetml/2009/9/main" objectType="Drop" dropLines="2" dropStyle="combo" dx="22" fmlaLink="$D$33" fmlaRange="$L$47:$L$48" noThreeD="1" sel="1" val="0"/>
</file>

<file path=xl/ctrlProps/ctrlProp47.xml><?xml version="1.0" encoding="utf-8"?>
<formControlPr xmlns="http://schemas.microsoft.com/office/spreadsheetml/2009/9/main" objectType="Drop" dropLines="2" dropStyle="combo" dx="22" fmlaLink="$D$33" fmlaRange="$L$47:$L$48" noThreeD="1" sel="1" val="0"/>
</file>

<file path=xl/ctrlProps/ctrlProp48.xml><?xml version="1.0" encoding="utf-8"?>
<formControlPr xmlns="http://schemas.microsoft.com/office/spreadsheetml/2009/9/main" objectType="Drop" dropLines="2" dropStyle="combo" dx="22" fmlaLink="$D$33" fmlaRange="$L$47:$L$48" noThreeD="1" sel="1" val="0"/>
</file>

<file path=xl/ctrlProps/ctrlProp49.xml><?xml version="1.0" encoding="utf-8"?>
<formControlPr xmlns="http://schemas.microsoft.com/office/spreadsheetml/2009/9/main" objectType="Drop" dropLines="2" dropStyle="combo" dx="22" fmlaRange="$L$47:$L$48" noThreeD="1" sel="2" val="0"/>
</file>

<file path=xl/ctrlProps/ctrlProp50.xml><?xml version="1.0" encoding="utf-8"?>
<formControlPr xmlns="http://schemas.microsoft.com/office/spreadsheetml/2009/9/main" objectType="Drop" dropLines="2" dropStyle="combo" dx="22" fmlaLink="$D$68" fmlaRange="$L$47:$L$48" noThreeD="1" sel="2" val="0"/>
</file>

<file path=xl/ctrlProps/ctrlProp51.xml><?xml version="1.0" encoding="utf-8"?>
<formControlPr xmlns="http://schemas.microsoft.com/office/spreadsheetml/2009/9/main" objectType="Drop" dropLines="2" dropStyle="combo" dx="22" fmlaLink="$D$68" fmlaRange="$L$47:$L$48" noThreeD="1" sel="2" val="0"/>
</file>

<file path=xl/ctrlProps/ctrlProp52.xml><?xml version="1.0" encoding="utf-8"?>
<formControlPr xmlns="http://schemas.microsoft.com/office/spreadsheetml/2009/9/main" objectType="Drop" dropLines="2" dropStyle="combo" dx="22" fmlaLink="$D$68" fmlaRange="$L$47:$L$48" noThreeD="1" sel="2" val="0"/>
</file>

<file path=xl/ctrlProps/ctrlProp53.xml><?xml version="1.0" encoding="utf-8"?>
<formControlPr xmlns="http://schemas.microsoft.com/office/spreadsheetml/2009/9/main" objectType="Drop" dropLines="2" dropStyle="combo" dx="22" fmlaRange="$L$47:$L$48" noThreeD="1" sel="2" val="0"/>
</file>

<file path=xl/ctrlProps/ctrlProp54.xml><?xml version="1.0" encoding="utf-8"?>
<formControlPr xmlns="http://schemas.microsoft.com/office/spreadsheetml/2009/9/main" objectType="Drop" dropLines="2" dropStyle="combo" dx="22" fmlaLink="$D$103" fmlaRange="$L$47:$L$48" noThreeD="1" sel="1" val="0"/>
</file>

<file path=xl/ctrlProps/ctrlProp55.xml><?xml version="1.0" encoding="utf-8"?>
<formControlPr xmlns="http://schemas.microsoft.com/office/spreadsheetml/2009/9/main" objectType="Drop" dropLines="2" dropStyle="combo" dx="22" fmlaLink="$D$103" fmlaRange="$L$47:$L$48" noThreeD="1" sel="1" val="0"/>
</file>

<file path=xl/ctrlProps/ctrlProp56.xml><?xml version="1.0" encoding="utf-8"?>
<formControlPr xmlns="http://schemas.microsoft.com/office/spreadsheetml/2009/9/main" objectType="Drop" dropLines="2" dropStyle="combo" dx="22" fmlaLink="$D$103" fmlaRange="$L$47:$L$48" noThreeD="1" sel="1" val="0"/>
</file>

<file path=xl/ctrlProps/ctrlProp57.xml><?xml version="1.0" encoding="utf-8"?>
<formControlPr xmlns="http://schemas.microsoft.com/office/spreadsheetml/2009/9/main" objectType="Drop" dropLines="2" dropStyle="combo" dx="22" fmlaRange="$L$47:$L$48" noThreeD="1" sel="2" val="0"/>
</file>

<file path=xl/ctrlProps/ctrlProp58.xml><?xml version="1.0" encoding="utf-8"?>
<formControlPr xmlns="http://schemas.microsoft.com/office/spreadsheetml/2009/9/main" objectType="Drop" dropLines="2" dropStyle="combo" dx="22" fmlaLink="$D$138" fmlaRange="$L$47:$L$48" noThreeD="1" sel="1" val="0"/>
</file>

<file path=xl/ctrlProps/ctrlProp59.xml><?xml version="1.0" encoding="utf-8"?>
<formControlPr xmlns="http://schemas.microsoft.com/office/spreadsheetml/2009/9/main" objectType="Drop" dropLines="2" dropStyle="combo" dx="22" fmlaLink="$D$138" fmlaRange="$L$47:$L$48" noThreeD="1" sel="1" val="0"/>
</file>

<file path=xl/ctrlProps/ctrlProp60.xml><?xml version="1.0" encoding="utf-8"?>
<formControlPr xmlns="http://schemas.microsoft.com/office/spreadsheetml/2009/9/main" objectType="Drop" dropLines="2" dropStyle="combo" dx="22" fmlaLink="$D$138" fmlaRange="$L$47:$L$48" noThreeD="1" sel="1" val="0"/>
</file>

<file path=xl/ctrlProps/ctrlProp61.xml><?xml version="1.0" encoding="utf-8"?>
<formControlPr xmlns="http://schemas.microsoft.com/office/spreadsheetml/2009/9/main" objectType="Drop" dropLines="2" dropStyle="combo" dx="22" fmlaLink="#REF!" fmlaRange="$L$47:$L$48" noThreeD="1" sel="0" val="0"/>
</file>

<file path=xl/ctrlProps/ctrlProp62.xml><?xml version="1.0" encoding="utf-8"?>
<formControlPr xmlns="http://schemas.microsoft.com/office/spreadsheetml/2009/9/main" objectType="Drop" dropLines="2" dropStyle="combo" dx="22" fmlaLink="#REF!" fmlaRange="$L$47:$L$48" noThreeD="1" sel="0" val="0"/>
</file>

<file path=xl/ctrlProps/ctrlProp63.xml><?xml version="1.0" encoding="utf-8"?>
<formControlPr xmlns="http://schemas.microsoft.com/office/spreadsheetml/2009/9/main" objectType="Drop" dropLines="2" dropStyle="combo" dx="22" fmlaLink="#REF!" fmlaRange="$L$47:$L$48" noThreeD="1" sel="0" val="0"/>
</file>

<file path=xl/ctrlProps/ctrlProp64.xml><?xml version="1.0" encoding="utf-8"?>
<formControlPr xmlns="http://schemas.microsoft.com/office/spreadsheetml/2009/9/main" objectType="Drop" dropLines="2" dropStyle="combo" dx="22" fmlaLink="$D$173" fmlaRange="$L$47:$L$48" noThreeD="1" sel="1" val="0"/>
</file>

<file path=xl/ctrlProps/ctrlProp65.xml><?xml version="1.0" encoding="utf-8"?>
<formControlPr xmlns="http://schemas.microsoft.com/office/spreadsheetml/2009/9/main" objectType="Drop" dropLines="2" dropStyle="combo" dx="22" fmlaLink="$D$173" fmlaRange="$L$47:$L$48" noThreeD="1" sel="1" val="0"/>
</file>

<file path=xl/ctrlProps/ctrlProp66.xml><?xml version="1.0" encoding="utf-8"?>
<formControlPr xmlns="http://schemas.microsoft.com/office/spreadsheetml/2009/9/main" objectType="Drop" dropLines="2" dropStyle="combo" dx="22" fmlaLink="$D$173" fmlaRange="$L$47:$L$48" noThreeD="1" sel="1" val="0"/>
</file>

<file path=xl/ctrlProps/ctrlProp67.xml><?xml version="1.0" encoding="utf-8"?>
<formControlPr xmlns="http://schemas.microsoft.com/office/spreadsheetml/2009/9/main" objectType="Drop" dropLines="2" dropStyle="combo" dx="22" fmlaLink="$D$37" fmlaRange="$L$47:$L$48" noThreeD="1" sel="2" val="0"/>
</file>

<file path=xl/ctrlProps/ctrlProp68.xml><?xml version="1.0" encoding="utf-8"?>
<formControlPr xmlns="http://schemas.microsoft.com/office/spreadsheetml/2009/9/main" objectType="Drop" dropLines="2" dropStyle="combo" dx="22" fmlaLink="$D$37" fmlaRange="$L$47:$L$48" noThreeD="1" sel="2" val="0"/>
</file>

<file path=xl/ctrlProps/ctrlProp69.xml><?xml version="1.0" encoding="utf-8"?>
<formControlPr xmlns="http://schemas.microsoft.com/office/spreadsheetml/2009/9/main" objectType="Drop" dropLines="2" dropStyle="combo" dx="22" fmlaLink="$D$37" fmlaRange="$L$47:$L$48" noThreeD="1" sel="2" val="0"/>
</file>

<file path=xl/ctrlProps/ctrlProp70.xml><?xml version="1.0" encoding="utf-8"?>
<formControlPr xmlns="http://schemas.microsoft.com/office/spreadsheetml/2009/9/main" objectType="Drop" dropLines="2" dropStyle="combo" dx="22" fmlaLink="$D$72" fmlaRange="$L$47:$L$48" noThreeD="1" sel="2" val="0"/>
</file>

<file path=xl/ctrlProps/ctrlProp71.xml><?xml version="1.0" encoding="utf-8"?>
<formControlPr xmlns="http://schemas.microsoft.com/office/spreadsheetml/2009/9/main" objectType="Drop" dropLines="2" dropStyle="combo" dx="22" fmlaLink="$D$72" fmlaRange="$L$47:$L$48" noThreeD="1" sel="2" val="0"/>
</file>

<file path=xl/ctrlProps/ctrlProp72.xml><?xml version="1.0" encoding="utf-8"?>
<formControlPr xmlns="http://schemas.microsoft.com/office/spreadsheetml/2009/9/main" objectType="Drop" dropLines="2" dropStyle="combo" dx="22" fmlaLink="$D$72" fmlaRange="$L$47:$L$48" noThreeD="1" sel="2" val="0"/>
</file>

<file path=xl/ctrlProps/ctrlProp73.xml><?xml version="1.0" encoding="utf-8"?>
<formControlPr xmlns="http://schemas.microsoft.com/office/spreadsheetml/2009/9/main" objectType="Drop" dropLines="2" dropStyle="combo" dx="22" fmlaLink="$D$107" fmlaRange="$L$47:$L$48" noThreeD="1" sel="2" val="0"/>
</file>

<file path=xl/ctrlProps/ctrlProp74.xml><?xml version="1.0" encoding="utf-8"?>
<formControlPr xmlns="http://schemas.microsoft.com/office/spreadsheetml/2009/9/main" objectType="Drop" dropLines="2" dropStyle="combo" dx="22" fmlaLink="$D$107" fmlaRange="$L$47:$L$48" noThreeD="1" sel="2" val="0"/>
</file>

<file path=xl/ctrlProps/ctrlProp75.xml><?xml version="1.0" encoding="utf-8"?>
<formControlPr xmlns="http://schemas.microsoft.com/office/spreadsheetml/2009/9/main" objectType="Drop" dropLines="2" dropStyle="combo" dx="22" fmlaLink="$D$107" fmlaRange="$L$47:$L$48" noThreeD="1" sel="2" val="0"/>
</file>

<file path=xl/ctrlProps/ctrlProp76.xml><?xml version="1.0" encoding="utf-8"?>
<formControlPr xmlns="http://schemas.microsoft.com/office/spreadsheetml/2009/9/main" objectType="Drop" dropLines="2" dropStyle="combo" dx="22" fmlaLink="$D$142" fmlaRange="$L$47:$L$48" noThreeD="1" sel="2" val="0"/>
</file>

<file path=xl/ctrlProps/ctrlProp77.xml><?xml version="1.0" encoding="utf-8"?>
<formControlPr xmlns="http://schemas.microsoft.com/office/spreadsheetml/2009/9/main" objectType="Drop" dropLines="2" dropStyle="combo" dx="22" fmlaLink="$D$142" fmlaRange="$L$47:$L$48" noThreeD="1" sel="2" val="0"/>
</file>

<file path=xl/ctrlProps/ctrlProp78.xml><?xml version="1.0" encoding="utf-8"?>
<formControlPr xmlns="http://schemas.microsoft.com/office/spreadsheetml/2009/9/main" objectType="Drop" dropLines="2" dropStyle="combo" dx="22" fmlaLink="$D$142" fmlaRange="$L$47:$L$48" noThreeD="1" sel="2" val="0"/>
</file>

<file path=xl/ctrlProps/ctrlProp79.xml><?xml version="1.0" encoding="utf-8"?>
<formControlPr xmlns="http://schemas.microsoft.com/office/spreadsheetml/2009/9/main" objectType="Drop" dropLines="2" dropStyle="combo" dx="22" fmlaLink="$D$177" fmlaRange="$L$47:$L$48" noThreeD="1" sel="2" val="0"/>
</file>

<file path=xl/ctrlProps/ctrlProp80.xml><?xml version="1.0" encoding="utf-8"?>
<formControlPr xmlns="http://schemas.microsoft.com/office/spreadsheetml/2009/9/main" objectType="Drop" dropLines="2" dropStyle="combo" dx="22" fmlaLink="$D$177" fmlaRange="$L$47:$L$48" noThreeD="1" sel="2" val="0"/>
</file>

<file path=xl/ctrlProps/ctrlProp81.xml><?xml version="1.0" encoding="utf-8"?>
<formControlPr xmlns="http://schemas.microsoft.com/office/spreadsheetml/2009/9/main" objectType="Drop" dropLines="2" dropStyle="combo" dx="22" fmlaLink="$D$177" fmlaRange="$L$47:$L$48" noThreeD="1" sel="2" val="0"/>
</file>

<file path=xl/ctrlProps/ctrlProp82.xml><?xml version="1.0" encoding="utf-8"?>
<formControlPr xmlns="http://schemas.microsoft.com/office/spreadsheetml/2009/9/main" objectType="Drop" dropLines="2" dropStyle="combo" dx="22" fmlaLink="$D$52" fmlaRange="$L$47:$L$48" noThreeD="1" sel="1" val="0"/>
</file>

<file path=xl/ctrlProps/ctrlProp83.xml><?xml version="1.0" encoding="utf-8"?>
<formControlPr xmlns="http://schemas.microsoft.com/office/spreadsheetml/2009/9/main" objectType="Drop" dropLines="2" dropStyle="combo" dx="22" fmlaLink="$D$52" fmlaRange="$L$47:$L$48" noThreeD="1" sel="1" val="0"/>
</file>

<file path=xl/ctrlProps/ctrlProp84.xml><?xml version="1.0" encoding="utf-8"?>
<formControlPr xmlns="http://schemas.microsoft.com/office/spreadsheetml/2009/9/main" objectType="Drop" dropLines="2" dropStyle="combo" dx="22" fmlaLink="$D$52" fmlaRange="$L$47:$L$48" noThreeD="1" sel="1" val="0"/>
</file>

<file path=xl/ctrlProps/ctrlProp85.xml><?xml version="1.0" encoding="utf-8"?>
<formControlPr xmlns="http://schemas.microsoft.com/office/spreadsheetml/2009/9/main" objectType="Drop" dropLines="2" dropStyle="combo" dx="22" fmlaLink="$D$53" fmlaRange="$L$47:$L$48" noThreeD="1" sel="1" val="0"/>
</file>

<file path=xl/ctrlProps/ctrlProp86.xml><?xml version="1.0" encoding="utf-8"?>
<formControlPr xmlns="http://schemas.microsoft.com/office/spreadsheetml/2009/9/main" objectType="Drop" dropLines="2" dropStyle="combo" dx="22" fmlaLink="$D$53" fmlaRange="$L$47:$L$48" noThreeD="1" sel="1" val="0"/>
</file>

<file path=xl/ctrlProps/ctrlProp87.xml><?xml version="1.0" encoding="utf-8"?>
<formControlPr xmlns="http://schemas.microsoft.com/office/spreadsheetml/2009/9/main" objectType="Drop" dropLines="2" dropStyle="combo" dx="22" fmlaLink="$D$53" fmlaRange="$L$47:$L$48" noThreeD="1" sel="1" val="0"/>
</file>

<file path=xl/ctrlProps/ctrlProp88.xml><?xml version="1.0" encoding="utf-8"?>
<formControlPr xmlns="http://schemas.microsoft.com/office/spreadsheetml/2009/9/main" objectType="Drop" dropLines="2" dropStyle="combo" dx="22" fmlaLink="$D$55" fmlaRange="$L$47:$L$48" noThreeD="1" sel="2" val="0"/>
</file>

<file path=xl/ctrlProps/ctrlProp89.xml><?xml version="1.0" encoding="utf-8"?>
<formControlPr xmlns="http://schemas.microsoft.com/office/spreadsheetml/2009/9/main" objectType="Drop" dropLines="2" dropStyle="combo" dx="22" fmlaLink="$D$55" fmlaRange="$L$47:$L$48" noThreeD="1" sel="2" val="0"/>
</file>

<file path=xl/ctrlProps/ctrlProp90.xml><?xml version="1.0" encoding="utf-8"?>
<formControlPr xmlns="http://schemas.microsoft.com/office/spreadsheetml/2009/9/main" objectType="Drop" dropLines="2" dropStyle="combo" dx="22" fmlaLink="$D$55" fmlaRange="$L$47:$L$48" noThreeD="1" sel="2" val="0"/>
</file>

<file path=xl/ctrlProps/ctrlProp91.xml><?xml version="1.0" encoding="utf-8"?>
<formControlPr xmlns="http://schemas.microsoft.com/office/spreadsheetml/2009/9/main" objectType="Drop" dropLines="2" dropStyle="combo" dx="22" fmlaLink="$D$56" fmlaRange="$L$47:$L$48" noThreeD="1" sel="2" val="0"/>
</file>

<file path=xl/ctrlProps/ctrlProp92.xml><?xml version="1.0" encoding="utf-8"?>
<formControlPr xmlns="http://schemas.microsoft.com/office/spreadsheetml/2009/9/main" objectType="Drop" dropLines="2" dropStyle="combo" dx="22" fmlaLink="$D$56" fmlaRange="$L$47:$L$48" noThreeD="1" sel="2" val="0"/>
</file>

<file path=xl/ctrlProps/ctrlProp93.xml><?xml version="1.0" encoding="utf-8"?>
<formControlPr xmlns="http://schemas.microsoft.com/office/spreadsheetml/2009/9/main" objectType="Drop" dropLines="2" dropStyle="combo" dx="22" fmlaLink="$D$56" fmlaRange="$L$47:$L$48" noThreeD="1" sel="2" val="0"/>
</file>

<file path=xl/ctrlProps/ctrlProp94.xml><?xml version="1.0" encoding="utf-8"?>
<formControlPr xmlns="http://schemas.microsoft.com/office/spreadsheetml/2009/9/main" objectType="Drop" dropLines="2" dropStyle="combo" dx="22" fmlaLink="$D$57" fmlaRange="$L$47:$L$48" noThreeD="1" sel="2" val="0"/>
</file>

<file path=xl/ctrlProps/ctrlProp95.xml><?xml version="1.0" encoding="utf-8"?>
<formControlPr xmlns="http://schemas.microsoft.com/office/spreadsheetml/2009/9/main" objectType="Drop" dropLines="2" dropStyle="combo" dx="22" fmlaLink="$D$57" fmlaRange="$L$47:$L$48" noThreeD="1" sel="2" val="0"/>
</file>

<file path=xl/ctrlProps/ctrlProp96.xml><?xml version="1.0" encoding="utf-8"?>
<formControlPr xmlns="http://schemas.microsoft.com/office/spreadsheetml/2009/9/main" objectType="Drop" dropLines="2" dropStyle="combo" dx="22" fmlaLink="$D$57" fmlaRange="$L$47:$L$48" noThreeD="1" sel="2" val="0"/>
</file>

<file path=xl/ctrlProps/ctrlProp97.xml><?xml version="1.0" encoding="utf-8"?>
<formControlPr xmlns="http://schemas.microsoft.com/office/spreadsheetml/2009/9/main" objectType="Drop" dropLines="2" dropStyle="combo" dx="22" fmlaLink="$D$87" fmlaRange="$L$47:$L$48" noThreeD="1" sel="1" val="0"/>
</file>

<file path=xl/ctrlProps/ctrlProp98.xml><?xml version="1.0" encoding="utf-8"?>
<formControlPr xmlns="http://schemas.microsoft.com/office/spreadsheetml/2009/9/main" objectType="Drop" dropLines="2" dropStyle="combo" dx="22" fmlaLink="$D$87" fmlaRange="$L$47:$L$48" noThreeD="1" sel="1" val="0"/>
</file>

<file path=xl/ctrlProps/ctrlProp99.xml><?xml version="1.0" encoding="utf-8"?>
<formControlPr xmlns="http://schemas.microsoft.com/office/spreadsheetml/2009/9/main" objectType="Drop" dropLines="2" dropStyle="combo" dx="22" fmlaLink="$D$87" fmlaRange="$L$47:$L$48" noThreeD="1" sel="1" val="0"/>
</file>

<file path=xl/ctrlProps/ctrlProp100.xml><?xml version="1.0" encoding="utf-8"?>
<formControlPr xmlns="http://schemas.microsoft.com/office/spreadsheetml/2009/9/main" objectType="Drop" dropLines="2" dropStyle="combo" dx="22" fmlaLink="$D$88" fmlaRange="$L$47:$L$48" noThreeD="1" sel="1" val="0"/>
</file>

<file path=xl/ctrlProps/ctrlProp101.xml><?xml version="1.0" encoding="utf-8"?>
<formControlPr xmlns="http://schemas.microsoft.com/office/spreadsheetml/2009/9/main" objectType="Drop" dropLines="2" dropStyle="combo" dx="22" fmlaLink="$D$88" fmlaRange="$L$47:$L$48" noThreeD="1" sel="1" val="0"/>
</file>

<file path=xl/ctrlProps/ctrlProp102.xml><?xml version="1.0" encoding="utf-8"?>
<formControlPr xmlns="http://schemas.microsoft.com/office/spreadsheetml/2009/9/main" objectType="Drop" dropLines="2" dropStyle="combo" dx="22" fmlaLink="$D$88" fmlaRange="$L$47:$L$48" noThreeD="1" sel="1" val="0"/>
</file>

<file path=xl/ctrlProps/ctrlProp103.xml><?xml version="1.0" encoding="utf-8"?>
<formControlPr xmlns="http://schemas.microsoft.com/office/spreadsheetml/2009/9/main" objectType="Drop" dropLines="2" dropStyle="combo" dx="22" fmlaLink="$D$90" fmlaRange="$L$47:$L$48" noThreeD="1" sel="2" val="0"/>
</file>

<file path=xl/ctrlProps/ctrlProp104.xml><?xml version="1.0" encoding="utf-8"?>
<formControlPr xmlns="http://schemas.microsoft.com/office/spreadsheetml/2009/9/main" objectType="Drop" dropLines="2" dropStyle="combo" dx="22" fmlaLink="$D$90" fmlaRange="$L$47:$L$48" noThreeD="1" sel="2" val="0"/>
</file>

<file path=xl/ctrlProps/ctrlProp105.xml><?xml version="1.0" encoding="utf-8"?>
<formControlPr xmlns="http://schemas.microsoft.com/office/spreadsheetml/2009/9/main" objectType="Drop" dropLines="2" dropStyle="combo" dx="22" fmlaLink="$D$90" fmlaRange="$L$47:$L$48" noThreeD="1" sel="2" val="0"/>
</file>

<file path=xl/ctrlProps/ctrlProp106.xml><?xml version="1.0" encoding="utf-8"?>
<formControlPr xmlns="http://schemas.microsoft.com/office/spreadsheetml/2009/9/main" objectType="Drop" dropLines="2" dropStyle="combo" dx="22" fmlaLink="$D$91" fmlaRange="$L$47:$L$48" noThreeD="1" sel="2" val="0"/>
</file>

<file path=xl/ctrlProps/ctrlProp107.xml><?xml version="1.0" encoding="utf-8"?>
<formControlPr xmlns="http://schemas.microsoft.com/office/spreadsheetml/2009/9/main" objectType="Drop" dropLines="2" dropStyle="combo" dx="22" fmlaLink="$D$91" fmlaRange="$L$47:$L$48" noThreeD="1" sel="2" val="0"/>
</file>

<file path=xl/ctrlProps/ctrlProp108.xml><?xml version="1.0" encoding="utf-8"?>
<formControlPr xmlns="http://schemas.microsoft.com/office/spreadsheetml/2009/9/main" objectType="Drop" dropLines="2" dropStyle="combo" dx="22" fmlaLink="$D$91" fmlaRange="$L$47:$L$48" noThreeD="1" sel="2" val="0"/>
</file>

<file path=xl/ctrlProps/ctrlProp109.xml><?xml version="1.0" encoding="utf-8"?>
<formControlPr xmlns="http://schemas.microsoft.com/office/spreadsheetml/2009/9/main" objectType="Drop" dropLines="2" dropStyle="combo" dx="22" fmlaLink="$D$92" fmlaRange="$L$47:$L$48" noThreeD="1" sel="2" val="0"/>
</file>

<file path=xl/ctrlProps/ctrlProp110.xml><?xml version="1.0" encoding="utf-8"?>
<formControlPr xmlns="http://schemas.microsoft.com/office/spreadsheetml/2009/9/main" objectType="Drop" dropLines="2" dropStyle="combo" dx="22" fmlaLink="$D$92" fmlaRange="$L$47:$L$48" noThreeD="1" sel="2" val="0"/>
</file>

<file path=xl/ctrlProps/ctrlProp111.xml><?xml version="1.0" encoding="utf-8"?>
<formControlPr xmlns="http://schemas.microsoft.com/office/spreadsheetml/2009/9/main" objectType="Drop" dropLines="2" dropStyle="combo" dx="22" fmlaLink="$D$92" fmlaRange="$L$47:$L$48" noThreeD="1" sel="2" val="0"/>
</file>

<file path=xl/ctrlProps/ctrlProp112.xml><?xml version="1.0" encoding="utf-8"?>
<formControlPr xmlns="http://schemas.microsoft.com/office/spreadsheetml/2009/9/main" objectType="Drop" dropLines="2" dropStyle="combo" dx="22" fmlaLink="$D$122" fmlaRange="$L$47:$L$48" noThreeD="1" sel="2" val="0"/>
</file>

<file path=xl/ctrlProps/ctrlProp113.xml><?xml version="1.0" encoding="utf-8"?>
<formControlPr xmlns="http://schemas.microsoft.com/office/spreadsheetml/2009/9/main" objectType="Drop" dropLines="2" dropStyle="combo" dx="22" fmlaLink="$D$122" fmlaRange="$L$47:$L$48" noThreeD="1" sel="2" val="0"/>
</file>

<file path=xl/ctrlProps/ctrlProp114.xml><?xml version="1.0" encoding="utf-8"?>
<formControlPr xmlns="http://schemas.microsoft.com/office/spreadsheetml/2009/9/main" objectType="Drop" dropLines="2" dropStyle="combo" dx="22" fmlaLink="$D$122" fmlaRange="$L$47:$L$48" noThreeD="1" sel="2" val="0"/>
</file>

<file path=xl/ctrlProps/ctrlProp115.xml><?xml version="1.0" encoding="utf-8"?>
<formControlPr xmlns="http://schemas.microsoft.com/office/spreadsheetml/2009/9/main" objectType="Drop" dropLines="2" dropStyle="combo" dx="22" fmlaLink="$D$123" fmlaRange="$L$47:$L$48" noThreeD="1" sel="2" val="0"/>
</file>

<file path=xl/ctrlProps/ctrlProp116.xml><?xml version="1.0" encoding="utf-8"?>
<formControlPr xmlns="http://schemas.microsoft.com/office/spreadsheetml/2009/9/main" objectType="Drop" dropLines="2" dropStyle="combo" dx="22" fmlaLink="$D$123" fmlaRange="$L$47:$L$48" noThreeD="1" sel="2" val="0"/>
</file>

<file path=xl/ctrlProps/ctrlProp117.xml><?xml version="1.0" encoding="utf-8"?>
<formControlPr xmlns="http://schemas.microsoft.com/office/spreadsheetml/2009/9/main" objectType="Drop" dropLines="2" dropStyle="combo" dx="22" fmlaLink="$D$123" fmlaRange="$L$47:$L$48" noThreeD="1" sel="2" val="0"/>
</file>

<file path=xl/ctrlProps/ctrlProp118.xml><?xml version="1.0" encoding="utf-8"?>
<formControlPr xmlns="http://schemas.microsoft.com/office/spreadsheetml/2009/9/main" objectType="Drop" dropLines="2" dropStyle="combo" dx="22" fmlaLink="$D$125" fmlaRange="$L$47:$L$48" noThreeD="1" sel="2" val="0"/>
</file>

<file path=xl/ctrlProps/ctrlProp119.xml><?xml version="1.0" encoding="utf-8"?>
<formControlPr xmlns="http://schemas.microsoft.com/office/spreadsheetml/2009/9/main" objectType="Drop" dropLines="2" dropStyle="combo" dx="22" fmlaLink="$D$125" fmlaRange="$L$47:$L$48" noThreeD="1" sel="2" val="0"/>
</file>

<file path=xl/ctrlProps/ctrlProp120.xml><?xml version="1.0" encoding="utf-8"?>
<formControlPr xmlns="http://schemas.microsoft.com/office/spreadsheetml/2009/9/main" objectType="Drop" dropLines="2" dropStyle="combo" dx="22" fmlaLink="$D$125" fmlaRange="$L$47:$L$48" noThreeD="1" sel="2" val="0"/>
</file>

<file path=xl/ctrlProps/ctrlProp121.xml><?xml version="1.0" encoding="utf-8"?>
<formControlPr xmlns="http://schemas.microsoft.com/office/spreadsheetml/2009/9/main" objectType="Drop" dropLines="2" dropStyle="combo" dx="22" fmlaLink="$D$126" fmlaRange="$L$47:$L$48" noThreeD="1" sel="2" val="0"/>
</file>

<file path=xl/ctrlProps/ctrlProp122.xml><?xml version="1.0" encoding="utf-8"?>
<formControlPr xmlns="http://schemas.microsoft.com/office/spreadsheetml/2009/9/main" objectType="Drop" dropLines="2" dropStyle="combo" dx="22" fmlaLink="$D$126" fmlaRange="$L$47:$L$48" noThreeD="1" sel="2" val="0"/>
</file>

<file path=xl/ctrlProps/ctrlProp123.xml><?xml version="1.0" encoding="utf-8"?>
<formControlPr xmlns="http://schemas.microsoft.com/office/spreadsheetml/2009/9/main" objectType="Drop" dropLines="2" dropStyle="combo" dx="22" fmlaLink="$D$126" fmlaRange="$L$47:$L$48" noThreeD="1" sel="2" val="0"/>
</file>

<file path=xl/ctrlProps/ctrlProp124.xml><?xml version="1.0" encoding="utf-8"?>
<formControlPr xmlns="http://schemas.microsoft.com/office/spreadsheetml/2009/9/main" objectType="Drop" dropLines="2" dropStyle="combo" dx="22" fmlaLink="$D$127" fmlaRange="$L$47:$L$48" noThreeD="1" sel="2" val="0"/>
</file>

<file path=xl/ctrlProps/ctrlProp125.xml><?xml version="1.0" encoding="utf-8"?>
<formControlPr xmlns="http://schemas.microsoft.com/office/spreadsheetml/2009/9/main" objectType="Drop" dropLines="2" dropStyle="combo" dx="22" fmlaLink="$D$127" fmlaRange="$L$47:$L$48" noThreeD="1" sel="2" val="0"/>
</file>

<file path=xl/ctrlProps/ctrlProp126.xml><?xml version="1.0" encoding="utf-8"?>
<formControlPr xmlns="http://schemas.microsoft.com/office/spreadsheetml/2009/9/main" objectType="Drop" dropLines="2" dropStyle="combo" dx="22" fmlaLink="$D$127" fmlaRange="$L$47:$L$48" noThreeD="1" sel="2" val="0"/>
</file>

<file path=xl/ctrlProps/ctrlProp127.xml><?xml version="1.0" encoding="utf-8"?>
<formControlPr xmlns="http://schemas.microsoft.com/office/spreadsheetml/2009/9/main" objectType="Drop" dropLines="2" dropStyle="combo" dx="22" fmlaLink="$D$157" fmlaRange="$L$47:$L$48" noThreeD="1" sel="2" val="0"/>
</file>

<file path=xl/ctrlProps/ctrlProp128.xml><?xml version="1.0" encoding="utf-8"?>
<formControlPr xmlns="http://schemas.microsoft.com/office/spreadsheetml/2009/9/main" objectType="Drop" dropLines="2" dropStyle="combo" dx="22" fmlaLink="$D$157" fmlaRange="$L$47:$L$48" noThreeD="1" sel="2" val="0"/>
</file>

<file path=xl/ctrlProps/ctrlProp129.xml><?xml version="1.0" encoding="utf-8"?>
<formControlPr xmlns="http://schemas.microsoft.com/office/spreadsheetml/2009/9/main" objectType="Drop" dropLines="2" dropStyle="combo" dx="22" fmlaLink="$D$157" fmlaRange="$L$47:$L$48" noThreeD="1" sel="2" val="0"/>
</file>

<file path=xl/ctrlProps/ctrlProp130.xml><?xml version="1.0" encoding="utf-8"?>
<formControlPr xmlns="http://schemas.microsoft.com/office/spreadsheetml/2009/9/main" objectType="Drop" dropLines="2" dropStyle="combo" dx="22" fmlaLink="$D$158" fmlaRange="$L$47:$L$48" noThreeD="1" sel="2" val="0"/>
</file>

<file path=xl/ctrlProps/ctrlProp131.xml><?xml version="1.0" encoding="utf-8"?>
<formControlPr xmlns="http://schemas.microsoft.com/office/spreadsheetml/2009/9/main" objectType="Drop" dropLines="2" dropStyle="combo" dx="22" fmlaLink="$D$158" fmlaRange="$L$47:$L$48" noThreeD="1" sel="2" val="0"/>
</file>

<file path=xl/ctrlProps/ctrlProp132.xml><?xml version="1.0" encoding="utf-8"?>
<formControlPr xmlns="http://schemas.microsoft.com/office/spreadsheetml/2009/9/main" objectType="Drop" dropLines="2" dropStyle="combo" dx="22" fmlaLink="$D$158" fmlaRange="$L$47:$L$48" noThreeD="1" sel="2" val="0"/>
</file>

<file path=xl/ctrlProps/ctrlProp133.xml><?xml version="1.0" encoding="utf-8"?>
<formControlPr xmlns="http://schemas.microsoft.com/office/spreadsheetml/2009/9/main" objectType="Drop" dropLines="2" dropStyle="combo" dx="22" fmlaLink="$D$160" fmlaRange="$L$47:$L$48" noThreeD="1" sel="2" val="0"/>
</file>

<file path=xl/ctrlProps/ctrlProp134.xml><?xml version="1.0" encoding="utf-8"?>
<formControlPr xmlns="http://schemas.microsoft.com/office/spreadsheetml/2009/9/main" objectType="Drop" dropLines="2" dropStyle="combo" dx="22" fmlaLink="$D$160" fmlaRange="$L$47:$L$48" noThreeD="1" sel="2" val="0"/>
</file>

<file path=xl/ctrlProps/ctrlProp135.xml><?xml version="1.0" encoding="utf-8"?>
<formControlPr xmlns="http://schemas.microsoft.com/office/spreadsheetml/2009/9/main" objectType="Drop" dropLines="2" dropStyle="combo" dx="22" fmlaLink="$D$160" fmlaRange="$L$47:$L$48" noThreeD="1" sel="2" val="0"/>
</file>

<file path=xl/ctrlProps/ctrlProp136.xml><?xml version="1.0" encoding="utf-8"?>
<formControlPr xmlns="http://schemas.microsoft.com/office/spreadsheetml/2009/9/main" objectType="Drop" dropLines="2" dropStyle="combo" dx="22" fmlaLink="$D$161" fmlaRange="$L$47:$L$48" noThreeD="1" sel="2" val="0"/>
</file>

<file path=xl/ctrlProps/ctrlProp137.xml><?xml version="1.0" encoding="utf-8"?>
<formControlPr xmlns="http://schemas.microsoft.com/office/spreadsheetml/2009/9/main" objectType="Drop" dropLines="2" dropStyle="combo" dx="22" fmlaLink="$D$161" fmlaRange="$L$47:$L$48" noThreeD="1" sel="2" val="0"/>
</file>

<file path=xl/ctrlProps/ctrlProp138.xml><?xml version="1.0" encoding="utf-8"?>
<formControlPr xmlns="http://schemas.microsoft.com/office/spreadsheetml/2009/9/main" objectType="Drop" dropLines="2" dropStyle="combo" dx="22" fmlaLink="$D$161" fmlaRange="$L$47:$L$48" noThreeD="1" sel="2" val="0"/>
</file>

<file path=xl/ctrlProps/ctrlProp139.xml><?xml version="1.0" encoding="utf-8"?>
<formControlPr xmlns="http://schemas.microsoft.com/office/spreadsheetml/2009/9/main" objectType="Drop" dropLines="2" dropStyle="combo" dx="22" fmlaLink="$D$162" fmlaRange="$L$47:$L$48" noThreeD="1" sel="2" val="0"/>
</file>

<file path=xl/ctrlProps/ctrlProp140.xml><?xml version="1.0" encoding="utf-8"?>
<formControlPr xmlns="http://schemas.microsoft.com/office/spreadsheetml/2009/9/main" objectType="Drop" dropLines="2" dropStyle="combo" dx="22" fmlaLink="$D$162" fmlaRange="$L$47:$L$48" noThreeD="1" sel="2" val="0"/>
</file>

<file path=xl/ctrlProps/ctrlProp141.xml><?xml version="1.0" encoding="utf-8"?>
<formControlPr xmlns="http://schemas.microsoft.com/office/spreadsheetml/2009/9/main" objectType="Drop" dropLines="2" dropStyle="combo" dx="22" fmlaLink="$D$162" fmlaRange="$L$47:$L$48" noThreeD="1" sel="2" val="0"/>
</file>

<file path=xl/ctrlProps/ctrlProp142.xml><?xml version="1.0" encoding="utf-8"?>
<formControlPr xmlns="http://schemas.microsoft.com/office/spreadsheetml/2009/9/main" objectType="Drop" dropLines="2" dropStyle="combo" dx="22" fmlaLink="$D$192" fmlaRange="$L$47:$L$48" noThreeD="1" sel="2" val="0"/>
</file>

<file path=xl/ctrlProps/ctrlProp143.xml><?xml version="1.0" encoding="utf-8"?>
<formControlPr xmlns="http://schemas.microsoft.com/office/spreadsheetml/2009/9/main" objectType="Drop" dropLines="2" dropStyle="combo" dx="22" fmlaLink="$D$192" fmlaRange="$L$47:$L$48" noThreeD="1" sel="2" val="0"/>
</file>

<file path=xl/ctrlProps/ctrlProp144.xml><?xml version="1.0" encoding="utf-8"?>
<formControlPr xmlns="http://schemas.microsoft.com/office/spreadsheetml/2009/9/main" objectType="Drop" dropLines="2" dropStyle="combo" dx="22" fmlaLink="$D$192" fmlaRange="$L$47:$L$48" noThreeD="1" sel="2" val="0"/>
</file>

<file path=xl/ctrlProps/ctrlProp145.xml><?xml version="1.0" encoding="utf-8"?>
<formControlPr xmlns="http://schemas.microsoft.com/office/spreadsheetml/2009/9/main" objectType="Drop" dropLines="2" dropStyle="combo" dx="22" fmlaLink="$D$193" fmlaRange="$L$47:$L$48" noThreeD="1" sel="2" val="0"/>
</file>

<file path=xl/ctrlProps/ctrlProp146.xml><?xml version="1.0" encoding="utf-8"?>
<formControlPr xmlns="http://schemas.microsoft.com/office/spreadsheetml/2009/9/main" objectType="Drop" dropLines="2" dropStyle="combo" dx="22" fmlaLink="$D$193" fmlaRange="$L$47:$L$48" noThreeD="1" sel="2" val="0"/>
</file>

<file path=xl/ctrlProps/ctrlProp147.xml><?xml version="1.0" encoding="utf-8"?>
<formControlPr xmlns="http://schemas.microsoft.com/office/spreadsheetml/2009/9/main" objectType="Drop" dropLines="2" dropStyle="combo" dx="22" fmlaLink="$D$193" fmlaRange="$L$47:$L$48" noThreeD="1" sel="2" val="0"/>
</file>

<file path=xl/ctrlProps/ctrlProp148.xml><?xml version="1.0" encoding="utf-8"?>
<formControlPr xmlns="http://schemas.microsoft.com/office/spreadsheetml/2009/9/main" objectType="Drop" dropLines="2" dropStyle="combo" dx="22" fmlaLink="$D$195" fmlaRange="$L$47:$L$48" noThreeD="1" sel="2" val="0"/>
</file>

<file path=xl/ctrlProps/ctrlProp149.xml><?xml version="1.0" encoding="utf-8"?>
<formControlPr xmlns="http://schemas.microsoft.com/office/spreadsheetml/2009/9/main" objectType="Drop" dropLines="2" dropStyle="combo" dx="22" fmlaLink="$D$195" fmlaRange="$L$47:$L$48" noThreeD="1" sel="2" val="0"/>
</file>

<file path=xl/ctrlProps/ctrlProp150.xml><?xml version="1.0" encoding="utf-8"?>
<formControlPr xmlns="http://schemas.microsoft.com/office/spreadsheetml/2009/9/main" objectType="Drop" dropLines="2" dropStyle="combo" dx="22" fmlaLink="$D$195" fmlaRange="$L$47:$L$48" noThreeD="1" sel="2" val="0"/>
</file>

<file path=xl/ctrlProps/ctrlProp151.xml><?xml version="1.0" encoding="utf-8"?>
<formControlPr xmlns="http://schemas.microsoft.com/office/spreadsheetml/2009/9/main" objectType="Drop" dropLines="2" dropStyle="combo" dx="22" fmlaLink="$D$196" fmlaRange="$L$47:$L$48" noThreeD="1" sel="2" val="0"/>
</file>

<file path=xl/ctrlProps/ctrlProp152.xml><?xml version="1.0" encoding="utf-8"?>
<formControlPr xmlns="http://schemas.microsoft.com/office/spreadsheetml/2009/9/main" objectType="Drop" dropLines="2" dropStyle="combo" dx="22" fmlaLink="$D$196" fmlaRange="$L$47:$L$48" noThreeD="1" sel="2" val="0"/>
</file>

<file path=xl/ctrlProps/ctrlProp153.xml><?xml version="1.0" encoding="utf-8"?>
<formControlPr xmlns="http://schemas.microsoft.com/office/spreadsheetml/2009/9/main" objectType="Drop" dropLines="2" dropStyle="combo" dx="22" fmlaLink="$D$196" fmlaRange="$L$47:$L$48" noThreeD="1" sel="2" val="0"/>
</file>

<file path=xl/ctrlProps/ctrlProp154.xml><?xml version="1.0" encoding="utf-8"?>
<formControlPr xmlns="http://schemas.microsoft.com/office/spreadsheetml/2009/9/main" objectType="Drop" dropLines="2" dropStyle="combo" dx="22" fmlaLink="$D$197" fmlaRange="$L$47:$L$48" noThreeD="1" sel="2" val="0"/>
</file>

<file path=xl/ctrlProps/ctrlProp155.xml><?xml version="1.0" encoding="utf-8"?>
<formControlPr xmlns="http://schemas.microsoft.com/office/spreadsheetml/2009/9/main" objectType="Drop" dropLines="2" dropStyle="combo" dx="22" fmlaLink="$D$197" fmlaRange="$L$47:$L$48" noThreeD="1" sel="2" val="0"/>
</file>

<file path=xl/ctrlProps/ctrlProp156.xml><?xml version="1.0" encoding="utf-8"?>
<formControlPr xmlns="http://schemas.microsoft.com/office/spreadsheetml/2009/9/main" objectType="Drop" dropLines="2" dropStyle="combo" dx="22" fmlaLink="$D$197" fmlaRange="$L$47:$L$48" noThreeD="1" sel="2" val="0"/>
</file>

<file path=xl/ctrlProps/ctrlProp157.xml><?xml version="1.0" encoding="utf-8"?>
<formControlPr xmlns="http://schemas.microsoft.com/office/spreadsheetml/2009/9/main" objectType="Drop" dropLines="2" dropStyle="combo" dx="22" fmlaLink="$D$52" fmlaRange="$L$47:$L$48" noThreeD="1" sel="1" val="0"/>
</file>

<file path=xl/ctrlProps/ctrlProp158.xml><?xml version="1.0" encoding="utf-8"?>
<formControlPr xmlns="http://schemas.microsoft.com/office/spreadsheetml/2009/9/main" objectType="Drop" dropLines="2" dropStyle="combo" dx="22" fmlaLink="$D$52" fmlaRange="$L$47:$L$48" noThreeD="1" sel="1" val="0"/>
</file>

<file path=xl/ctrlProps/ctrlProp159.xml><?xml version="1.0" encoding="utf-8"?>
<formControlPr xmlns="http://schemas.microsoft.com/office/spreadsheetml/2009/9/main" objectType="Drop" dropLines="2" dropStyle="combo" dx="22" fmlaLink="$D$54" fmlaRange="$L$47:$L$48" noThreeD="1" sel="1" val="0"/>
</file>

<file path=xl/ctrlProps/ctrlProp160.xml><?xml version="1.0" encoding="utf-8"?>
<formControlPr xmlns="http://schemas.microsoft.com/office/spreadsheetml/2009/9/main" objectType="Drop" dropLines="2" dropStyle="combo" dx="22" fmlaLink="$D$54" fmlaRange="$L$47:$L$48" noThreeD="1" sel="1" val="0"/>
</file>

<file path=xl/ctrlProps/ctrlProp161.xml><?xml version="1.0" encoding="utf-8"?>
<formControlPr xmlns="http://schemas.microsoft.com/office/spreadsheetml/2009/9/main" objectType="Drop" dropLines="2" dropStyle="combo" dx="22" fmlaLink="$D$54" fmlaRange="$L$47:$L$48" noThreeD="1" sel="1" val="0"/>
</file>

<file path=xl/ctrlProps/ctrlProp162.xml><?xml version="1.0" encoding="utf-8"?>
<formControlPr xmlns="http://schemas.microsoft.com/office/spreadsheetml/2009/9/main" objectType="Drop" dropLines="2" dropStyle="combo" dx="22" fmlaLink="$D$88" fmlaRange="$L$47:$L$48" noThreeD="1" sel="1" val="0"/>
</file>

<file path=xl/ctrlProps/ctrlProp163.xml><?xml version="1.0" encoding="utf-8"?>
<formControlPr xmlns="http://schemas.microsoft.com/office/spreadsheetml/2009/9/main" objectType="Drop" dropLines="2" dropStyle="combo" dx="22" fmlaLink="$D$88" fmlaRange="$L$47:$L$48" noThreeD="1" sel="1" val="0"/>
</file>

<file path=xl/ctrlProps/ctrlProp164.xml><?xml version="1.0" encoding="utf-8"?>
<formControlPr xmlns="http://schemas.microsoft.com/office/spreadsheetml/2009/9/main" objectType="Drop" dropLines="2" dropStyle="combo" dx="22" fmlaLink="$D$88" fmlaRange="$L$47:$L$48" noThreeD="1" sel="1" val="0"/>
</file>

<file path=xl/ctrlProps/ctrlProp165.xml><?xml version="1.0" encoding="utf-8"?>
<formControlPr xmlns="http://schemas.microsoft.com/office/spreadsheetml/2009/9/main" objectType="Drop" dropLines="2" dropStyle="combo" dx="22" fmlaLink="$D$89" fmlaRange="$L$47:$L$48" noThreeD="1" sel="1" val="0"/>
</file>

<file path=xl/ctrlProps/ctrlProp166.xml><?xml version="1.0" encoding="utf-8"?>
<formControlPr xmlns="http://schemas.microsoft.com/office/spreadsheetml/2009/9/main" objectType="Drop" dropLines="2" dropStyle="combo" dx="22" fmlaLink="$D$89" fmlaRange="$L$47:$L$48" noThreeD="1" sel="1" val="0"/>
</file>

<file path=xl/ctrlProps/ctrlProp167.xml><?xml version="1.0" encoding="utf-8"?>
<formControlPr xmlns="http://schemas.microsoft.com/office/spreadsheetml/2009/9/main" objectType="Drop" dropLines="2" dropStyle="combo" dx="22" fmlaLink="$D$89" fmlaRange="$L$47:$L$48" noThreeD="1" sel="1" val="0"/>
</file>

<file path=xl/ctrlProps/ctrlProp168.xml><?xml version="1.0" encoding="utf-8"?>
<formControlPr xmlns="http://schemas.microsoft.com/office/spreadsheetml/2009/9/main" objectType="Drop" dropLines="2" dropStyle="combo" dx="22" fmlaLink="$D$88" fmlaRange="$L$47:$L$48" noThreeD="1" sel="1" val="0"/>
</file>

<file path=xl/ctrlProps/ctrlProp169.xml><?xml version="1.0" encoding="utf-8"?>
<formControlPr xmlns="http://schemas.microsoft.com/office/spreadsheetml/2009/9/main" objectType="Drop" dropLines="2" dropStyle="combo" dx="22" fmlaLink="$D$88" fmlaRange="$L$47:$L$48" noThreeD="1" sel="1" val="0"/>
</file>

<file path=xl/ctrlProps/ctrlProp170.xml><?xml version="1.0" encoding="utf-8"?>
<formControlPr xmlns="http://schemas.microsoft.com/office/spreadsheetml/2009/9/main" objectType="Drop" dropLines="2" dropStyle="combo" dx="22" fmlaLink="$D$88" fmlaRange="$L$47:$L$48" noThreeD="1" sel="1" val="0"/>
</file>

<file path=xl/ctrlProps/ctrlProp171.xml><?xml version="1.0" encoding="utf-8"?>
<formControlPr xmlns="http://schemas.microsoft.com/office/spreadsheetml/2009/9/main" objectType="Drop" dropLines="2" dropStyle="combo" dx="22" fmlaLink="$D$87" fmlaRange="$L$47:$L$48" noThreeD="1" sel="1" val="0"/>
</file>

<file path=xl/ctrlProps/ctrlProp172.xml><?xml version="1.0" encoding="utf-8"?>
<formControlPr xmlns="http://schemas.microsoft.com/office/spreadsheetml/2009/9/main" objectType="Drop" dropLines="2" dropStyle="combo" dx="22" fmlaLink="$D$87" fmlaRange="$L$47:$L$48" noThreeD="1" sel="1" val="0"/>
</file>

<file path=xl/ctrlProps/ctrlProp173.xml><?xml version="1.0" encoding="utf-8"?>
<formControlPr xmlns="http://schemas.microsoft.com/office/spreadsheetml/2009/9/main" objectType="Drop" dropLines="2" dropStyle="combo" dx="22" fmlaLink="$D$87" fmlaRange="$L$47:$L$48" noThreeD="1" sel="1" val="0"/>
</file>

<file path=xl/ctrlProps/ctrlProp174.xml><?xml version="1.0" encoding="utf-8"?>
<formControlPr xmlns="http://schemas.microsoft.com/office/spreadsheetml/2009/9/main" objectType="Drop" dropLines="2" dropStyle="combo" dx="22" fmlaLink="$D$124" fmlaRange="$L$47:$L$48" noThreeD="1" sel="2" val="0"/>
</file>

<file path=xl/ctrlProps/ctrlProp175.xml><?xml version="1.0" encoding="utf-8"?>
<formControlPr xmlns="http://schemas.microsoft.com/office/spreadsheetml/2009/9/main" objectType="Drop" dropLines="2" dropStyle="combo" dx="22" fmlaLink="$D$124" fmlaRange="$L$47:$L$48" noThreeD="1" sel="2" val="0"/>
</file>

<file path=xl/ctrlProps/ctrlProp176.xml><?xml version="1.0" encoding="utf-8"?>
<formControlPr xmlns="http://schemas.microsoft.com/office/spreadsheetml/2009/9/main" objectType="Drop" dropLines="2" dropStyle="combo" dx="22" fmlaLink="$D$124" fmlaRange="$L$47:$L$48" noThreeD="1" sel="2" val="0"/>
</file>

<file path=xl/ctrlProps/ctrlProp177.xml><?xml version="1.0" encoding="utf-8"?>
<formControlPr xmlns="http://schemas.microsoft.com/office/spreadsheetml/2009/9/main" objectType="Drop" dropLines="2" dropStyle="combo" dx="22" fmlaLink="$D$157" fmlaRange="$L$47:$L$48" noThreeD="1" sel="2" val="0"/>
</file>

<file path=xl/ctrlProps/ctrlProp178.xml><?xml version="1.0" encoding="utf-8"?>
<formControlPr xmlns="http://schemas.microsoft.com/office/spreadsheetml/2009/9/main" objectType="Drop" dropLines="2" dropStyle="combo" dx="22" fmlaLink="$D$157" fmlaRange="$L$47:$L$48" noThreeD="1" sel="2" val="0"/>
</file>

<file path=xl/ctrlProps/ctrlProp179.xml><?xml version="1.0" encoding="utf-8"?>
<formControlPr xmlns="http://schemas.microsoft.com/office/spreadsheetml/2009/9/main" objectType="Drop" dropLines="2" dropStyle="combo" dx="22" fmlaLink="$D$157" fmlaRange="$L$47:$L$48" noThreeD="1" sel="2" val="0"/>
</file>

<file path=xl/ctrlProps/ctrlProp180.xml><?xml version="1.0" encoding="utf-8"?>
<formControlPr xmlns="http://schemas.microsoft.com/office/spreadsheetml/2009/9/main" objectType="Drop" dropLines="2" dropStyle="combo" dx="22" fmlaLink="$D$159" fmlaRange="$L$47:$L$48" noThreeD="1" sel="2" val="0"/>
</file>

<file path=xl/ctrlProps/ctrlProp181.xml><?xml version="1.0" encoding="utf-8"?>
<formControlPr xmlns="http://schemas.microsoft.com/office/spreadsheetml/2009/9/main" objectType="Drop" dropLines="2" dropStyle="combo" dx="22" fmlaLink="$D$159" fmlaRange="$L$47:$L$48" noThreeD="1" sel="2" val="0"/>
</file>

<file path=xl/ctrlProps/ctrlProp182.xml><?xml version="1.0" encoding="utf-8"?>
<formControlPr xmlns="http://schemas.microsoft.com/office/spreadsheetml/2009/9/main" objectType="Drop" dropLines="2" dropStyle="combo" dx="22" fmlaLink="$D$159" fmlaRange="$L$47:$L$48" noThreeD="1" sel="2" val="0"/>
</file>

<file path=xl/ctrlProps/ctrlProp183.xml><?xml version="1.0" encoding="utf-8"?>
<formControlPr xmlns="http://schemas.microsoft.com/office/spreadsheetml/2009/9/main" objectType="Drop" dropLines="2" dropStyle="combo" dx="22" fmlaLink="$D$192" fmlaRange="$L$47:$L$48" noThreeD="1" sel="2" val="0"/>
</file>

<file path=xl/ctrlProps/ctrlProp184.xml><?xml version="1.0" encoding="utf-8"?>
<formControlPr xmlns="http://schemas.microsoft.com/office/spreadsheetml/2009/9/main" objectType="Drop" dropLines="2" dropStyle="combo" dx="22" fmlaLink="$D$192" fmlaRange="$L$47:$L$48" noThreeD="1" sel="2" val="0"/>
</file>

<file path=xl/ctrlProps/ctrlProp185.xml><?xml version="1.0" encoding="utf-8"?>
<formControlPr xmlns="http://schemas.microsoft.com/office/spreadsheetml/2009/9/main" objectType="Drop" dropLines="2" dropStyle="combo" dx="22" fmlaLink="$D$194" fmlaRange="$L$47:$L$48" noThreeD="1" sel="2" val="0"/>
</file>

<file path=xl/ctrlProps/ctrlProp186.xml><?xml version="1.0" encoding="utf-8"?>
<formControlPr xmlns="http://schemas.microsoft.com/office/spreadsheetml/2009/9/main" objectType="Drop" dropLines="2" dropStyle="combo" dx="22" fmlaLink="$D$194" fmlaRange="$L$47:$L$48" noThreeD="1" sel="2" val="0"/>
</file>

<file path=xl/ctrlProps/ctrlProp187.xml><?xml version="1.0" encoding="utf-8"?>
<formControlPr xmlns="http://schemas.microsoft.com/office/spreadsheetml/2009/9/main" objectType="Drop" dropLines="2" dropStyle="combo" dx="22" fmlaLink="$D$194" fmlaRange="$L$47:$L$48" noThreeD="1" sel="2" val="0"/>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876300</xdr:colOff>
      <xdr:row>2</xdr:row>
      <xdr:rowOff>438150</xdr:rowOff>
    </xdr:from>
    <xdr:to>
      <xdr:col>3</xdr:col>
      <xdr:colOff>876300</xdr:colOff>
      <xdr:row>3</xdr:row>
      <xdr:rowOff>0</xdr:rowOff>
    </xdr:to>
    <xdr:sp macro="" textlink="">
      <xdr:nvSpPr>
        <xdr:cNvPr id="3501506" name="Line 107">
          <a:extLst>
            <a:ext uri="{FF2B5EF4-FFF2-40B4-BE49-F238E27FC236}">
              <a16:creationId xmlns:a16="http://schemas.microsoft.com/office/drawing/2014/main" id="{00000000-0008-0000-0300-0000C26D3500}"/>
            </a:ext>
          </a:extLst>
        </xdr:cNvPr>
        <xdr:cNvSpPr>
          <a:spLocks noChangeShapeType="1"/>
        </xdr:cNvSpPr>
      </xdr:nvSpPr>
      <xdr:spPr bwMode="auto">
        <a:xfrm flipH="1">
          <a:off x="4819650" y="2171700"/>
          <a:ext cx="0" cy="219075"/>
        </a:xfrm>
        <a:prstGeom prst="line">
          <a:avLst/>
        </a:prstGeom>
        <a:noFill/>
        <a:ln w="9525">
          <a:solidFill>
            <a:srgbClr val="000000"/>
          </a:solidFill>
          <a:round/>
          <a:headEnd/>
          <a:tailEnd type="triangle" w="med" len="med"/>
        </a:ln>
      </xdr:spPr>
    </xdr:sp>
    <xdr:clientData/>
  </xdr:twoCellAnchor>
  <xdr:twoCellAnchor>
    <xdr:from>
      <xdr:col>5</xdr:col>
      <xdr:colOff>866775</xdr:colOff>
      <xdr:row>2</xdr:row>
      <xdr:rowOff>438150</xdr:rowOff>
    </xdr:from>
    <xdr:to>
      <xdr:col>5</xdr:col>
      <xdr:colOff>866775</xdr:colOff>
      <xdr:row>3</xdr:row>
      <xdr:rowOff>0</xdr:rowOff>
    </xdr:to>
    <xdr:sp macro="" textlink="">
      <xdr:nvSpPr>
        <xdr:cNvPr id="3501507" name="Line 107">
          <a:extLst>
            <a:ext uri="{FF2B5EF4-FFF2-40B4-BE49-F238E27FC236}">
              <a16:creationId xmlns:a16="http://schemas.microsoft.com/office/drawing/2014/main" id="{00000000-0008-0000-0300-0000C36D3500}"/>
            </a:ext>
          </a:extLst>
        </xdr:cNvPr>
        <xdr:cNvSpPr>
          <a:spLocks noChangeShapeType="1"/>
        </xdr:cNvSpPr>
      </xdr:nvSpPr>
      <xdr:spPr bwMode="auto">
        <a:xfrm flipH="1">
          <a:off x="6981825" y="2171700"/>
          <a:ext cx="0" cy="219075"/>
        </a:xfrm>
        <a:prstGeom prst="line">
          <a:avLst/>
        </a:prstGeom>
        <a:noFill/>
        <a:ln w="9525">
          <a:solidFill>
            <a:srgbClr val="000000"/>
          </a:solidFill>
          <a:round/>
          <a:headEnd/>
          <a:tailEnd type="triangle" w="med" len="med"/>
        </a:ln>
      </xdr:spPr>
    </xdr:sp>
    <xdr:clientData/>
  </xdr:twoCellAnchor>
  <xdr:twoCellAnchor>
    <xdr:from>
      <xdr:col>7</xdr:col>
      <xdr:colOff>857250</xdr:colOff>
      <xdr:row>2</xdr:row>
      <xdr:rowOff>438150</xdr:rowOff>
    </xdr:from>
    <xdr:to>
      <xdr:col>7</xdr:col>
      <xdr:colOff>857250</xdr:colOff>
      <xdr:row>3</xdr:row>
      <xdr:rowOff>0</xdr:rowOff>
    </xdr:to>
    <xdr:sp macro="" textlink="">
      <xdr:nvSpPr>
        <xdr:cNvPr id="3501508" name="Line 107">
          <a:extLst>
            <a:ext uri="{FF2B5EF4-FFF2-40B4-BE49-F238E27FC236}">
              <a16:creationId xmlns:a16="http://schemas.microsoft.com/office/drawing/2014/main" id="{00000000-0008-0000-0300-0000C46D3500}"/>
            </a:ext>
          </a:extLst>
        </xdr:cNvPr>
        <xdr:cNvSpPr>
          <a:spLocks noChangeShapeType="1"/>
        </xdr:cNvSpPr>
      </xdr:nvSpPr>
      <xdr:spPr bwMode="auto">
        <a:xfrm flipH="1">
          <a:off x="9144000" y="2171700"/>
          <a:ext cx="0" cy="219075"/>
        </a:xfrm>
        <a:prstGeom prst="line">
          <a:avLst/>
        </a:prstGeom>
        <a:noFill/>
        <a:ln w="9525">
          <a:solidFill>
            <a:srgbClr val="000000"/>
          </a:solidFill>
          <a:round/>
          <a:headEnd/>
          <a:tailEnd type="triangle" w="med" len="med"/>
        </a:ln>
      </xdr:spPr>
    </xdr:sp>
    <xdr:clientData/>
  </xdr:twoCellAnchor>
  <xdr:twoCellAnchor>
    <xdr:from>
      <xdr:col>7</xdr:col>
      <xdr:colOff>1057274</xdr:colOff>
      <xdr:row>43</xdr:row>
      <xdr:rowOff>9525</xdr:rowOff>
    </xdr:from>
    <xdr:to>
      <xdr:col>10</xdr:col>
      <xdr:colOff>228600</xdr:colOff>
      <xdr:row>43</xdr:row>
      <xdr:rowOff>76199</xdr:rowOff>
    </xdr:to>
    <xdr:sp macro="" textlink="">
      <xdr:nvSpPr>
        <xdr:cNvPr id="3501510" name="Line 114">
          <a:extLst>
            <a:ext uri="{FF2B5EF4-FFF2-40B4-BE49-F238E27FC236}">
              <a16:creationId xmlns:a16="http://schemas.microsoft.com/office/drawing/2014/main" id="{00000000-0008-0000-0300-0000C66D3500}"/>
            </a:ext>
          </a:extLst>
        </xdr:cNvPr>
        <xdr:cNvSpPr>
          <a:spLocks noChangeShapeType="1"/>
        </xdr:cNvSpPr>
      </xdr:nvSpPr>
      <xdr:spPr bwMode="auto">
        <a:xfrm flipH="1">
          <a:off x="9782174" y="9344025"/>
          <a:ext cx="1562101" cy="66674"/>
        </a:xfrm>
        <a:prstGeom prst="line">
          <a:avLst/>
        </a:prstGeom>
        <a:noFill/>
        <a:ln w="9525">
          <a:solidFill>
            <a:srgbClr val="000000"/>
          </a:solidFill>
          <a:round/>
          <a:headEnd/>
          <a:tailEnd type="triangle" w="med" len="med"/>
        </a:ln>
      </xdr:spPr>
    </xdr:sp>
    <xdr:clientData/>
  </xdr:twoCellAnchor>
  <xdr:twoCellAnchor>
    <xdr:from>
      <xdr:col>7</xdr:col>
      <xdr:colOff>1162050</xdr:colOff>
      <xdr:row>3</xdr:row>
      <xdr:rowOff>0</xdr:rowOff>
    </xdr:from>
    <xdr:to>
      <xdr:col>10</xdr:col>
      <xdr:colOff>180975</xdr:colOff>
      <xdr:row>6</xdr:row>
      <xdr:rowOff>76200</xdr:rowOff>
    </xdr:to>
    <xdr:sp macro="" textlink="">
      <xdr:nvSpPr>
        <xdr:cNvPr id="3501511" name="Line 114">
          <a:extLst>
            <a:ext uri="{FF2B5EF4-FFF2-40B4-BE49-F238E27FC236}">
              <a16:creationId xmlns:a16="http://schemas.microsoft.com/office/drawing/2014/main" id="{00000000-0008-0000-0300-0000C76D3500}"/>
            </a:ext>
          </a:extLst>
        </xdr:cNvPr>
        <xdr:cNvSpPr>
          <a:spLocks noChangeShapeType="1"/>
        </xdr:cNvSpPr>
      </xdr:nvSpPr>
      <xdr:spPr bwMode="auto">
        <a:xfrm flipH="1">
          <a:off x="9448800" y="3057525"/>
          <a:ext cx="1304925" cy="1257300"/>
        </a:xfrm>
        <a:prstGeom prst="line">
          <a:avLst/>
        </a:prstGeom>
        <a:noFill/>
        <a:ln w="9525">
          <a:solidFill>
            <a:srgbClr val="000000"/>
          </a:solidFill>
          <a:round/>
          <a:headEnd/>
          <a:tailEnd type="triangle" w="med" len="med"/>
        </a:ln>
      </xdr:spPr>
    </xdr:sp>
    <xdr:clientData/>
  </xdr:twoCellAnchor>
  <xdr:twoCellAnchor>
    <xdr:from>
      <xdr:col>10</xdr:col>
      <xdr:colOff>209736</xdr:colOff>
      <xdr:row>25</xdr:row>
      <xdr:rowOff>40527</xdr:rowOff>
    </xdr:from>
    <xdr:to>
      <xdr:col>18</xdr:col>
      <xdr:colOff>57336</xdr:colOff>
      <xdr:row>27</xdr:row>
      <xdr:rowOff>9524</xdr:rowOff>
    </xdr:to>
    <xdr:sp macro="" textlink="">
      <xdr:nvSpPr>
        <xdr:cNvPr id="994320" name="Rectangle 137">
          <a:extLst>
            <a:ext uri="{FF2B5EF4-FFF2-40B4-BE49-F238E27FC236}">
              <a16:creationId xmlns:a16="http://schemas.microsoft.com/office/drawing/2014/main" id="{00000000-0008-0000-0300-0000102C0F00}"/>
            </a:ext>
          </a:extLst>
        </xdr:cNvPr>
        <xdr:cNvSpPr>
          <a:spLocks noChangeArrowheads="1"/>
        </xdr:cNvSpPr>
      </xdr:nvSpPr>
      <xdr:spPr bwMode="auto">
        <a:xfrm>
          <a:off x="11325411" y="4964952"/>
          <a:ext cx="4419600" cy="483347"/>
        </a:xfrm>
        <a:prstGeom prst="rect">
          <a:avLst/>
        </a:prstGeom>
        <a:solidFill>
          <a:srgbClr val="CCFFCC"/>
        </a:solidFill>
        <a:ln w="9525">
          <a:solidFill>
            <a:srgbClr val="000000"/>
          </a:solidFill>
          <a:miter lim="800000"/>
          <a:headEnd/>
          <a:tailEnd/>
        </a:ln>
      </xdr:spPr>
      <xdr:txBody>
        <a:bodyPr vertOverflow="clip" wrap="square" lIns="27432" tIns="22860" rIns="0" bIns="0" anchor="t" upright="1"/>
        <a:lstStyle/>
        <a:p>
          <a:pPr algn="l" rtl="0">
            <a:defRPr sz="1000"/>
          </a:pPr>
          <a:r>
            <a:rPr lang="en-GB" sz="800" b="0" i="0" u="none" strike="noStrike" baseline="0">
              <a:solidFill>
                <a:srgbClr val="000000"/>
              </a:solidFill>
              <a:latin typeface="Arial"/>
              <a:cs typeface="Arial"/>
            </a:rPr>
            <a:t>Note: </a:t>
          </a:r>
          <a:r>
            <a:rPr lang="en-GB" sz="800" b="0" i="0" u="sng" strike="noStrike" baseline="0">
              <a:solidFill>
                <a:srgbClr val="000000"/>
              </a:solidFill>
              <a:latin typeface="Arial"/>
              <a:cs typeface="Arial"/>
            </a:rPr>
            <a:t>Species</a:t>
          </a:r>
          <a:r>
            <a:rPr lang="en-GB" sz="800" b="0" i="0" u="none" strike="noStrike" baseline="0">
              <a:solidFill>
                <a:srgbClr val="000000"/>
              </a:solidFill>
              <a:latin typeface="Arial"/>
              <a:cs typeface="Arial"/>
            </a:rPr>
            <a:t> </a:t>
          </a:r>
        </a:p>
        <a:p>
          <a:pPr algn="l" rtl="0">
            <a:defRPr sz="1000"/>
          </a:pPr>
          <a:r>
            <a:rPr lang="en-GB" sz="800" b="0" i="0" u="none" strike="noStrike" baseline="0">
              <a:solidFill>
                <a:srgbClr val="000000"/>
              </a:solidFill>
              <a:latin typeface="Arial"/>
              <a:cs typeface="Arial"/>
            </a:rPr>
            <a:t>So far only Scots pine and Sitka spruce included. </a:t>
          </a:r>
        </a:p>
      </xdr:txBody>
    </xdr:sp>
    <xdr:clientData/>
  </xdr:twoCellAnchor>
  <xdr:twoCellAnchor>
    <xdr:from>
      <xdr:col>7</xdr:col>
      <xdr:colOff>1390649</xdr:colOff>
      <xdr:row>25</xdr:row>
      <xdr:rowOff>104775</xdr:rowOff>
    </xdr:from>
    <xdr:to>
      <xdr:col>10</xdr:col>
      <xdr:colOff>209550</xdr:colOff>
      <xdr:row>26</xdr:row>
      <xdr:rowOff>9525</xdr:rowOff>
    </xdr:to>
    <xdr:sp macro="" textlink="">
      <xdr:nvSpPr>
        <xdr:cNvPr id="3501513" name="Line 114">
          <a:extLst>
            <a:ext uri="{FF2B5EF4-FFF2-40B4-BE49-F238E27FC236}">
              <a16:creationId xmlns:a16="http://schemas.microsoft.com/office/drawing/2014/main" id="{00000000-0008-0000-0300-0000C96D3500}"/>
            </a:ext>
          </a:extLst>
        </xdr:cNvPr>
        <xdr:cNvSpPr>
          <a:spLocks noChangeShapeType="1"/>
        </xdr:cNvSpPr>
      </xdr:nvSpPr>
      <xdr:spPr bwMode="auto">
        <a:xfrm flipH="1" flipV="1">
          <a:off x="10115549" y="5029200"/>
          <a:ext cx="1209676" cy="161925"/>
        </a:xfrm>
        <a:prstGeom prst="line">
          <a:avLst/>
        </a:prstGeom>
        <a:noFill/>
        <a:ln w="9525">
          <a:solidFill>
            <a:srgbClr val="000000"/>
          </a:solidFill>
          <a:round/>
          <a:headEnd/>
          <a:tailEnd type="triangle" w="med" len="med"/>
        </a:ln>
      </xdr:spPr>
    </xdr:sp>
    <xdr:clientData/>
  </xdr:twoCellAnchor>
  <xdr:twoCellAnchor>
    <xdr:from>
      <xdr:col>10</xdr:col>
      <xdr:colOff>209550</xdr:colOff>
      <xdr:row>1</xdr:row>
      <xdr:rowOff>0</xdr:rowOff>
    </xdr:from>
    <xdr:to>
      <xdr:col>18</xdr:col>
      <xdr:colOff>34925</xdr:colOff>
      <xdr:row>2</xdr:row>
      <xdr:rowOff>330200</xdr:rowOff>
    </xdr:to>
    <xdr:sp macro="" textlink="">
      <xdr:nvSpPr>
        <xdr:cNvPr id="34" name="Rectangle 135">
          <a:extLst>
            <a:ext uri="{FF2B5EF4-FFF2-40B4-BE49-F238E27FC236}">
              <a16:creationId xmlns:a16="http://schemas.microsoft.com/office/drawing/2014/main" id="{00000000-0008-0000-0300-000022000000}"/>
            </a:ext>
          </a:extLst>
        </xdr:cNvPr>
        <xdr:cNvSpPr>
          <a:spLocks noChangeArrowheads="1"/>
        </xdr:cNvSpPr>
      </xdr:nvSpPr>
      <xdr:spPr bwMode="auto">
        <a:xfrm>
          <a:off x="11325225" y="1416050"/>
          <a:ext cx="4397375" cy="514350"/>
        </a:xfrm>
        <a:prstGeom prst="rect">
          <a:avLst/>
        </a:prstGeom>
        <a:solidFill>
          <a:srgbClr val="CCFFCC"/>
        </a:solidFill>
        <a:ln w="9525">
          <a:solidFill>
            <a:srgbClr val="000000"/>
          </a:solidFill>
          <a:miter lim="800000"/>
          <a:headEnd/>
          <a:tailEnd/>
        </a:ln>
      </xdr:spPr>
      <xdr:txBody>
        <a:bodyPr vertOverflow="clip" wrap="square" lIns="27432" tIns="22860" rIns="0" bIns="0" anchor="t" upright="1"/>
        <a:lstStyle/>
        <a:p>
          <a:pPr algn="l" rtl="0">
            <a:defRPr sz="1000"/>
          </a:pPr>
          <a:r>
            <a:rPr lang="en-GB" sz="800" b="0" i="0" strike="noStrike">
              <a:solidFill>
                <a:srgbClr val="000000"/>
              </a:solidFill>
              <a:latin typeface="Arial"/>
              <a:cs typeface="Arial"/>
            </a:rPr>
            <a:t>Note: </a:t>
          </a:r>
          <a:r>
            <a:rPr lang="en-GB" sz="800" b="0" i="0" u="sng" strike="noStrike">
              <a:solidFill>
                <a:srgbClr val="000000"/>
              </a:solidFill>
              <a:latin typeface="Arial"/>
              <a:cs typeface="Arial"/>
            </a:rPr>
            <a:t>Emissions from felling and timber removal</a:t>
          </a:r>
          <a:r>
            <a:rPr lang="en-GB" sz="800" b="0" i="0" strike="noStrike">
              <a:solidFill>
                <a:srgbClr val="000000"/>
              </a:solidFill>
              <a:latin typeface="Arial"/>
              <a:cs typeface="Arial"/>
            </a:rPr>
            <a:t>. CARLY REF FOR NEW HARVESTING</a:t>
          </a:r>
          <a:r>
            <a:rPr lang="en-GB" sz="800" b="0" i="0" strike="noStrike" baseline="0">
              <a:solidFill>
                <a:srgbClr val="000000"/>
              </a:solidFill>
              <a:latin typeface="Arial"/>
              <a:cs typeface="Arial"/>
            </a:rPr>
            <a:t> EMISSIONS FACTOR</a:t>
          </a:r>
          <a:endParaRPr lang="en-GB" sz="800" b="0" i="0" strike="noStrike">
            <a:solidFill>
              <a:srgbClr val="000000"/>
            </a:solidFill>
            <a:latin typeface="Arial"/>
            <a:cs typeface="Arial"/>
          </a:endParaRPr>
        </a:p>
      </xdr:txBody>
    </xdr:sp>
    <xdr:clientData/>
  </xdr:twoCellAnchor>
  <xdr:twoCellAnchor>
    <xdr:from>
      <xdr:col>7</xdr:col>
      <xdr:colOff>1095375</xdr:colOff>
      <xdr:row>3</xdr:row>
      <xdr:rowOff>0</xdr:rowOff>
    </xdr:from>
    <xdr:to>
      <xdr:col>10</xdr:col>
      <xdr:colOff>190500</xdr:colOff>
      <xdr:row>5</xdr:row>
      <xdr:rowOff>85725</xdr:rowOff>
    </xdr:to>
    <xdr:sp macro="" textlink="">
      <xdr:nvSpPr>
        <xdr:cNvPr id="3501519" name="Line 114">
          <a:extLst>
            <a:ext uri="{FF2B5EF4-FFF2-40B4-BE49-F238E27FC236}">
              <a16:creationId xmlns:a16="http://schemas.microsoft.com/office/drawing/2014/main" id="{00000000-0008-0000-0300-0000CF6D3500}"/>
            </a:ext>
          </a:extLst>
        </xdr:cNvPr>
        <xdr:cNvSpPr>
          <a:spLocks noChangeShapeType="1"/>
        </xdr:cNvSpPr>
      </xdr:nvSpPr>
      <xdr:spPr bwMode="auto">
        <a:xfrm flipH="1">
          <a:off x="9382125" y="2552700"/>
          <a:ext cx="1381125" cy="1571625"/>
        </a:xfrm>
        <a:prstGeom prst="line">
          <a:avLst/>
        </a:prstGeom>
        <a:noFill/>
        <a:ln w="9525">
          <a:solidFill>
            <a:srgbClr val="000000"/>
          </a:solidFill>
          <a:round/>
          <a:headEnd/>
          <a:tailEnd type="triangle" w="med" len="med"/>
        </a:ln>
      </xdr:spPr>
    </xdr:sp>
    <xdr:clientData/>
  </xdr:twoCellAnchor>
  <xdr:twoCellAnchor>
    <xdr:from>
      <xdr:col>10</xdr:col>
      <xdr:colOff>228599</xdr:colOff>
      <xdr:row>38</xdr:row>
      <xdr:rowOff>82550</xdr:rowOff>
    </xdr:from>
    <xdr:to>
      <xdr:col>18</xdr:col>
      <xdr:colOff>66674</xdr:colOff>
      <xdr:row>40</xdr:row>
      <xdr:rowOff>63500</xdr:rowOff>
    </xdr:to>
    <xdr:sp macro="" textlink="">
      <xdr:nvSpPr>
        <xdr:cNvPr id="37" name="Rectangle 137">
          <a:extLst>
            <a:ext uri="{FF2B5EF4-FFF2-40B4-BE49-F238E27FC236}">
              <a16:creationId xmlns:a16="http://schemas.microsoft.com/office/drawing/2014/main" id="{00000000-0008-0000-0300-000025000000}"/>
            </a:ext>
          </a:extLst>
        </xdr:cNvPr>
        <xdr:cNvSpPr>
          <a:spLocks noChangeArrowheads="1"/>
        </xdr:cNvSpPr>
      </xdr:nvSpPr>
      <xdr:spPr bwMode="auto">
        <a:xfrm>
          <a:off x="11344274" y="8340725"/>
          <a:ext cx="4410075" cy="476250"/>
        </a:xfrm>
        <a:prstGeom prst="rect">
          <a:avLst/>
        </a:prstGeom>
        <a:solidFill>
          <a:srgbClr val="CCFFCC"/>
        </a:solidFill>
        <a:ln w="9525">
          <a:solidFill>
            <a:srgbClr val="000000"/>
          </a:solidFill>
          <a:miter lim="800000"/>
          <a:headEnd/>
          <a:tailEnd/>
        </a:ln>
      </xdr:spPr>
      <xdr:txBody>
        <a:bodyPr vertOverflow="clip" wrap="square" lIns="27432" tIns="22860" rIns="0" bIns="0" anchor="t" upright="1"/>
        <a:lstStyle/>
        <a:p>
          <a:pPr algn="l" rtl="0">
            <a:defRPr sz="1000"/>
          </a:pPr>
          <a:r>
            <a:rPr lang="en-GB" sz="800" b="0" i="0" u="none" strike="noStrike" baseline="0">
              <a:solidFill>
                <a:srgbClr val="000000"/>
              </a:solidFill>
              <a:latin typeface="Arial"/>
              <a:cs typeface="Arial"/>
            </a:rPr>
            <a:t>Note: </a:t>
          </a:r>
          <a:r>
            <a:rPr lang="en-GB" sz="800" b="0" i="0" u="sng" strike="noStrike" baseline="0">
              <a:solidFill>
                <a:srgbClr val="000000"/>
              </a:solidFill>
              <a:latin typeface="Arial"/>
              <a:cs typeface="Arial"/>
            </a:rPr>
            <a:t>Value of felled forestry</a:t>
          </a:r>
          <a:r>
            <a:rPr lang="en-GB" sz="800" b="0" i="0" u="none" strike="noStrike" baseline="0">
              <a:solidFill>
                <a:srgbClr val="000000"/>
              </a:solidFill>
              <a:latin typeface="Arial"/>
              <a:cs typeface="Arial"/>
            </a:rPr>
            <a:t> Values available in Mason et al., 2009.</a:t>
          </a:r>
        </a:p>
      </xdr:txBody>
    </xdr:sp>
    <xdr:clientData/>
  </xdr:twoCellAnchor>
  <xdr:twoCellAnchor>
    <xdr:from>
      <xdr:col>7</xdr:col>
      <xdr:colOff>1155699</xdr:colOff>
      <xdr:row>39</xdr:row>
      <xdr:rowOff>95250</xdr:rowOff>
    </xdr:from>
    <xdr:to>
      <xdr:col>10</xdr:col>
      <xdr:colOff>247650</xdr:colOff>
      <xdr:row>42</xdr:row>
      <xdr:rowOff>101600</xdr:rowOff>
    </xdr:to>
    <xdr:sp macro="" textlink="">
      <xdr:nvSpPr>
        <xdr:cNvPr id="3501521" name="Line 114">
          <a:extLst>
            <a:ext uri="{FF2B5EF4-FFF2-40B4-BE49-F238E27FC236}">
              <a16:creationId xmlns:a16="http://schemas.microsoft.com/office/drawing/2014/main" id="{00000000-0008-0000-0300-0000D16D3500}"/>
            </a:ext>
          </a:extLst>
        </xdr:cNvPr>
        <xdr:cNvSpPr>
          <a:spLocks noChangeShapeType="1"/>
        </xdr:cNvSpPr>
      </xdr:nvSpPr>
      <xdr:spPr bwMode="auto">
        <a:xfrm flipH="1">
          <a:off x="9880599" y="8601075"/>
          <a:ext cx="1482726" cy="654050"/>
        </a:xfrm>
        <a:prstGeom prst="line">
          <a:avLst/>
        </a:prstGeom>
        <a:noFill/>
        <a:ln w="9525">
          <a:solidFill>
            <a:srgbClr val="000000"/>
          </a:solidFill>
          <a:round/>
          <a:headEnd/>
          <a:tailEnd type="triangle" w="med" len="med"/>
        </a:ln>
      </xdr:spPr>
    </xdr:sp>
    <xdr:clientData/>
  </xdr:twoCellAnchor>
  <xdr:twoCellAnchor>
    <xdr:from>
      <xdr:col>10</xdr:col>
      <xdr:colOff>225425</xdr:colOff>
      <xdr:row>40</xdr:row>
      <xdr:rowOff>142874</xdr:rowOff>
    </xdr:from>
    <xdr:to>
      <xdr:col>18</xdr:col>
      <xdr:colOff>73025</xdr:colOff>
      <xdr:row>45</xdr:row>
      <xdr:rowOff>183216</xdr:rowOff>
    </xdr:to>
    <xdr:sp macro="" textlink="">
      <xdr:nvSpPr>
        <xdr:cNvPr id="28" name="Rectangle 148">
          <a:extLst>
            <a:ext uri="{FF2B5EF4-FFF2-40B4-BE49-F238E27FC236}">
              <a16:creationId xmlns:a16="http://schemas.microsoft.com/office/drawing/2014/main" id="{00000000-0008-0000-0300-00001C000000}"/>
            </a:ext>
          </a:extLst>
        </xdr:cNvPr>
        <xdr:cNvSpPr>
          <a:spLocks noChangeArrowheads="1"/>
        </xdr:cNvSpPr>
      </xdr:nvSpPr>
      <xdr:spPr bwMode="auto">
        <a:xfrm>
          <a:off x="11341100" y="8896349"/>
          <a:ext cx="4419600" cy="945217"/>
        </a:xfrm>
        <a:prstGeom prst="rect">
          <a:avLst/>
        </a:prstGeom>
        <a:solidFill>
          <a:srgbClr val="CCFFCC"/>
        </a:solidFill>
        <a:ln w="9525">
          <a:solidFill>
            <a:srgbClr val="000000"/>
          </a:solidFill>
          <a:miter lim="800000"/>
          <a:headEnd/>
          <a:tailEnd/>
        </a:ln>
      </xdr:spPr>
      <xdr:txBody>
        <a:bodyPr vertOverflow="clip" wrap="square" lIns="27432" tIns="22860" rIns="0" bIns="0" anchor="t" upright="1"/>
        <a:lstStyle/>
        <a:p>
          <a:pPr algn="l" rtl="0">
            <a:defRPr sz="1000"/>
          </a:pPr>
          <a:r>
            <a:rPr lang="en-GB" sz="800" b="0" i="0" strike="noStrike">
              <a:solidFill>
                <a:srgbClr val="000000"/>
              </a:solidFill>
              <a:latin typeface="Arial"/>
              <a:cs typeface="Arial"/>
            </a:rPr>
            <a:t>Note: </a:t>
          </a:r>
          <a:r>
            <a:rPr lang="en-GB" sz="800" b="0" i="0" u="sng" strike="noStrike">
              <a:solidFill>
                <a:srgbClr val="000000"/>
              </a:solidFill>
              <a:latin typeface="Arial"/>
              <a:cs typeface="Arial"/>
            </a:rPr>
            <a:t>Carbon : Biomass ratio of felled forestry</a:t>
          </a:r>
          <a:r>
            <a:rPr lang="en-GB" sz="800" b="0" i="0" u="none" strike="noStrike">
              <a:solidFill>
                <a:srgbClr val="000000"/>
              </a:solidFill>
              <a:latin typeface="Arial"/>
              <a:cs typeface="Arial"/>
            </a:rPr>
            <a:t> </a:t>
          </a:r>
          <a:r>
            <a:rPr lang="en-GB" sz="1000">
              <a:latin typeface="+mn-lt"/>
              <a:ea typeface="+mn-ea"/>
              <a:cs typeface="+mn-cs"/>
            </a:rPr>
            <a:t>Wood biomass can be converted to dry weight using wood density based values from Lavers (1983) with a subsequent assumption that C:dry matter ratio is 50% (Matthews 1993). For simplicity an integrated factor, the ‘wood density to biomass factor’ taken from Mason et al (2009) can be used.</a:t>
          </a:r>
        </a:p>
        <a:p>
          <a:pPr algn="l" rtl="0">
            <a:defRPr sz="1000"/>
          </a:pPr>
          <a:r>
            <a:rPr lang="en-GB" sz="1000" b="0" i="0" strike="noStrike">
              <a:solidFill>
                <a:srgbClr val="000000"/>
              </a:solidFill>
              <a:latin typeface="+mn-lt"/>
              <a:ea typeface="+mn-ea"/>
              <a:cs typeface="+mn-cs"/>
            </a:rPr>
            <a:t>Value = 0.5</a:t>
          </a:r>
          <a:endParaRPr lang="en-GB" sz="800" b="0" i="0" strike="noStrike">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393700</xdr:colOff>
          <xdr:row>25</xdr:row>
          <xdr:rowOff>0</xdr:rowOff>
        </xdr:from>
        <xdr:to>
          <xdr:col>3</xdr:col>
          <xdr:colOff>1085850</xdr:colOff>
          <xdr:row>25</xdr:row>
          <xdr:rowOff>152400</xdr:rowOff>
        </xdr:to>
        <xdr:sp macro="" textlink="">
          <xdr:nvSpPr>
            <xdr:cNvPr id="765990" name="Drop Down 38" hidden="1">
              <a:extLst>
                <a:ext uri="{63B3BB69-23CF-44E3-9099-C40C66FF867C}">
                  <a14:compatExt spid="_x0000_s765990"/>
                </a:ext>
                <a:ext uri="{FF2B5EF4-FFF2-40B4-BE49-F238E27FC236}">
                  <a16:creationId xmlns:a16="http://schemas.microsoft.com/office/drawing/2014/main" id="{00000000-0008-0000-0000-000026B00B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25</xdr:row>
          <xdr:rowOff>0</xdr:rowOff>
        </xdr:from>
        <xdr:to>
          <xdr:col>5</xdr:col>
          <xdr:colOff>1085850</xdr:colOff>
          <xdr:row>25</xdr:row>
          <xdr:rowOff>152400</xdr:rowOff>
        </xdr:to>
        <xdr:sp macro="" textlink="">
          <xdr:nvSpPr>
            <xdr:cNvPr id="766962" name="Drop Down 1010" hidden="1">
              <a:extLst>
                <a:ext uri="{63B3BB69-23CF-44E3-9099-C40C66FF867C}">
                  <a14:compatExt spid="_x0000_s766962"/>
                </a:ext>
                <a:ext uri="{FF2B5EF4-FFF2-40B4-BE49-F238E27FC236}">
                  <a16:creationId xmlns:a16="http://schemas.microsoft.com/office/drawing/2014/main" id="{00000000-0008-0000-0000-0000F2B30B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25</xdr:row>
          <xdr:rowOff>0</xdr:rowOff>
        </xdr:from>
        <xdr:to>
          <xdr:col>7</xdr:col>
          <xdr:colOff>1085850</xdr:colOff>
          <xdr:row>25</xdr:row>
          <xdr:rowOff>152400</xdr:rowOff>
        </xdr:to>
        <xdr:sp macro="" textlink="">
          <xdr:nvSpPr>
            <xdr:cNvPr id="766963" name="Drop Down 1011" hidden="1">
              <a:extLst>
                <a:ext uri="{63B3BB69-23CF-44E3-9099-C40C66FF867C}">
                  <a14:compatExt spid="_x0000_s766963"/>
                </a:ext>
                <a:ext uri="{FF2B5EF4-FFF2-40B4-BE49-F238E27FC236}">
                  <a16:creationId xmlns:a16="http://schemas.microsoft.com/office/drawing/2014/main" id="{00000000-0008-0000-0000-0000F3B30B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393700</xdr:colOff>
          <xdr:row>60</xdr:row>
          <xdr:rowOff>0</xdr:rowOff>
        </xdr:from>
        <xdr:to>
          <xdr:col>3</xdr:col>
          <xdr:colOff>1085850</xdr:colOff>
          <xdr:row>60</xdr:row>
          <xdr:rowOff>152400</xdr:rowOff>
        </xdr:to>
        <xdr:sp macro="" textlink="">
          <xdr:nvSpPr>
            <xdr:cNvPr id="2606487" name="Drop Down 3479" hidden="1">
              <a:extLst>
                <a:ext uri="{63B3BB69-23CF-44E3-9099-C40C66FF867C}">
                  <a14:compatExt spid="_x0000_s2606487"/>
                </a:ext>
                <a:ext uri="{FF2B5EF4-FFF2-40B4-BE49-F238E27FC236}">
                  <a16:creationId xmlns:a16="http://schemas.microsoft.com/office/drawing/2014/main" id="{00000000-0008-0000-0000-000097C5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60</xdr:row>
          <xdr:rowOff>0</xdr:rowOff>
        </xdr:from>
        <xdr:to>
          <xdr:col>5</xdr:col>
          <xdr:colOff>1085850</xdr:colOff>
          <xdr:row>60</xdr:row>
          <xdr:rowOff>152400</xdr:rowOff>
        </xdr:to>
        <xdr:sp macro="" textlink="">
          <xdr:nvSpPr>
            <xdr:cNvPr id="2606492" name="Drop Down 3484" hidden="1">
              <a:extLst>
                <a:ext uri="{63B3BB69-23CF-44E3-9099-C40C66FF867C}">
                  <a14:compatExt spid="_x0000_s2606492"/>
                </a:ext>
                <a:ext uri="{FF2B5EF4-FFF2-40B4-BE49-F238E27FC236}">
                  <a16:creationId xmlns:a16="http://schemas.microsoft.com/office/drawing/2014/main" id="{00000000-0008-0000-0000-00009CC5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60</xdr:row>
          <xdr:rowOff>0</xdr:rowOff>
        </xdr:from>
        <xdr:to>
          <xdr:col>7</xdr:col>
          <xdr:colOff>1085850</xdr:colOff>
          <xdr:row>60</xdr:row>
          <xdr:rowOff>152400</xdr:rowOff>
        </xdr:to>
        <xdr:sp macro="" textlink="">
          <xdr:nvSpPr>
            <xdr:cNvPr id="2606493" name="Drop Down 3485" hidden="1">
              <a:extLst>
                <a:ext uri="{63B3BB69-23CF-44E3-9099-C40C66FF867C}">
                  <a14:compatExt spid="_x0000_s2606493"/>
                </a:ext>
                <a:ext uri="{FF2B5EF4-FFF2-40B4-BE49-F238E27FC236}">
                  <a16:creationId xmlns:a16="http://schemas.microsoft.com/office/drawing/2014/main" id="{00000000-0008-0000-0000-00009DC5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393700</xdr:colOff>
          <xdr:row>95</xdr:row>
          <xdr:rowOff>0</xdr:rowOff>
        </xdr:from>
        <xdr:to>
          <xdr:col>3</xdr:col>
          <xdr:colOff>1085850</xdr:colOff>
          <xdr:row>95</xdr:row>
          <xdr:rowOff>152400</xdr:rowOff>
        </xdr:to>
        <xdr:sp macro="" textlink="">
          <xdr:nvSpPr>
            <xdr:cNvPr id="2606499" name="Drop Down 3491" hidden="1">
              <a:extLst>
                <a:ext uri="{63B3BB69-23CF-44E3-9099-C40C66FF867C}">
                  <a14:compatExt spid="_x0000_s2606499"/>
                </a:ext>
                <a:ext uri="{FF2B5EF4-FFF2-40B4-BE49-F238E27FC236}">
                  <a16:creationId xmlns:a16="http://schemas.microsoft.com/office/drawing/2014/main" id="{00000000-0008-0000-0000-0000A3C5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95</xdr:row>
          <xdr:rowOff>0</xdr:rowOff>
        </xdr:from>
        <xdr:to>
          <xdr:col>5</xdr:col>
          <xdr:colOff>1085850</xdr:colOff>
          <xdr:row>95</xdr:row>
          <xdr:rowOff>152400</xdr:rowOff>
        </xdr:to>
        <xdr:sp macro="" textlink="">
          <xdr:nvSpPr>
            <xdr:cNvPr id="2606504" name="Drop Down 3496" hidden="1">
              <a:extLst>
                <a:ext uri="{63B3BB69-23CF-44E3-9099-C40C66FF867C}">
                  <a14:compatExt spid="_x0000_s2606504"/>
                </a:ext>
                <a:ext uri="{FF2B5EF4-FFF2-40B4-BE49-F238E27FC236}">
                  <a16:creationId xmlns:a16="http://schemas.microsoft.com/office/drawing/2014/main" id="{00000000-0008-0000-0000-0000A8C5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95</xdr:row>
          <xdr:rowOff>0</xdr:rowOff>
        </xdr:from>
        <xdr:to>
          <xdr:col>7</xdr:col>
          <xdr:colOff>1085850</xdr:colOff>
          <xdr:row>95</xdr:row>
          <xdr:rowOff>152400</xdr:rowOff>
        </xdr:to>
        <xdr:sp macro="" textlink="">
          <xdr:nvSpPr>
            <xdr:cNvPr id="2606505" name="Drop Down 3497" hidden="1">
              <a:extLst>
                <a:ext uri="{63B3BB69-23CF-44E3-9099-C40C66FF867C}">
                  <a14:compatExt spid="_x0000_s2606505"/>
                </a:ext>
                <a:ext uri="{FF2B5EF4-FFF2-40B4-BE49-F238E27FC236}">
                  <a16:creationId xmlns:a16="http://schemas.microsoft.com/office/drawing/2014/main" id="{00000000-0008-0000-0000-0000A9C5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393700</xdr:colOff>
          <xdr:row>95</xdr:row>
          <xdr:rowOff>0</xdr:rowOff>
        </xdr:from>
        <xdr:to>
          <xdr:col>3</xdr:col>
          <xdr:colOff>1085850</xdr:colOff>
          <xdr:row>95</xdr:row>
          <xdr:rowOff>152400</xdr:rowOff>
        </xdr:to>
        <xdr:sp macro="" textlink="">
          <xdr:nvSpPr>
            <xdr:cNvPr id="2606511" name="Drop Down 3503" hidden="1">
              <a:extLst>
                <a:ext uri="{63B3BB69-23CF-44E3-9099-C40C66FF867C}">
                  <a14:compatExt spid="_x0000_s2606511"/>
                </a:ext>
                <a:ext uri="{FF2B5EF4-FFF2-40B4-BE49-F238E27FC236}">
                  <a16:creationId xmlns:a16="http://schemas.microsoft.com/office/drawing/2014/main" id="{00000000-0008-0000-0000-0000AFC5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95</xdr:row>
          <xdr:rowOff>0</xdr:rowOff>
        </xdr:from>
        <xdr:to>
          <xdr:col>5</xdr:col>
          <xdr:colOff>1085850</xdr:colOff>
          <xdr:row>95</xdr:row>
          <xdr:rowOff>152400</xdr:rowOff>
        </xdr:to>
        <xdr:sp macro="" textlink="">
          <xdr:nvSpPr>
            <xdr:cNvPr id="2606516" name="Drop Down 3508" hidden="1">
              <a:extLst>
                <a:ext uri="{63B3BB69-23CF-44E3-9099-C40C66FF867C}">
                  <a14:compatExt spid="_x0000_s2606516"/>
                </a:ext>
                <a:ext uri="{FF2B5EF4-FFF2-40B4-BE49-F238E27FC236}">
                  <a16:creationId xmlns:a16="http://schemas.microsoft.com/office/drawing/2014/main" id="{00000000-0008-0000-0000-0000B4C5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95</xdr:row>
          <xdr:rowOff>0</xdr:rowOff>
        </xdr:from>
        <xdr:to>
          <xdr:col>7</xdr:col>
          <xdr:colOff>1085850</xdr:colOff>
          <xdr:row>95</xdr:row>
          <xdr:rowOff>152400</xdr:rowOff>
        </xdr:to>
        <xdr:sp macro="" textlink="">
          <xdr:nvSpPr>
            <xdr:cNvPr id="2606517" name="Drop Down 3509" hidden="1">
              <a:extLst>
                <a:ext uri="{63B3BB69-23CF-44E3-9099-C40C66FF867C}">
                  <a14:compatExt spid="_x0000_s2606517"/>
                </a:ext>
                <a:ext uri="{FF2B5EF4-FFF2-40B4-BE49-F238E27FC236}">
                  <a16:creationId xmlns:a16="http://schemas.microsoft.com/office/drawing/2014/main" id="{00000000-0008-0000-0000-0000B5C5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393700</xdr:colOff>
          <xdr:row>130</xdr:row>
          <xdr:rowOff>0</xdr:rowOff>
        </xdr:from>
        <xdr:to>
          <xdr:col>3</xdr:col>
          <xdr:colOff>1085850</xdr:colOff>
          <xdr:row>130</xdr:row>
          <xdr:rowOff>152400</xdr:rowOff>
        </xdr:to>
        <xdr:sp macro="" textlink="">
          <xdr:nvSpPr>
            <xdr:cNvPr id="2606523" name="Drop Down 3515" hidden="1">
              <a:extLst>
                <a:ext uri="{63B3BB69-23CF-44E3-9099-C40C66FF867C}">
                  <a14:compatExt spid="_x0000_s2606523"/>
                </a:ext>
                <a:ext uri="{FF2B5EF4-FFF2-40B4-BE49-F238E27FC236}">
                  <a16:creationId xmlns:a16="http://schemas.microsoft.com/office/drawing/2014/main" id="{00000000-0008-0000-0000-0000BBC5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130</xdr:row>
          <xdr:rowOff>0</xdr:rowOff>
        </xdr:from>
        <xdr:to>
          <xdr:col>5</xdr:col>
          <xdr:colOff>1085850</xdr:colOff>
          <xdr:row>130</xdr:row>
          <xdr:rowOff>152400</xdr:rowOff>
        </xdr:to>
        <xdr:sp macro="" textlink="">
          <xdr:nvSpPr>
            <xdr:cNvPr id="2606528" name="Drop Down 3520" hidden="1">
              <a:extLst>
                <a:ext uri="{63B3BB69-23CF-44E3-9099-C40C66FF867C}">
                  <a14:compatExt spid="_x0000_s2606528"/>
                </a:ext>
                <a:ext uri="{FF2B5EF4-FFF2-40B4-BE49-F238E27FC236}">
                  <a16:creationId xmlns:a16="http://schemas.microsoft.com/office/drawing/2014/main" id="{00000000-0008-0000-0000-0000C0C5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130</xdr:row>
          <xdr:rowOff>0</xdr:rowOff>
        </xdr:from>
        <xdr:to>
          <xdr:col>7</xdr:col>
          <xdr:colOff>1085850</xdr:colOff>
          <xdr:row>130</xdr:row>
          <xdr:rowOff>152400</xdr:rowOff>
        </xdr:to>
        <xdr:sp macro="" textlink="">
          <xdr:nvSpPr>
            <xdr:cNvPr id="2606529" name="Drop Down 3521" hidden="1">
              <a:extLst>
                <a:ext uri="{63B3BB69-23CF-44E3-9099-C40C66FF867C}">
                  <a14:compatExt spid="_x0000_s2606529"/>
                </a:ext>
                <a:ext uri="{FF2B5EF4-FFF2-40B4-BE49-F238E27FC236}">
                  <a16:creationId xmlns:a16="http://schemas.microsoft.com/office/drawing/2014/main" id="{00000000-0008-0000-0000-0000C1C5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393700</xdr:colOff>
          <xdr:row>130</xdr:row>
          <xdr:rowOff>0</xdr:rowOff>
        </xdr:from>
        <xdr:to>
          <xdr:col>3</xdr:col>
          <xdr:colOff>1085850</xdr:colOff>
          <xdr:row>130</xdr:row>
          <xdr:rowOff>152400</xdr:rowOff>
        </xdr:to>
        <xdr:sp macro="" textlink="">
          <xdr:nvSpPr>
            <xdr:cNvPr id="2606535" name="Drop Down 3527" hidden="1">
              <a:extLst>
                <a:ext uri="{63B3BB69-23CF-44E3-9099-C40C66FF867C}">
                  <a14:compatExt spid="_x0000_s2606535"/>
                </a:ext>
                <a:ext uri="{FF2B5EF4-FFF2-40B4-BE49-F238E27FC236}">
                  <a16:creationId xmlns:a16="http://schemas.microsoft.com/office/drawing/2014/main" id="{00000000-0008-0000-0000-0000C7C5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130</xdr:row>
          <xdr:rowOff>0</xdr:rowOff>
        </xdr:from>
        <xdr:to>
          <xdr:col>5</xdr:col>
          <xdr:colOff>1085850</xdr:colOff>
          <xdr:row>130</xdr:row>
          <xdr:rowOff>152400</xdr:rowOff>
        </xdr:to>
        <xdr:sp macro="" textlink="">
          <xdr:nvSpPr>
            <xdr:cNvPr id="2606540" name="Drop Down 3532" hidden="1">
              <a:extLst>
                <a:ext uri="{63B3BB69-23CF-44E3-9099-C40C66FF867C}">
                  <a14:compatExt spid="_x0000_s2606540"/>
                </a:ext>
                <a:ext uri="{FF2B5EF4-FFF2-40B4-BE49-F238E27FC236}">
                  <a16:creationId xmlns:a16="http://schemas.microsoft.com/office/drawing/2014/main" id="{00000000-0008-0000-0000-0000CCC5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130</xdr:row>
          <xdr:rowOff>0</xdr:rowOff>
        </xdr:from>
        <xdr:to>
          <xdr:col>7</xdr:col>
          <xdr:colOff>1085850</xdr:colOff>
          <xdr:row>130</xdr:row>
          <xdr:rowOff>152400</xdr:rowOff>
        </xdr:to>
        <xdr:sp macro="" textlink="">
          <xdr:nvSpPr>
            <xdr:cNvPr id="2606541" name="Drop Down 3533" hidden="1">
              <a:extLst>
                <a:ext uri="{63B3BB69-23CF-44E3-9099-C40C66FF867C}">
                  <a14:compatExt spid="_x0000_s2606541"/>
                </a:ext>
                <a:ext uri="{FF2B5EF4-FFF2-40B4-BE49-F238E27FC236}">
                  <a16:creationId xmlns:a16="http://schemas.microsoft.com/office/drawing/2014/main" id="{00000000-0008-0000-0000-0000CDC5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393700</xdr:colOff>
          <xdr:row>165</xdr:row>
          <xdr:rowOff>0</xdr:rowOff>
        </xdr:from>
        <xdr:to>
          <xdr:col>3</xdr:col>
          <xdr:colOff>1085850</xdr:colOff>
          <xdr:row>165</xdr:row>
          <xdr:rowOff>152400</xdr:rowOff>
        </xdr:to>
        <xdr:sp macro="" textlink="">
          <xdr:nvSpPr>
            <xdr:cNvPr id="2606547" name="Drop Down 3539" hidden="1">
              <a:extLst>
                <a:ext uri="{63B3BB69-23CF-44E3-9099-C40C66FF867C}">
                  <a14:compatExt spid="_x0000_s2606547"/>
                </a:ext>
                <a:ext uri="{FF2B5EF4-FFF2-40B4-BE49-F238E27FC236}">
                  <a16:creationId xmlns:a16="http://schemas.microsoft.com/office/drawing/2014/main" id="{00000000-0008-0000-0000-0000D3C5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165</xdr:row>
          <xdr:rowOff>0</xdr:rowOff>
        </xdr:from>
        <xdr:to>
          <xdr:col>5</xdr:col>
          <xdr:colOff>1085850</xdr:colOff>
          <xdr:row>165</xdr:row>
          <xdr:rowOff>152400</xdr:rowOff>
        </xdr:to>
        <xdr:sp macro="" textlink="">
          <xdr:nvSpPr>
            <xdr:cNvPr id="2606552" name="Drop Down 3544" hidden="1">
              <a:extLst>
                <a:ext uri="{63B3BB69-23CF-44E3-9099-C40C66FF867C}">
                  <a14:compatExt spid="_x0000_s2606552"/>
                </a:ext>
                <a:ext uri="{FF2B5EF4-FFF2-40B4-BE49-F238E27FC236}">
                  <a16:creationId xmlns:a16="http://schemas.microsoft.com/office/drawing/2014/main" id="{00000000-0008-0000-0000-0000D8C5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165</xdr:row>
          <xdr:rowOff>0</xdr:rowOff>
        </xdr:from>
        <xdr:to>
          <xdr:col>7</xdr:col>
          <xdr:colOff>1085850</xdr:colOff>
          <xdr:row>165</xdr:row>
          <xdr:rowOff>152400</xdr:rowOff>
        </xdr:to>
        <xdr:sp macro="" textlink="">
          <xdr:nvSpPr>
            <xdr:cNvPr id="2606553" name="Drop Down 3545" hidden="1">
              <a:extLst>
                <a:ext uri="{63B3BB69-23CF-44E3-9099-C40C66FF867C}">
                  <a14:compatExt spid="_x0000_s2606553"/>
                </a:ext>
                <a:ext uri="{FF2B5EF4-FFF2-40B4-BE49-F238E27FC236}">
                  <a16:creationId xmlns:a16="http://schemas.microsoft.com/office/drawing/2014/main" id="{00000000-0008-0000-0000-0000D9C5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393700</xdr:colOff>
          <xdr:row>165</xdr:row>
          <xdr:rowOff>0</xdr:rowOff>
        </xdr:from>
        <xdr:to>
          <xdr:col>3</xdr:col>
          <xdr:colOff>1085850</xdr:colOff>
          <xdr:row>165</xdr:row>
          <xdr:rowOff>152400</xdr:rowOff>
        </xdr:to>
        <xdr:sp macro="" textlink="">
          <xdr:nvSpPr>
            <xdr:cNvPr id="2606559" name="Drop Down 3551" hidden="1">
              <a:extLst>
                <a:ext uri="{63B3BB69-23CF-44E3-9099-C40C66FF867C}">
                  <a14:compatExt spid="_x0000_s2606559"/>
                </a:ext>
                <a:ext uri="{FF2B5EF4-FFF2-40B4-BE49-F238E27FC236}">
                  <a16:creationId xmlns:a16="http://schemas.microsoft.com/office/drawing/2014/main" id="{00000000-0008-0000-0000-0000DFC5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165</xdr:row>
          <xdr:rowOff>0</xdr:rowOff>
        </xdr:from>
        <xdr:to>
          <xdr:col>5</xdr:col>
          <xdr:colOff>1085850</xdr:colOff>
          <xdr:row>165</xdr:row>
          <xdr:rowOff>152400</xdr:rowOff>
        </xdr:to>
        <xdr:sp macro="" textlink="">
          <xdr:nvSpPr>
            <xdr:cNvPr id="2606564" name="Drop Down 3556" hidden="1">
              <a:extLst>
                <a:ext uri="{63B3BB69-23CF-44E3-9099-C40C66FF867C}">
                  <a14:compatExt spid="_x0000_s2606564"/>
                </a:ext>
                <a:ext uri="{FF2B5EF4-FFF2-40B4-BE49-F238E27FC236}">
                  <a16:creationId xmlns:a16="http://schemas.microsoft.com/office/drawing/2014/main" id="{00000000-0008-0000-0000-0000E4C5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165</xdr:row>
          <xdr:rowOff>0</xdr:rowOff>
        </xdr:from>
        <xdr:to>
          <xdr:col>7</xdr:col>
          <xdr:colOff>1085850</xdr:colOff>
          <xdr:row>165</xdr:row>
          <xdr:rowOff>152400</xdr:rowOff>
        </xdr:to>
        <xdr:sp macro="" textlink="">
          <xdr:nvSpPr>
            <xdr:cNvPr id="2606565" name="Drop Down 3557" hidden="1">
              <a:extLst>
                <a:ext uri="{63B3BB69-23CF-44E3-9099-C40C66FF867C}">
                  <a14:compatExt spid="_x0000_s2606565"/>
                </a:ext>
                <a:ext uri="{FF2B5EF4-FFF2-40B4-BE49-F238E27FC236}">
                  <a16:creationId xmlns:a16="http://schemas.microsoft.com/office/drawing/2014/main" id="{00000000-0008-0000-0000-0000E5C5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30</xdr:row>
          <xdr:rowOff>0</xdr:rowOff>
        </xdr:from>
        <xdr:to>
          <xdr:col>3</xdr:col>
          <xdr:colOff>1085850</xdr:colOff>
          <xdr:row>30</xdr:row>
          <xdr:rowOff>152400</xdr:rowOff>
        </xdr:to>
        <xdr:sp macro="" textlink="">
          <xdr:nvSpPr>
            <xdr:cNvPr id="2606587" name="Drop Down 3579" hidden="1">
              <a:extLst>
                <a:ext uri="{63B3BB69-23CF-44E3-9099-C40C66FF867C}">
                  <a14:compatExt spid="_x0000_s2606587"/>
                </a:ext>
                <a:ext uri="{FF2B5EF4-FFF2-40B4-BE49-F238E27FC236}">
                  <a16:creationId xmlns:a16="http://schemas.microsoft.com/office/drawing/2014/main" id="{00000000-0008-0000-0000-0000FBC5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30</xdr:row>
          <xdr:rowOff>0</xdr:rowOff>
        </xdr:from>
        <xdr:to>
          <xdr:col>3</xdr:col>
          <xdr:colOff>1085850</xdr:colOff>
          <xdr:row>30</xdr:row>
          <xdr:rowOff>152400</xdr:rowOff>
        </xdr:to>
        <xdr:sp macro="" textlink="">
          <xdr:nvSpPr>
            <xdr:cNvPr id="2606588" name="Drop Down 3580" hidden="1">
              <a:extLst>
                <a:ext uri="{63B3BB69-23CF-44E3-9099-C40C66FF867C}">
                  <a14:compatExt spid="_x0000_s2606588"/>
                </a:ext>
                <a:ext uri="{FF2B5EF4-FFF2-40B4-BE49-F238E27FC236}">
                  <a16:creationId xmlns:a16="http://schemas.microsoft.com/office/drawing/2014/main" id="{00000000-0008-0000-0000-0000FCC5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30</xdr:row>
          <xdr:rowOff>12700</xdr:rowOff>
        </xdr:from>
        <xdr:to>
          <xdr:col>5</xdr:col>
          <xdr:colOff>1085850</xdr:colOff>
          <xdr:row>31</xdr:row>
          <xdr:rowOff>0</xdr:rowOff>
        </xdr:to>
        <xdr:sp macro="" textlink="">
          <xdr:nvSpPr>
            <xdr:cNvPr id="2606593" name="Drop Down 3585" hidden="1">
              <a:extLst>
                <a:ext uri="{63B3BB69-23CF-44E3-9099-C40C66FF867C}">
                  <a14:compatExt spid="_x0000_s2606593"/>
                </a:ext>
                <a:ext uri="{FF2B5EF4-FFF2-40B4-BE49-F238E27FC236}">
                  <a16:creationId xmlns:a16="http://schemas.microsoft.com/office/drawing/2014/main" id="{00000000-0008-0000-0000-000001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30</xdr:row>
          <xdr:rowOff>12700</xdr:rowOff>
        </xdr:from>
        <xdr:to>
          <xdr:col>7</xdr:col>
          <xdr:colOff>1085850</xdr:colOff>
          <xdr:row>31</xdr:row>
          <xdr:rowOff>0</xdr:rowOff>
        </xdr:to>
        <xdr:sp macro="" textlink="">
          <xdr:nvSpPr>
            <xdr:cNvPr id="2606594" name="Drop Down 3586" hidden="1">
              <a:extLst>
                <a:ext uri="{63B3BB69-23CF-44E3-9099-C40C66FF867C}">
                  <a14:compatExt spid="_x0000_s2606594"/>
                </a:ext>
                <a:ext uri="{FF2B5EF4-FFF2-40B4-BE49-F238E27FC236}">
                  <a16:creationId xmlns:a16="http://schemas.microsoft.com/office/drawing/2014/main" id="{00000000-0008-0000-0000-000002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65</xdr:row>
          <xdr:rowOff>0</xdr:rowOff>
        </xdr:from>
        <xdr:to>
          <xdr:col>3</xdr:col>
          <xdr:colOff>1085850</xdr:colOff>
          <xdr:row>65</xdr:row>
          <xdr:rowOff>152400</xdr:rowOff>
        </xdr:to>
        <xdr:sp macro="" textlink="">
          <xdr:nvSpPr>
            <xdr:cNvPr id="2606596" name="Drop Down 3588" hidden="1">
              <a:extLst>
                <a:ext uri="{63B3BB69-23CF-44E3-9099-C40C66FF867C}">
                  <a14:compatExt spid="_x0000_s2606596"/>
                </a:ext>
                <a:ext uri="{FF2B5EF4-FFF2-40B4-BE49-F238E27FC236}">
                  <a16:creationId xmlns:a16="http://schemas.microsoft.com/office/drawing/2014/main" id="{00000000-0008-0000-0000-000004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65</xdr:row>
          <xdr:rowOff>0</xdr:rowOff>
        </xdr:from>
        <xdr:to>
          <xdr:col>3</xdr:col>
          <xdr:colOff>1085850</xdr:colOff>
          <xdr:row>65</xdr:row>
          <xdr:rowOff>152400</xdr:rowOff>
        </xdr:to>
        <xdr:sp macro="" textlink="">
          <xdr:nvSpPr>
            <xdr:cNvPr id="2606597" name="Drop Down 3589" hidden="1">
              <a:extLst>
                <a:ext uri="{63B3BB69-23CF-44E3-9099-C40C66FF867C}">
                  <a14:compatExt spid="_x0000_s2606597"/>
                </a:ext>
                <a:ext uri="{FF2B5EF4-FFF2-40B4-BE49-F238E27FC236}">
                  <a16:creationId xmlns:a16="http://schemas.microsoft.com/office/drawing/2014/main" id="{00000000-0008-0000-0000-000005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387350</xdr:colOff>
          <xdr:row>65</xdr:row>
          <xdr:rowOff>12700</xdr:rowOff>
        </xdr:from>
        <xdr:to>
          <xdr:col>5</xdr:col>
          <xdr:colOff>1085850</xdr:colOff>
          <xdr:row>66</xdr:row>
          <xdr:rowOff>88900</xdr:rowOff>
        </xdr:to>
        <xdr:sp macro="" textlink="">
          <xdr:nvSpPr>
            <xdr:cNvPr id="2606598" name="Drop Down 3590" hidden="1">
              <a:extLst>
                <a:ext uri="{63B3BB69-23CF-44E3-9099-C40C66FF867C}">
                  <a14:compatExt spid="_x0000_s2606598"/>
                </a:ext>
                <a:ext uri="{FF2B5EF4-FFF2-40B4-BE49-F238E27FC236}">
                  <a16:creationId xmlns:a16="http://schemas.microsoft.com/office/drawing/2014/main" id="{00000000-0008-0000-0000-000006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65</xdr:row>
          <xdr:rowOff>12700</xdr:rowOff>
        </xdr:from>
        <xdr:to>
          <xdr:col>7</xdr:col>
          <xdr:colOff>1085850</xdr:colOff>
          <xdr:row>66</xdr:row>
          <xdr:rowOff>88900</xdr:rowOff>
        </xdr:to>
        <xdr:sp macro="" textlink="">
          <xdr:nvSpPr>
            <xdr:cNvPr id="2606599" name="Drop Down 3591" hidden="1">
              <a:extLst>
                <a:ext uri="{63B3BB69-23CF-44E3-9099-C40C66FF867C}">
                  <a14:compatExt spid="_x0000_s2606599"/>
                </a:ext>
                <a:ext uri="{FF2B5EF4-FFF2-40B4-BE49-F238E27FC236}">
                  <a16:creationId xmlns:a16="http://schemas.microsoft.com/office/drawing/2014/main" id="{00000000-0008-0000-0000-000007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100</xdr:row>
          <xdr:rowOff>0</xdr:rowOff>
        </xdr:from>
        <xdr:to>
          <xdr:col>3</xdr:col>
          <xdr:colOff>1085850</xdr:colOff>
          <xdr:row>101</xdr:row>
          <xdr:rowOff>107950</xdr:rowOff>
        </xdr:to>
        <xdr:sp macro="" textlink="">
          <xdr:nvSpPr>
            <xdr:cNvPr id="2606601" name="Drop Down 3593" hidden="1">
              <a:extLst>
                <a:ext uri="{63B3BB69-23CF-44E3-9099-C40C66FF867C}">
                  <a14:compatExt spid="_x0000_s2606601"/>
                </a:ext>
                <a:ext uri="{FF2B5EF4-FFF2-40B4-BE49-F238E27FC236}">
                  <a16:creationId xmlns:a16="http://schemas.microsoft.com/office/drawing/2014/main" id="{00000000-0008-0000-0000-000009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100</xdr:row>
          <xdr:rowOff>0</xdr:rowOff>
        </xdr:from>
        <xdr:to>
          <xdr:col>3</xdr:col>
          <xdr:colOff>1085850</xdr:colOff>
          <xdr:row>101</xdr:row>
          <xdr:rowOff>107950</xdr:rowOff>
        </xdr:to>
        <xdr:sp macro="" textlink="">
          <xdr:nvSpPr>
            <xdr:cNvPr id="2606602" name="Drop Down 3594" hidden="1">
              <a:extLst>
                <a:ext uri="{63B3BB69-23CF-44E3-9099-C40C66FF867C}">
                  <a14:compatExt spid="_x0000_s2606602"/>
                </a:ext>
                <a:ext uri="{FF2B5EF4-FFF2-40B4-BE49-F238E27FC236}">
                  <a16:creationId xmlns:a16="http://schemas.microsoft.com/office/drawing/2014/main" id="{00000000-0008-0000-0000-00000A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387350</xdr:colOff>
          <xdr:row>100</xdr:row>
          <xdr:rowOff>12700</xdr:rowOff>
        </xdr:from>
        <xdr:to>
          <xdr:col>5</xdr:col>
          <xdr:colOff>1085850</xdr:colOff>
          <xdr:row>101</xdr:row>
          <xdr:rowOff>107950</xdr:rowOff>
        </xdr:to>
        <xdr:sp macro="" textlink="">
          <xdr:nvSpPr>
            <xdr:cNvPr id="2606603" name="Drop Down 3595" hidden="1">
              <a:extLst>
                <a:ext uri="{63B3BB69-23CF-44E3-9099-C40C66FF867C}">
                  <a14:compatExt spid="_x0000_s2606603"/>
                </a:ext>
                <a:ext uri="{FF2B5EF4-FFF2-40B4-BE49-F238E27FC236}">
                  <a16:creationId xmlns:a16="http://schemas.microsoft.com/office/drawing/2014/main" id="{00000000-0008-0000-0000-00000B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100</xdr:row>
          <xdr:rowOff>12700</xdr:rowOff>
        </xdr:from>
        <xdr:to>
          <xdr:col>7</xdr:col>
          <xdr:colOff>1085850</xdr:colOff>
          <xdr:row>101</xdr:row>
          <xdr:rowOff>107950</xdr:rowOff>
        </xdr:to>
        <xdr:sp macro="" textlink="">
          <xdr:nvSpPr>
            <xdr:cNvPr id="2606604" name="Drop Down 3596" hidden="1">
              <a:extLst>
                <a:ext uri="{63B3BB69-23CF-44E3-9099-C40C66FF867C}">
                  <a14:compatExt spid="_x0000_s2606604"/>
                </a:ext>
                <a:ext uri="{FF2B5EF4-FFF2-40B4-BE49-F238E27FC236}">
                  <a16:creationId xmlns:a16="http://schemas.microsoft.com/office/drawing/2014/main" id="{00000000-0008-0000-0000-00000C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135</xdr:row>
          <xdr:rowOff>0</xdr:rowOff>
        </xdr:from>
        <xdr:to>
          <xdr:col>3</xdr:col>
          <xdr:colOff>1085850</xdr:colOff>
          <xdr:row>136</xdr:row>
          <xdr:rowOff>107950</xdr:rowOff>
        </xdr:to>
        <xdr:sp macro="" textlink="">
          <xdr:nvSpPr>
            <xdr:cNvPr id="2606605" name="Drop Down 3597" hidden="1">
              <a:extLst>
                <a:ext uri="{63B3BB69-23CF-44E3-9099-C40C66FF867C}">
                  <a14:compatExt spid="_x0000_s2606605"/>
                </a:ext>
                <a:ext uri="{FF2B5EF4-FFF2-40B4-BE49-F238E27FC236}">
                  <a16:creationId xmlns:a16="http://schemas.microsoft.com/office/drawing/2014/main" id="{00000000-0008-0000-0000-00000D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135</xdr:row>
          <xdr:rowOff>0</xdr:rowOff>
        </xdr:from>
        <xdr:to>
          <xdr:col>3</xdr:col>
          <xdr:colOff>1085850</xdr:colOff>
          <xdr:row>136</xdr:row>
          <xdr:rowOff>107950</xdr:rowOff>
        </xdr:to>
        <xdr:sp macro="" textlink="">
          <xdr:nvSpPr>
            <xdr:cNvPr id="2606606" name="Drop Down 3598" hidden="1">
              <a:extLst>
                <a:ext uri="{63B3BB69-23CF-44E3-9099-C40C66FF867C}">
                  <a14:compatExt spid="_x0000_s2606606"/>
                </a:ext>
                <a:ext uri="{FF2B5EF4-FFF2-40B4-BE49-F238E27FC236}">
                  <a16:creationId xmlns:a16="http://schemas.microsoft.com/office/drawing/2014/main" id="{00000000-0008-0000-0000-00000E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387350</xdr:colOff>
          <xdr:row>135</xdr:row>
          <xdr:rowOff>12700</xdr:rowOff>
        </xdr:from>
        <xdr:to>
          <xdr:col>5</xdr:col>
          <xdr:colOff>1085850</xdr:colOff>
          <xdr:row>136</xdr:row>
          <xdr:rowOff>107950</xdr:rowOff>
        </xdr:to>
        <xdr:sp macro="" textlink="">
          <xdr:nvSpPr>
            <xdr:cNvPr id="2606607" name="Drop Down 3599" hidden="1">
              <a:extLst>
                <a:ext uri="{63B3BB69-23CF-44E3-9099-C40C66FF867C}">
                  <a14:compatExt spid="_x0000_s2606607"/>
                </a:ext>
                <a:ext uri="{FF2B5EF4-FFF2-40B4-BE49-F238E27FC236}">
                  <a16:creationId xmlns:a16="http://schemas.microsoft.com/office/drawing/2014/main" id="{00000000-0008-0000-0000-00000F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135</xdr:row>
          <xdr:rowOff>12700</xdr:rowOff>
        </xdr:from>
        <xdr:to>
          <xdr:col>7</xdr:col>
          <xdr:colOff>1085850</xdr:colOff>
          <xdr:row>136</xdr:row>
          <xdr:rowOff>107950</xdr:rowOff>
        </xdr:to>
        <xdr:sp macro="" textlink="">
          <xdr:nvSpPr>
            <xdr:cNvPr id="2606608" name="Drop Down 3600" hidden="1">
              <a:extLst>
                <a:ext uri="{63B3BB69-23CF-44E3-9099-C40C66FF867C}">
                  <a14:compatExt spid="_x0000_s2606608"/>
                </a:ext>
                <a:ext uri="{FF2B5EF4-FFF2-40B4-BE49-F238E27FC236}">
                  <a16:creationId xmlns:a16="http://schemas.microsoft.com/office/drawing/2014/main" id="{00000000-0008-0000-0000-000010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170</xdr:row>
          <xdr:rowOff>0</xdr:rowOff>
        </xdr:from>
        <xdr:to>
          <xdr:col>3</xdr:col>
          <xdr:colOff>1085850</xdr:colOff>
          <xdr:row>171</xdr:row>
          <xdr:rowOff>114300</xdr:rowOff>
        </xdr:to>
        <xdr:sp macro="" textlink="">
          <xdr:nvSpPr>
            <xdr:cNvPr id="2606609" name="Drop Down 3601" hidden="1">
              <a:extLst>
                <a:ext uri="{63B3BB69-23CF-44E3-9099-C40C66FF867C}">
                  <a14:compatExt spid="_x0000_s2606609"/>
                </a:ext>
                <a:ext uri="{FF2B5EF4-FFF2-40B4-BE49-F238E27FC236}">
                  <a16:creationId xmlns:a16="http://schemas.microsoft.com/office/drawing/2014/main" id="{00000000-0008-0000-0000-000011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170</xdr:row>
          <xdr:rowOff>0</xdr:rowOff>
        </xdr:from>
        <xdr:to>
          <xdr:col>3</xdr:col>
          <xdr:colOff>1085850</xdr:colOff>
          <xdr:row>171</xdr:row>
          <xdr:rowOff>114300</xdr:rowOff>
        </xdr:to>
        <xdr:sp macro="" textlink="">
          <xdr:nvSpPr>
            <xdr:cNvPr id="2606610" name="Drop Down 3602" hidden="1">
              <a:extLst>
                <a:ext uri="{63B3BB69-23CF-44E3-9099-C40C66FF867C}">
                  <a14:compatExt spid="_x0000_s2606610"/>
                </a:ext>
                <a:ext uri="{FF2B5EF4-FFF2-40B4-BE49-F238E27FC236}">
                  <a16:creationId xmlns:a16="http://schemas.microsoft.com/office/drawing/2014/main" id="{00000000-0008-0000-0000-000012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387350</xdr:colOff>
          <xdr:row>170</xdr:row>
          <xdr:rowOff>12700</xdr:rowOff>
        </xdr:from>
        <xdr:to>
          <xdr:col>5</xdr:col>
          <xdr:colOff>1085850</xdr:colOff>
          <xdr:row>171</xdr:row>
          <xdr:rowOff>114300</xdr:rowOff>
        </xdr:to>
        <xdr:sp macro="" textlink="">
          <xdr:nvSpPr>
            <xdr:cNvPr id="2606611" name="Drop Down 3603" hidden="1">
              <a:extLst>
                <a:ext uri="{63B3BB69-23CF-44E3-9099-C40C66FF867C}">
                  <a14:compatExt spid="_x0000_s2606611"/>
                </a:ext>
                <a:ext uri="{FF2B5EF4-FFF2-40B4-BE49-F238E27FC236}">
                  <a16:creationId xmlns:a16="http://schemas.microsoft.com/office/drawing/2014/main" id="{00000000-0008-0000-0000-000013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170</xdr:row>
          <xdr:rowOff>12700</xdr:rowOff>
        </xdr:from>
        <xdr:to>
          <xdr:col>7</xdr:col>
          <xdr:colOff>1085850</xdr:colOff>
          <xdr:row>171</xdr:row>
          <xdr:rowOff>114300</xdr:rowOff>
        </xdr:to>
        <xdr:sp macro="" textlink="">
          <xdr:nvSpPr>
            <xdr:cNvPr id="2606612" name="Drop Down 3604" hidden="1">
              <a:extLst>
                <a:ext uri="{63B3BB69-23CF-44E3-9099-C40C66FF867C}">
                  <a14:compatExt spid="_x0000_s2606612"/>
                </a:ext>
                <a:ext uri="{FF2B5EF4-FFF2-40B4-BE49-F238E27FC236}">
                  <a16:creationId xmlns:a16="http://schemas.microsoft.com/office/drawing/2014/main" id="{00000000-0008-0000-0000-000014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30</xdr:row>
          <xdr:rowOff>12700</xdr:rowOff>
        </xdr:from>
        <xdr:to>
          <xdr:col>5</xdr:col>
          <xdr:colOff>1085850</xdr:colOff>
          <xdr:row>31</xdr:row>
          <xdr:rowOff>0</xdr:rowOff>
        </xdr:to>
        <xdr:sp macro="" textlink="">
          <xdr:nvSpPr>
            <xdr:cNvPr id="2606613" name="Drop Down 3605" hidden="1">
              <a:extLst>
                <a:ext uri="{63B3BB69-23CF-44E3-9099-C40C66FF867C}">
                  <a14:compatExt spid="_x0000_s2606613"/>
                </a:ext>
                <a:ext uri="{FF2B5EF4-FFF2-40B4-BE49-F238E27FC236}">
                  <a16:creationId xmlns:a16="http://schemas.microsoft.com/office/drawing/2014/main" id="{00000000-0008-0000-0000-000015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32</xdr:row>
          <xdr:rowOff>0</xdr:rowOff>
        </xdr:from>
        <xdr:to>
          <xdr:col>3</xdr:col>
          <xdr:colOff>1085850</xdr:colOff>
          <xdr:row>32</xdr:row>
          <xdr:rowOff>152400</xdr:rowOff>
        </xdr:to>
        <xdr:sp macro="" textlink="">
          <xdr:nvSpPr>
            <xdr:cNvPr id="2606614" name="Drop Down 3606" hidden="1">
              <a:extLst>
                <a:ext uri="{63B3BB69-23CF-44E3-9099-C40C66FF867C}">
                  <a14:compatExt spid="_x0000_s2606614"/>
                </a:ext>
                <a:ext uri="{FF2B5EF4-FFF2-40B4-BE49-F238E27FC236}">
                  <a16:creationId xmlns:a16="http://schemas.microsoft.com/office/drawing/2014/main" id="{00000000-0008-0000-0000-000016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32</xdr:row>
          <xdr:rowOff>12700</xdr:rowOff>
        </xdr:from>
        <xdr:to>
          <xdr:col>5</xdr:col>
          <xdr:colOff>1085850</xdr:colOff>
          <xdr:row>32</xdr:row>
          <xdr:rowOff>171450</xdr:rowOff>
        </xdr:to>
        <xdr:sp macro="" textlink="">
          <xdr:nvSpPr>
            <xdr:cNvPr id="2606615" name="Drop Down 3607" hidden="1">
              <a:extLst>
                <a:ext uri="{63B3BB69-23CF-44E3-9099-C40C66FF867C}">
                  <a14:compatExt spid="_x0000_s2606615"/>
                </a:ext>
                <a:ext uri="{FF2B5EF4-FFF2-40B4-BE49-F238E27FC236}">
                  <a16:creationId xmlns:a16="http://schemas.microsoft.com/office/drawing/2014/main" id="{00000000-0008-0000-0000-000017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387350</xdr:colOff>
          <xdr:row>32</xdr:row>
          <xdr:rowOff>12700</xdr:rowOff>
        </xdr:from>
        <xdr:to>
          <xdr:col>7</xdr:col>
          <xdr:colOff>1085850</xdr:colOff>
          <xdr:row>32</xdr:row>
          <xdr:rowOff>171450</xdr:rowOff>
        </xdr:to>
        <xdr:sp macro="" textlink="">
          <xdr:nvSpPr>
            <xdr:cNvPr id="2606616" name="Drop Down 3608" hidden="1">
              <a:extLst>
                <a:ext uri="{63B3BB69-23CF-44E3-9099-C40C66FF867C}">
                  <a14:compatExt spid="_x0000_s2606616"/>
                </a:ext>
                <a:ext uri="{FF2B5EF4-FFF2-40B4-BE49-F238E27FC236}">
                  <a16:creationId xmlns:a16="http://schemas.microsoft.com/office/drawing/2014/main" id="{00000000-0008-0000-0000-000018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67</xdr:row>
          <xdr:rowOff>0</xdr:rowOff>
        </xdr:from>
        <xdr:to>
          <xdr:col>3</xdr:col>
          <xdr:colOff>1085850</xdr:colOff>
          <xdr:row>67</xdr:row>
          <xdr:rowOff>165100</xdr:rowOff>
        </xdr:to>
        <xdr:sp macro="" textlink="">
          <xdr:nvSpPr>
            <xdr:cNvPr id="2606617" name="Drop Down 3609" hidden="1">
              <a:extLst>
                <a:ext uri="{63B3BB69-23CF-44E3-9099-C40C66FF867C}">
                  <a14:compatExt spid="_x0000_s2606617"/>
                </a:ext>
                <a:ext uri="{FF2B5EF4-FFF2-40B4-BE49-F238E27FC236}">
                  <a16:creationId xmlns:a16="http://schemas.microsoft.com/office/drawing/2014/main" id="{00000000-0008-0000-0000-000019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67</xdr:row>
          <xdr:rowOff>0</xdr:rowOff>
        </xdr:from>
        <xdr:to>
          <xdr:col>3</xdr:col>
          <xdr:colOff>1085850</xdr:colOff>
          <xdr:row>67</xdr:row>
          <xdr:rowOff>165100</xdr:rowOff>
        </xdr:to>
        <xdr:sp macro="" textlink="">
          <xdr:nvSpPr>
            <xdr:cNvPr id="2606618" name="Drop Down 3610" hidden="1">
              <a:extLst>
                <a:ext uri="{63B3BB69-23CF-44E3-9099-C40C66FF867C}">
                  <a14:compatExt spid="_x0000_s2606618"/>
                </a:ext>
                <a:ext uri="{FF2B5EF4-FFF2-40B4-BE49-F238E27FC236}">
                  <a16:creationId xmlns:a16="http://schemas.microsoft.com/office/drawing/2014/main" id="{00000000-0008-0000-0000-00001A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387350</xdr:colOff>
          <xdr:row>67</xdr:row>
          <xdr:rowOff>12700</xdr:rowOff>
        </xdr:from>
        <xdr:to>
          <xdr:col>5</xdr:col>
          <xdr:colOff>1085850</xdr:colOff>
          <xdr:row>68</xdr:row>
          <xdr:rowOff>0</xdr:rowOff>
        </xdr:to>
        <xdr:sp macro="" textlink="">
          <xdr:nvSpPr>
            <xdr:cNvPr id="2606619" name="Drop Down 3611" hidden="1">
              <a:extLst>
                <a:ext uri="{63B3BB69-23CF-44E3-9099-C40C66FF867C}">
                  <a14:compatExt spid="_x0000_s2606619"/>
                </a:ext>
                <a:ext uri="{FF2B5EF4-FFF2-40B4-BE49-F238E27FC236}">
                  <a16:creationId xmlns:a16="http://schemas.microsoft.com/office/drawing/2014/main" id="{00000000-0008-0000-0000-00001B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67</xdr:row>
          <xdr:rowOff>12700</xdr:rowOff>
        </xdr:from>
        <xdr:to>
          <xdr:col>7</xdr:col>
          <xdr:colOff>1085850</xdr:colOff>
          <xdr:row>68</xdr:row>
          <xdr:rowOff>0</xdr:rowOff>
        </xdr:to>
        <xdr:sp macro="" textlink="">
          <xdr:nvSpPr>
            <xdr:cNvPr id="2606620" name="Drop Down 3612" hidden="1">
              <a:extLst>
                <a:ext uri="{63B3BB69-23CF-44E3-9099-C40C66FF867C}">
                  <a14:compatExt spid="_x0000_s2606620"/>
                </a:ext>
                <a:ext uri="{FF2B5EF4-FFF2-40B4-BE49-F238E27FC236}">
                  <a16:creationId xmlns:a16="http://schemas.microsoft.com/office/drawing/2014/main" id="{00000000-0008-0000-0000-00001C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102</xdr:row>
          <xdr:rowOff>0</xdr:rowOff>
        </xdr:from>
        <xdr:to>
          <xdr:col>3</xdr:col>
          <xdr:colOff>1085850</xdr:colOff>
          <xdr:row>102</xdr:row>
          <xdr:rowOff>152400</xdr:rowOff>
        </xdr:to>
        <xdr:sp macro="" textlink="">
          <xdr:nvSpPr>
            <xdr:cNvPr id="2606621" name="Drop Down 3613" hidden="1">
              <a:extLst>
                <a:ext uri="{63B3BB69-23CF-44E3-9099-C40C66FF867C}">
                  <a14:compatExt spid="_x0000_s2606621"/>
                </a:ext>
                <a:ext uri="{FF2B5EF4-FFF2-40B4-BE49-F238E27FC236}">
                  <a16:creationId xmlns:a16="http://schemas.microsoft.com/office/drawing/2014/main" id="{00000000-0008-0000-0000-00001D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102</xdr:row>
          <xdr:rowOff>0</xdr:rowOff>
        </xdr:from>
        <xdr:to>
          <xdr:col>3</xdr:col>
          <xdr:colOff>1085850</xdr:colOff>
          <xdr:row>102</xdr:row>
          <xdr:rowOff>152400</xdr:rowOff>
        </xdr:to>
        <xdr:sp macro="" textlink="">
          <xdr:nvSpPr>
            <xdr:cNvPr id="2606622" name="Drop Down 3614" hidden="1">
              <a:extLst>
                <a:ext uri="{63B3BB69-23CF-44E3-9099-C40C66FF867C}">
                  <a14:compatExt spid="_x0000_s2606622"/>
                </a:ext>
                <a:ext uri="{FF2B5EF4-FFF2-40B4-BE49-F238E27FC236}">
                  <a16:creationId xmlns:a16="http://schemas.microsoft.com/office/drawing/2014/main" id="{00000000-0008-0000-0000-00001E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387350</xdr:colOff>
          <xdr:row>102</xdr:row>
          <xdr:rowOff>12700</xdr:rowOff>
        </xdr:from>
        <xdr:to>
          <xdr:col>5</xdr:col>
          <xdr:colOff>1085850</xdr:colOff>
          <xdr:row>103</xdr:row>
          <xdr:rowOff>12700</xdr:rowOff>
        </xdr:to>
        <xdr:sp macro="" textlink="">
          <xdr:nvSpPr>
            <xdr:cNvPr id="2606623" name="Drop Down 3615" hidden="1">
              <a:extLst>
                <a:ext uri="{63B3BB69-23CF-44E3-9099-C40C66FF867C}">
                  <a14:compatExt spid="_x0000_s2606623"/>
                </a:ext>
                <a:ext uri="{FF2B5EF4-FFF2-40B4-BE49-F238E27FC236}">
                  <a16:creationId xmlns:a16="http://schemas.microsoft.com/office/drawing/2014/main" id="{00000000-0008-0000-0000-00001F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102</xdr:row>
          <xdr:rowOff>12700</xdr:rowOff>
        </xdr:from>
        <xdr:to>
          <xdr:col>7</xdr:col>
          <xdr:colOff>1085850</xdr:colOff>
          <xdr:row>103</xdr:row>
          <xdr:rowOff>12700</xdr:rowOff>
        </xdr:to>
        <xdr:sp macro="" textlink="">
          <xdr:nvSpPr>
            <xdr:cNvPr id="2606624" name="Drop Down 3616" hidden="1">
              <a:extLst>
                <a:ext uri="{63B3BB69-23CF-44E3-9099-C40C66FF867C}">
                  <a14:compatExt spid="_x0000_s2606624"/>
                </a:ext>
                <a:ext uri="{FF2B5EF4-FFF2-40B4-BE49-F238E27FC236}">
                  <a16:creationId xmlns:a16="http://schemas.microsoft.com/office/drawing/2014/main" id="{00000000-0008-0000-0000-000020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137</xdr:row>
          <xdr:rowOff>0</xdr:rowOff>
        </xdr:from>
        <xdr:to>
          <xdr:col>3</xdr:col>
          <xdr:colOff>1085850</xdr:colOff>
          <xdr:row>137</xdr:row>
          <xdr:rowOff>152400</xdr:rowOff>
        </xdr:to>
        <xdr:sp macro="" textlink="">
          <xdr:nvSpPr>
            <xdr:cNvPr id="2606627" name="Drop Down 3619" hidden="1">
              <a:extLst>
                <a:ext uri="{63B3BB69-23CF-44E3-9099-C40C66FF867C}">
                  <a14:compatExt spid="_x0000_s2606627"/>
                </a:ext>
                <a:ext uri="{FF2B5EF4-FFF2-40B4-BE49-F238E27FC236}">
                  <a16:creationId xmlns:a16="http://schemas.microsoft.com/office/drawing/2014/main" id="{00000000-0008-0000-0000-000023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137</xdr:row>
          <xdr:rowOff>0</xdr:rowOff>
        </xdr:from>
        <xdr:to>
          <xdr:col>3</xdr:col>
          <xdr:colOff>1085850</xdr:colOff>
          <xdr:row>137</xdr:row>
          <xdr:rowOff>152400</xdr:rowOff>
        </xdr:to>
        <xdr:sp macro="" textlink="">
          <xdr:nvSpPr>
            <xdr:cNvPr id="2606628" name="Drop Down 3620" hidden="1">
              <a:extLst>
                <a:ext uri="{63B3BB69-23CF-44E3-9099-C40C66FF867C}">
                  <a14:compatExt spid="_x0000_s2606628"/>
                </a:ext>
                <a:ext uri="{FF2B5EF4-FFF2-40B4-BE49-F238E27FC236}">
                  <a16:creationId xmlns:a16="http://schemas.microsoft.com/office/drawing/2014/main" id="{00000000-0008-0000-0000-000024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387350</xdr:colOff>
          <xdr:row>137</xdr:row>
          <xdr:rowOff>12700</xdr:rowOff>
        </xdr:from>
        <xdr:to>
          <xdr:col>5</xdr:col>
          <xdr:colOff>1085850</xdr:colOff>
          <xdr:row>138</xdr:row>
          <xdr:rowOff>12700</xdr:rowOff>
        </xdr:to>
        <xdr:sp macro="" textlink="">
          <xdr:nvSpPr>
            <xdr:cNvPr id="2606629" name="Drop Down 3621" hidden="1">
              <a:extLst>
                <a:ext uri="{63B3BB69-23CF-44E3-9099-C40C66FF867C}">
                  <a14:compatExt spid="_x0000_s2606629"/>
                </a:ext>
                <a:ext uri="{FF2B5EF4-FFF2-40B4-BE49-F238E27FC236}">
                  <a16:creationId xmlns:a16="http://schemas.microsoft.com/office/drawing/2014/main" id="{00000000-0008-0000-0000-000025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137</xdr:row>
          <xdr:rowOff>12700</xdr:rowOff>
        </xdr:from>
        <xdr:to>
          <xdr:col>7</xdr:col>
          <xdr:colOff>1085850</xdr:colOff>
          <xdr:row>138</xdr:row>
          <xdr:rowOff>12700</xdr:rowOff>
        </xdr:to>
        <xdr:sp macro="" textlink="">
          <xdr:nvSpPr>
            <xdr:cNvPr id="2606630" name="Drop Down 3622" hidden="1">
              <a:extLst>
                <a:ext uri="{63B3BB69-23CF-44E3-9099-C40C66FF867C}">
                  <a14:compatExt spid="_x0000_s2606630"/>
                </a:ext>
                <a:ext uri="{FF2B5EF4-FFF2-40B4-BE49-F238E27FC236}">
                  <a16:creationId xmlns:a16="http://schemas.microsoft.com/office/drawing/2014/main" id="{00000000-0008-0000-0000-000026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172</xdr:row>
          <xdr:rowOff>0</xdr:rowOff>
        </xdr:from>
        <xdr:to>
          <xdr:col>3</xdr:col>
          <xdr:colOff>1085850</xdr:colOff>
          <xdr:row>172</xdr:row>
          <xdr:rowOff>152400</xdr:rowOff>
        </xdr:to>
        <xdr:sp macro="" textlink="">
          <xdr:nvSpPr>
            <xdr:cNvPr id="2606632" name="Drop Down 3624" hidden="1">
              <a:extLst>
                <a:ext uri="{63B3BB69-23CF-44E3-9099-C40C66FF867C}">
                  <a14:compatExt spid="_x0000_s2606632"/>
                </a:ext>
                <a:ext uri="{FF2B5EF4-FFF2-40B4-BE49-F238E27FC236}">
                  <a16:creationId xmlns:a16="http://schemas.microsoft.com/office/drawing/2014/main" id="{00000000-0008-0000-0000-000028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172</xdr:row>
          <xdr:rowOff>12700</xdr:rowOff>
        </xdr:from>
        <xdr:to>
          <xdr:col>5</xdr:col>
          <xdr:colOff>1085850</xdr:colOff>
          <xdr:row>172</xdr:row>
          <xdr:rowOff>171450</xdr:rowOff>
        </xdr:to>
        <xdr:sp macro="" textlink="">
          <xdr:nvSpPr>
            <xdr:cNvPr id="2606633" name="Drop Down 3625" hidden="1">
              <a:extLst>
                <a:ext uri="{63B3BB69-23CF-44E3-9099-C40C66FF867C}">
                  <a14:compatExt spid="_x0000_s2606633"/>
                </a:ext>
                <a:ext uri="{FF2B5EF4-FFF2-40B4-BE49-F238E27FC236}">
                  <a16:creationId xmlns:a16="http://schemas.microsoft.com/office/drawing/2014/main" id="{00000000-0008-0000-0000-000029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172</xdr:row>
          <xdr:rowOff>12700</xdr:rowOff>
        </xdr:from>
        <xdr:to>
          <xdr:col>7</xdr:col>
          <xdr:colOff>1085850</xdr:colOff>
          <xdr:row>172</xdr:row>
          <xdr:rowOff>171450</xdr:rowOff>
        </xdr:to>
        <xdr:sp macro="" textlink="">
          <xdr:nvSpPr>
            <xdr:cNvPr id="2606634" name="Drop Down 3626" hidden="1">
              <a:extLst>
                <a:ext uri="{63B3BB69-23CF-44E3-9099-C40C66FF867C}">
                  <a14:compatExt spid="_x0000_s2606634"/>
                </a:ext>
                <a:ext uri="{FF2B5EF4-FFF2-40B4-BE49-F238E27FC236}">
                  <a16:creationId xmlns:a16="http://schemas.microsoft.com/office/drawing/2014/main" id="{00000000-0008-0000-0000-00002A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172</xdr:row>
          <xdr:rowOff>0</xdr:rowOff>
        </xdr:from>
        <xdr:to>
          <xdr:col>3</xdr:col>
          <xdr:colOff>1085850</xdr:colOff>
          <xdr:row>172</xdr:row>
          <xdr:rowOff>152400</xdr:rowOff>
        </xdr:to>
        <xdr:sp macro="" textlink="">
          <xdr:nvSpPr>
            <xdr:cNvPr id="2606635" name="Drop Down 3627" hidden="1">
              <a:extLst>
                <a:ext uri="{63B3BB69-23CF-44E3-9099-C40C66FF867C}">
                  <a14:compatExt spid="_x0000_s2606635"/>
                </a:ext>
                <a:ext uri="{FF2B5EF4-FFF2-40B4-BE49-F238E27FC236}">
                  <a16:creationId xmlns:a16="http://schemas.microsoft.com/office/drawing/2014/main" id="{00000000-0008-0000-0000-00002B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172</xdr:row>
          <xdr:rowOff>12700</xdr:rowOff>
        </xdr:from>
        <xdr:to>
          <xdr:col>5</xdr:col>
          <xdr:colOff>1085850</xdr:colOff>
          <xdr:row>172</xdr:row>
          <xdr:rowOff>171450</xdr:rowOff>
        </xdr:to>
        <xdr:sp macro="" textlink="">
          <xdr:nvSpPr>
            <xdr:cNvPr id="2606636" name="Drop Down 3628" hidden="1">
              <a:extLst>
                <a:ext uri="{63B3BB69-23CF-44E3-9099-C40C66FF867C}">
                  <a14:compatExt spid="_x0000_s2606636"/>
                </a:ext>
                <a:ext uri="{FF2B5EF4-FFF2-40B4-BE49-F238E27FC236}">
                  <a16:creationId xmlns:a16="http://schemas.microsoft.com/office/drawing/2014/main" id="{00000000-0008-0000-0000-00002C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172</xdr:row>
          <xdr:rowOff>12700</xdr:rowOff>
        </xdr:from>
        <xdr:to>
          <xdr:col>7</xdr:col>
          <xdr:colOff>1085850</xdr:colOff>
          <xdr:row>172</xdr:row>
          <xdr:rowOff>171450</xdr:rowOff>
        </xdr:to>
        <xdr:sp macro="" textlink="">
          <xdr:nvSpPr>
            <xdr:cNvPr id="2606637" name="Drop Down 3629" hidden="1">
              <a:extLst>
                <a:ext uri="{63B3BB69-23CF-44E3-9099-C40C66FF867C}">
                  <a14:compatExt spid="_x0000_s2606637"/>
                </a:ext>
                <a:ext uri="{FF2B5EF4-FFF2-40B4-BE49-F238E27FC236}">
                  <a16:creationId xmlns:a16="http://schemas.microsoft.com/office/drawing/2014/main" id="{00000000-0008-0000-0000-00002D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10</xdr:col>
      <xdr:colOff>208534</xdr:colOff>
      <xdr:row>45</xdr:row>
      <xdr:rowOff>266886</xdr:rowOff>
    </xdr:from>
    <xdr:to>
      <xdr:col>18</xdr:col>
      <xdr:colOff>171264</xdr:colOff>
      <xdr:row>50</xdr:row>
      <xdr:rowOff>104774</xdr:rowOff>
    </xdr:to>
    <xdr:sp macro="" textlink="">
      <xdr:nvSpPr>
        <xdr:cNvPr id="2" name="Rectangle 64">
          <a:extLst>
            <a:ext uri="{FF2B5EF4-FFF2-40B4-BE49-F238E27FC236}">
              <a16:creationId xmlns:a16="http://schemas.microsoft.com/office/drawing/2014/main" id="{77DE6D2D-6515-450D-B6F2-8F0D9B40F625}"/>
            </a:ext>
          </a:extLst>
        </xdr:cNvPr>
        <xdr:cNvSpPr>
          <a:spLocks noChangeArrowheads="1"/>
        </xdr:cNvSpPr>
      </xdr:nvSpPr>
      <xdr:spPr bwMode="auto">
        <a:xfrm>
          <a:off x="11324209" y="9925236"/>
          <a:ext cx="4534730" cy="780863"/>
        </a:xfrm>
        <a:prstGeom prst="rect">
          <a:avLst/>
        </a:prstGeom>
        <a:solidFill>
          <a:srgbClr val="CCFFCC"/>
        </a:solidFill>
        <a:ln w="9525">
          <a:solidFill>
            <a:srgbClr val="000000"/>
          </a:solidFill>
          <a:miter lim="800000"/>
          <a:headEnd/>
          <a:tailEnd/>
        </a:ln>
      </xdr:spPr>
      <xdr:txBody>
        <a:bodyPr vertOverflow="clip" wrap="square" lIns="27432" tIns="22860" rIns="0" bIns="0" anchor="t" upright="1"/>
        <a:lstStyle/>
        <a:p>
          <a:pPr marL="0" marR="0" indent="0" algn="l" defTabSz="914400" rtl="0" eaLnBrk="1" fontAlgn="auto" latinLnBrk="0" hangingPunct="1">
            <a:lnSpc>
              <a:spcPct val="100000"/>
            </a:lnSpc>
            <a:spcBef>
              <a:spcPts val="0"/>
            </a:spcBef>
            <a:spcAft>
              <a:spcPts val="0"/>
            </a:spcAft>
            <a:buClrTx/>
            <a:buSzTx/>
            <a:buFontTx/>
            <a:buNone/>
            <a:tabLst/>
            <a:defRPr sz="1000"/>
          </a:pPr>
          <a:r>
            <a:rPr lang="en-GB" sz="800" b="0" i="0" strike="noStrike">
              <a:solidFill>
                <a:srgbClr val="000000"/>
              </a:solidFill>
              <a:latin typeface="Arial" pitchFamily="34" charset="0"/>
              <a:cs typeface="Arial" pitchFamily="34" charset="0"/>
            </a:rPr>
            <a:t>Note: </a:t>
          </a:r>
          <a:r>
            <a:rPr lang="en-GB" sz="800" b="0" i="0" u="sng" strike="noStrike">
              <a:solidFill>
                <a:srgbClr val="000000"/>
              </a:solidFill>
              <a:latin typeface="Arial" pitchFamily="34" charset="0"/>
              <a:cs typeface="Arial" pitchFamily="34" charset="0"/>
            </a:rPr>
            <a:t>Restoration trajectory shape parameter.</a:t>
          </a:r>
          <a:r>
            <a:rPr lang="en-GB" sz="800" b="0" i="0" u="none" strike="noStrike">
              <a:solidFill>
                <a:srgbClr val="000000"/>
              </a:solidFill>
              <a:latin typeface="Arial" pitchFamily="34" charset="0"/>
              <a:cs typeface="Arial" pitchFamily="34" charset="0"/>
            </a:rPr>
            <a:t> Users must input an estimate for the shape paramaeter</a:t>
          </a:r>
          <a:r>
            <a:rPr lang="en-GB" sz="800" b="0" i="0" u="none" strike="noStrike" baseline="0">
              <a:solidFill>
                <a:srgbClr val="000000"/>
              </a:solidFill>
              <a:latin typeface="Arial" pitchFamily="34" charset="0"/>
              <a:cs typeface="Arial" pitchFamily="34" charset="0"/>
            </a:rPr>
            <a:t> defining the trajectory of restoration. For examples of how this parameter impacts the dynamics see the plot 'Restoration trajectories' (right). In this examples, pre- and post-restoration rates are set to 0 and 1 and the restoration time is set to the Expected value for microbial community function. To further explore the impact of the parameter, update the values of n1, n2 and n3 in the table (right).</a:t>
          </a:r>
          <a:endParaRPr lang="en-GB" sz="800" b="0" i="0" strike="noStrike">
            <a:solidFill>
              <a:srgbClr val="000000"/>
            </a:solidFill>
            <a:latin typeface="Arial"/>
            <a:cs typeface="Arial"/>
          </a:endParaRPr>
        </a:p>
      </xdr:txBody>
    </xdr:sp>
    <xdr:clientData/>
  </xdr:twoCellAnchor>
  <xdr:twoCellAnchor>
    <xdr:from>
      <xdr:col>7</xdr:col>
      <xdr:colOff>1114236</xdr:colOff>
      <xdr:row>47</xdr:row>
      <xdr:rowOff>67235</xdr:rowOff>
    </xdr:from>
    <xdr:to>
      <xdr:col>10</xdr:col>
      <xdr:colOff>219074</xdr:colOff>
      <xdr:row>48</xdr:row>
      <xdr:rowOff>28574</xdr:rowOff>
    </xdr:to>
    <xdr:sp macro="" textlink="">
      <xdr:nvSpPr>
        <xdr:cNvPr id="3" name="Line 121">
          <a:extLst>
            <a:ext uri="{FF2B5EF4-FFF2-40B4-BE49-F238E27FC236}">
              <a16:creationId xmlns:a16="http://schemas.microsoft.com/office/drawing/2014/main" id="{4111FBE0-6C0A-4E3E-8CAD-242AF0F6726F}"/>
            </a:ext>
          </a:extLst>
        </xdr:cNvPr>
        <xdr:cNvSpPr>
          <a:spLocks noChangeShapeType="1"/>
        </xdr:cNvSpPr>
      </xdr:nvSpPr>
      <xdr:spPr bwMode="auto">
        <a:xfrm flipH="1" flipV="1">
          <a:off x="9839136" y="10192310"/>
          <a:ext cx="1495613" cy="113739"/>
        </a:xfrm>
        <a:prstGeom prst="line">
          <a:avLst/>
        </a:prstGeom>
        <a:noFill/>
        <a:ln w="9525">
          <a:solidFill>
            <a:srgbClr val="000000"/>
          </a:solidFill>
          <a:round/>
          <a:headEnd/>
          <a:tailEnd type="triangle" w="med" len="med"/>
        </a:ln>
      </xdr:spPr>
    </xdr:sp>
    <xdr:clientData/>
  </xdr:twoCellAnchor>
  <xdr:twoCellAnchor>
    <xdr:from>
      <xdr:col>19</xdr:col>
      <xdr:colOff>415389</xdr:colOff>
      <xdr:row>25</xdr:row>
      <xdr:rowOff>104029</xdr:rowOff>
    </xdr:from>
    <xdr:to>
      <xdr:col>28</xdr:col>
      <xdr:colOff>353733</xdr:colOff>
      <xdr:row>42</xdr:row>
      <xdr:rowOff>0</xdr:rowOff>
    </xdr:to>
    <xdr:graphicFrame macro="">
      <xdr:nvGraphicFramePr>
        <xdr:cNvPr id="5" name="Chart 4">
          <a:extLst>
            <a:ext uri="{FF2B5EF4-FFF2-40B4-BE49-F238E27FC236}">
              <a16:creationId xmlns:a16="http://schemas.microsoft.com/office/drawing/2014/main" id="{B66BB024-CA9C-A580-903E-4AAD3A3406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3</xdr:col>
          <xdr:colOff>400050</xdr:colOff>
          <xdr:row>36</xdr:row>
          <xdr:rowOff>0</xdr:rowOff>
        </xdr:from>
        <xdr:to>
          <xdr:col>3</xdr:col>
          <xdr:colOff>1085850</xdr:colOff>
          <xdr:row>36</xdr:row>
          <xdr:rowOff>152400</xdr:rowOff>
        </xdr:to>
        <xdr:sp macro="" textlink="">
          <xdr:nvSpPr>
            <xdr:cNvPr id="2606638" name="Drop Down 3630" hidden="1">
              <a:extLst>
                <a:ext uri="{63B3BB69-23CF-44E3-9099-C40C66FF867C}">
                  <a14:compatExt spid="_x0000_s2606638"/>
                </a:ext>
                <a:ext uri="{FF2B5EF4-FFF2-40B4-BE49-F238E27FC236}">
                  <a16:creationId xmlns:a16="http://schemas.microsoft.com/office/drawing/2014/main" id="{00000000-0008-0000-0000-00002E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400050</xdr:colOff>
          <xdr:row>36</xdr:row>
          <xdr:rowOff>0</xdr:rowOff>
        </xdr:from>
        <xdr:to>
          <xdr:col>5</xdr:col>
          <xdr:colOff>1085850</xdr:colOff>
          <xdr:row>36</xdr:row>
          <xdr:rowOff>152400</xdr:rowOff>
        </xdr:to>
        <xdr:sp macro="" textlink="">
          <xdr:nvSpPr>
            <xdr:cNvPr id="2606639" name="Drop Down 3631" hidden="1">
              <a:extLst>
                <a:ext uri="{63B3BB69-23CF-44E3-9099-C40C66FF867C}">
                  <a14:compatExt spid="_x0000_s2606639"/>
                </a:ext>
                <a:ext uri="{FF2B5EF4-FFF2-40B4-BE49-F238E27FC236}">
                  <a16:creationId xmlns:a16="http://schemas.microsoft.com/office/drawing/2014/main" id="{00000000-0008-0000-0000-00002F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400050</xdr:colOff>
          <xdr:row>36</xdr:row>
          <xdr:rowOff>0</xdr:rowOff>
        </xdr:from>
        <xdr:to>
          <xdr:col>7</xdr:col>
          <xdr:colOff>1085850</xdr:colOff>
          <xdr:row>36</xdr:row>
          <xdr:rowOff>152400</xdr:rowOff>
        </xdr:to>
        <xdr:sp macro="" textlink="">
          <xdr:nvSpPr>
            <xdr:cNvPr id="2606640" name="Drop Down 3632" hidden="1">
              <a:extLst>
                <a:ext uri="{63B3BB69-23CF-44E3-9099-C40C66FF867C}">
                  <a14:compatExt spid="_x0000_s2606640"/>
                </a:ext>
                <a:ext uri="{FF2B5EF4-FFF2-40B4-BE49-F238E27FC236}">
                  <a16:creationId xmlns:a16="http://schemas.microsoft.com/office/drawing/2014/main" id="{00000000-0008-0000-0000-000030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71</xdr:row>
          <xdr:rowOff>0</xdr:rowOff>
        </xdr:from>
        <xdr:to>
          <xdr:col>3</xdr:col>
          <xdr:colOff>1085850</xdr:colOff>
          <xdr:row>71</xdr:row>
          <xdr:rowOff>165100</xdr:rowOff>
        </xdr:to>
        <xdr:sp macro="" textlink="">
          <xdr:nvSpPr>
            <xdr:cNvPr id="2606641" name="Drop Down 3633" hidden="1">
              <a:extLst>
                <a:ext uri="{63B3BB69-23CF-44E3-9099-C40C66FF867C}">
                  <a14:compatExt spid="_x0000_s2606641"/>
                </a:ext>
                <a:ext uri="{FF2B5EF4-FFF2-40B4-BE49-F238E27FC236}">
                  <a16:creationId xmlns:a16="http://schemas.microsoft.com/office/drawing/2014/main" id="{00000000-0008-0000-0000-000031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400050</xdr:colOff>
          <xdr:row>71</xdr:row>
          <xdr:rowOff>0</xdr:rowOff>
        </xdr:from>
        <xdr:to>
          <xdr:col>5</xdr:col>
          <xdr:colOff>1085850</xdr:colOff>
          <xdr:row>71</xdr:row>
          <xdr:rowOff>165100</xdr:rowOff>
        </xdr:to>
        <xdr:sp macro="" textlink="">
          <xdr:nvSpPr>
            <xdr:cNvPr id="2606642" name="Drop Down 3634" hidden="1">
              <a:extLst>
                <a:ext uri="{63B3BB69-23CF-44E3-9099-C40C66FF867C}">
                  <a14:compatExt spid="_x0000_s2606642"/>
                </a:ext>
                <a:ext uri="{FF2B5EF4-FFF2-40B4-BE49-F238E27FC236}">
                  <a16:creationId xmlns:a16="http://schemas.microsoft.com/office/drawing/2014/main" id="{00000000-0008-0000-0000-000032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400050</xdr:colOff>
          <xdr:row>71</xdr:row>
          <xdr:rowOff>0</xdr:rowOff>
        </xdr:from>
        <xdr:to>
          <xdr:col>7</xdr:col>
          <xdr:colOff>1085850</xdr:colOff>
          <xdr:row>71</xdr:row>
          <xdr:rowOff>165100</xdr:rowOff>
        </xdr:to>
        <xdr:sp macro="" textlink="">
          <xdr:nvSpPr>
            <xdr:cNvPr id="2606643" name="Drop Down 3635" hidden="1">
              <a:extLst>
                <a:ext uri="{63B3BB69-23CF-44E3-9099-C40C66FF867C}">
                  <a14:compatExt spid="_x0000_s2606643"/>
                </a:ext>
                <a:ext uri="{FF2B5EF4-FFF2-40B4-BE49-F238E27FC236}">
                  <a16:creationId xmlns:a16="http://schemas.microsoft.com/office/drawing/2014/main" id="{00000000-0008-0000-0000-000033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106</xdr:row>
          <xdr:rowOff>0</xdr:rowOff>
        </xdr:from>
        <xdr:to>
          <xdr:col>3</xdr:col>
          <xdr:colOff>1085850</xdr:colOff>
          <xdr:row>106</xdr:row>
          <xdr:rowOff>152400</xdr:rowOff>
        </xdr:to>
        <xdr:sp macro="" textlink="">
          <xdr:nvSpPr>
            <xdr:cNvPr id="2606644" name="Drop Down 3636" hidden="1">
              <a:extLst>
                <a:ext uri="{63B3BB69-23CF-44E3-9099-C40C66FF867C}">
                  <a14:compatExt spid="_x0000_s2606644"/>
                </a:ext>
                <a:ext uri="{FF2B5EF4-FFF2-40B4-BE49-F238E27FC236}">
                  <a16:creationId xmlns:a16="http://schemas.microsoft.com/office/drawing/2014/main" id="{00000000-0008-0000-0000-000034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400050</xdr:colOff>
          <xdr:row>106</xdr:row>
          <xdr:rowOff>0</xdr:rowOff>
        </xdr:from>
        <xdr:to>
          <xdr:col>5</xdr:col>
          <xdr:colOff>1085850</xdr:colOff>
          <xdr:row>106</xdr:row>
          <xdr:rowOff>152400</xdr:rowOff>
        </xdr:to>
        <xdr:sp macro="" textlink="">
          <xdr:nvSpPr>
            <xdr:cNvPr id="2606645" name="Drop Down 3637" hidden="1">
              <a:extLst>
                <a:ext uri="{63B3BB69-23CF-44E3-9099-C40C66FF867C}">
                  <a14:compatExt spid="_x0000_s2606645"/>
                </a:ext>
                <a:ext uri="{FF2B5EF4-FFF2-40B4-BE49-F238E27FC236}">
                  <a16:creationId xmlns:a16="http://schemas.microsoft.com/office/drawing/2014/main" id="{00000000-0008-0000-0000-000035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400050</xdr:colOff>
          <xdr:row>106</xdr:row>
          <xdr:rowOff>0</xdr:rowOff>
        </xdr:from>
        <xdr:to>
          <xdr:col>7</xdr:col>
          <xdr:colOff>1085850</xdr:colOff>
          <xdr:row>106</xdr:row>
          <xdr:rowOff>152400</xdr:rowOff>
        </xdr:to>
        <xdr:sp macro="" textlink="">
          <xdr:nvSpPr>
            <xdr:cNvPr id="2606646" name="Drop Down 3638" hidden="1">
              <a:extLst>
                <a:ext uri="{63B3BB69-23CF-44E3-9099-C40C66FF867C}">
                  <a14:compatExt spid="_x0000_s2606646"/>
                </a:ext>
                <a:ext uri="{FF2B5EF4-FFF2-40B4-BE49-F238E27FC236}">
                  <a16:creationId xmlns:a16="http://schemas.microsoft.com/office/drawing/2014/main" id="{00000000-0008-0000-0000-000036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141</xdr:row>
          <xdr:rowOff>0</xdr:rowOff>
        </xdr:from>
        <xdr:to>
          <xdr:col>3</xdr:col>
          <xdr:colOff>1085850</xdr:colOff>
          <xdr:row>142</xdr:row>
          <xdr:rowOff>0</xdr:rowOff>
        </xdr:to>
        <xdr:sp macro="" textlink="">
          <xdr:nvSpPr>
            <xdr:cNvPr id="2606647" name="Drop Down 3639" hidden="1">
              <a:extLst>
                <a:ext uri="{63B3BB69-23CF-44E3-9099-C40C66FF867C}">
                  <a14:compatExt spid="_x0000_s2606647"/>
                </a:ext>
                <a:ext uri="{FF2B5EF4-FFF2-40B4-BE49-F238E27FC236}">
                  <a16:creationId xmlns:a16="http://schemas.microsoft.com/office/drawing/2014/main" id="{00000000-0008-0000-0000-000037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400050</xdr:colOff>
          <xdr:row>141</xdr:row>
          <xdr:rowOff>0</xdr:rowOff>
        </xdr:from>
        <xdr:to>
          <xdr:col>5</xdr:col>
          <xdr:colOff>1085850</xdr:colOff>
          <xdr:row>142</xdr:row>
          <xdr:rowOff>0</xdr:rowOff>
        </xdr:to>
        <xdr:sp macro="" textlink="">
          <xdr:nvSpPr>
            <xdr:cNvPr id="2606648" name="Drop Down 3640" hidden="1">
              <a:extLst>
                <a:ext uri="{63B3BB69-23CF-44E3-9099-C40C66FF867C}">
                  <a14:compatExt spid="_x0000_s2606648"/>
                </a:ext>
                <a:ext uri="{FF2B5EF4-FFF2-40B4-BE49-F238E27FC236}">
                  <a16:creationId xmlns:a16="http://schemas.microsoft.com/office/drawing/2014/main" id="{00000000-0008-0000-0000-000038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400050</xdr:colOff>
          <xdr:row>141</xdr:row>
          <xdr:rowOff>0</xdr:rowOff>
        </xdr:from>
        <xdr:to>
          <xdr:col>7</xdr:col>
          <xdr:colOff>1085850</xdr:colOff>
          <xdr:row>142</xdr:row>
          <xdr:rowOff>0</xdr:rowOff>
        </xdr:to>
        <xdr:sp macro="" textlink="">
          <xdr:nvSpPr>
            <xdr:cNvPr id="2606649" name="Drop Down 3641" hidden="1">
              <a:extLst>
                <a:ext uri="{63B3BB69-23CF-44E3-9099-C40C66FF867C}">
                  <a14:compatExt spid="_x0000_s2606649"/>
                </a:ext>
                <a:ext uri="{FF2B5EF4-FFF2-40B4-BE49-F238E27FC236}">
                  <a16:creationId xmlns:a16="http://schemas.microsoft.com/office/drawing/2014/main" id="{00000000-0008-0000-0000-000039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176</xdr:row>
          <xdr:rowOff>0</xdr:rowOff>
        </xdr:from>
        <xdr:to>
          <xdr:col>3</xdr:col>
          <xdr:colOff>1085850</xdr:colOff>
          <xdr:row>176</xdr:row>
          <xdr:rowOff>152400</xdr:rowOff>
        </xdr:to>
        <xdr:sp macro="" textlink="">
          <xdr:nvSpPr>
            <xdr:cNvPr id="2606650" name="Drop Down 3642" hidden="1">
              <a:extLst>
                <a:ext uri="{63B3BB69-23CF-44E3-9099-C40C66FF867C}">
                  <a14:compatExt spid="_x0000_s2606650"/>
                </a:ext>
                <a:ext uri="{FF2B5EF4-FFF2-40B4-BE49-F238E27FC236}">
                  <a16:creationId xmlns:a16="http://schemas.microsoft.com/office/drawing/2014/main" id="{00000000-0008-0000-0000-00003A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400050</xdr:colOff>
          <xdr:row>176</xdr:row>
          <xdr:rowOff>19050</xdr:rowOff>
        </xdr:from>
        <xdr:to>
          <xdr:col>5</xdr:col>
          <xdr:colOff>1085850</xdr:colOff>
          <xdr:row>176</xdr:row>
          <xdr:rowOff>171450</xdr:rowOff>
        </xdr:to>
        <xdr:sp macro="" textlink="">
          <xdr:nvSpPr>
            <xdr:cNvPr id="2606651" name="Drop Down 3643" hidden="1">
              <a:extLst>
                <a:ext uri="{63B3BB69-23CF-44E3-9099-C40C66FF867C}">
                  <a14:compatExt spid="_x0000_s2606651"/>
                </a:ext>
                <a:ext uri="{FF2B5EF4-FFF2-40B4-BE49-F238E27FC236}">
                  <a16:creationId xmlns:a16="http://schemas.microsoft.com/office/drawing/2014/main" id="{00000000-0008-0000-0000-00003B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400050</xdr:colOff>
          <xdr:row>176</xdr:row>
          <xdr:rowOff>0</xdr:rowOff>
        </xdr:from>
        <xdr:to>
          <xdr:col>7</xdr:col>
          <xdr:colOff>1085850</xdr:colOff>
          <xdr:row>176</xdr:row>
          <xdr:rowOff>152400</xdr:rowOff>
        </xdr:to>
        <xdr:sp macro="" textlink="">
          <xdr:nvSpPr>
            <xdr:cNvPr id="2606652" name="Drop Down 3644" hidden="1">
              <a:extLst>
                <a:ext uri="{63B3BB69-23CF-44E3-9099-C40C66FF867C}">
                  <a14:compatExt spid="_x0000_s2606652"/>
                </a:ext>
                <a:ext uri="{FF2B5EF4-FFF2-40B4-BE49-F238E27FC236}">
                  <a16:creationId xmlns:a16="http://schemas.microsoft.com/office/drawing/2014/main" id="{00000000-0008-0000-0000-00003C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7</xdr:col>
      <xdr:colOff>1225550</xdr:colOff>
      <xdr:row>4</xdr:row>
      <xdr:rowOff>87313</xdr:rowOff>
    </xdr:from>
    <xdr:to>
      <xdr:col>10</xdr:col>
      <xdr:colOff>215900</xdr:colOff>
      <xdr:row>7</xdr:row>
      <xdr:rowOff>63500</xdr:rowOff>
    </xdr:to>
    <xdr:cxnSp macro="">
      <xdr:nvCxnSpPr>
        <xdr:cNvPr id="7" name="Straight Arrow Connector 6">
          <a:extLst>
            <a:ext uri="{FF2B5EF4-FFF2-40B4-BE49-F238E27FC236}">
              <a16:creationId xmlns:a16="http://schemas.microsoft.com/office/drawing/2014/main" id="{11838DB6-ED63-0632-7F75-C166D01E1A44}"/>
            </a:ext>
          </a:extLst>
        </xdr:cNvPr>
        <xdr:cNvCxnSpPr>
          <a:cxnSpLocks/>
          <a:stCxn id="29" idx="1"/>
        </xdr:cNvCxnSpPr>
      </xdr:nvCxnSpPr>
      <xdr:spPr>
        <a:xfrm flipH="1">
          <a:off x="9950450" y="2335213"/>
          <a:ext cx="1381125" cy="576262"/>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219075</xdr:colOff>
      <xdr:row>6</xdr:row>
      <xdr:rowOff>48541</xdr:rowOff>
    </xdr:from>
    <xdr:to>
      <xdr:col>18</xdr:col>
      <xdr:colOff>53975</xdr:colOff>
      <xdr:row>9</xdr:row>
      <xdr:rowOff>113239</xdr:rowOff>
    </xdr:to>
    <xdr:sp macro="" textlink="">
      <xdr:nvSpPr>
        <xdr:cNvPr id="8" name="Rectangle 143">
          <a:extLst>
            <a:ext uri="{FF2B5EF4-FFF2-40B4-BE49-F238E27FC236}">
              <a16:creationId xmlns:a16="http://schemas.microsoft.com/office/drawing/2014/main" id="{119882D7-333E-4DF9-BC8C-9FEE7233E0E2}"/>
            </a:ext>
          </a:extLst>
        </xdr:cNvPr>
        <xdr:cNvSpPr>
          <a:spLocks noChangeArrowheads="1"/>
        </xdr:cNvSpPr>
      </xdr:nvSpPr>
      <xdr:spPr bwMode="auto">
        <a:xfrm>
          <a:off x="11287125" y="3972841"/>
          <a:ext cx="4406900" cy="664773"/>
        </a:xfrm>
        <a:prstGeom prst="rect">
          <a:avLst/>
        </a:prstGeom>
        <a:solidFill>
          <a:srgbClr val="CCFFCC"/>
        </a:solidFill>
        <a:ln w="9525">
          <a:solidFill>
            <a:srgbClr val="000000"/>
          </a:solidFill>
          <a:miter lim="800000"/>
          <a:headEnd/>
          <a:tailEnd/>
        </a:ln>
      </xdr:spPr>
      <xdr:txBody>
        <a:bodyPr vertOverflow="clip" wrap="square" lIns="27432" tIns="22860" rIns="0" bIns="0" anchor="t" upright="1"/>
        <a:lstStyle/>
        <a:p>
          <a:pPr rtl="0"/>
          <a:r>
            <a:rPr lang="en-GB" sz="800" b="0" i="0" baseline="0">
              <a:latin typeface="Arial" pitchFamily="34" charset="0"/>
              <a:ea typeface="+mn-ea"/>
              <a:cs typeface="Arial" pitchFamily="34" charset="0"/>
            </a:rPr>
            <a:t>Note: </a:t>
          </a:r>
          <a:r>
            <a:rPr lang="en-GB" sz="800" b="0" i="0" u="sng" baseline="0">
              <a:latin typeface="Arial" pitchFamily="34" charset="0"/>
              <a:ea typeface="+mn-ea"/>
              <a:cs typeface="Arial" pitchFamily="34" charset="0"/>
            </a:rPr>
            <a:t>Emissions associated with restoration practices</a:t>
          </a:r>
          <a:r>
            <a:rPr lang="en-GB" sz="800" b="0" i="0" baseline="0">
              <a:latin typeface="Arial" pitchFamily="34" charset="0"/>
              <a:ea typeface="+mn-ea"/>
              <a:cs typeface="Arial" pitchFamily="34" charset="0"/>
            </a:rPr>
            <a:t>. </a:t>
          </a:r>
          <a:endParaRPr lang="en-GB" sz="800">
            <a:latin typeface="Arial" pitchFamily="34" charset="0"/>
            <a:cs typeface="Arial" pitchFamily="34" charset="0"/>
          </a:endParaRPr>
        </a:p>
        <a:p>
          <a:pPr rtl="0"/>
          <a:r>
            <a:rPr lang="en-GB" sz="800" b="0" i="0" baseline="0">
              <a:latin typeface="Arial" pitchFamily="34" charset="0"/>
              <a:ea typeface="+mn-ea"/>
              <a:cs typeface="Arial" pitchFamily="34" charset="0"/>
            </a:rPr>
            <a:t>These figures are taken from Brennand et al. (2025) Evaluating the carbon costs of UK blanket peatland restoration. The number of peat dams and bunds per hectare are taken from a speciic restoration project (Holcombe Moor restoration project in South Lancashire) which is assumed to be representative</a:t>
          </a:r>
        </a:p>
        <a:p>
          <a:pPr rtl="0"/>
          <a:endParaRPr lang="en-GB" sz="800">
            <a:latin typeface="Arial" pitchFamily="34" charset="0"/>
            <a:ea typeface="+mn-ea"/>
            <a:cs typeface="Arial" pitchFamily="34" charset="0"/>
          </a:endParaRPr>
        </a:p>
      </xdr:txBody>
    </xdr:sp>
    <xdr:clientData/>
  </xdr:twoCellAnchor>
  <xdr:twoCellAnchor>
    <xdr:from>
      <xdr:col>7</xdr:col>
      <xdr:colOff>1276350</xdr:colOff>
      <xdr:row>7</xdr:row>
      <xdr:rowOff>179315</xdr:rowOff>
    </xdr:from>
    <xdr:to>
      <xdr:col>10</xdr:col>
      <xdr:colOff>215900</xdr:colOff>
      <xdr:row>8</xdr:row>
      <xdr:rowOff>76200</xdr:rowOff>
    </xdr:to>
    <xdr:cxnSp macro="">
      <xdr:nvCxnSpPr>
        <xdr:cNvPr id="10" name="Straight Arrow Connector 9">
          <a:extLst>
            <a:ext uri="{FF2B5EF4-FFF2-40B4-BE49-F238E27FC236}">
              <a16:creationId xmlns:a16="http://schemas.microsoft.com/office/drawing/2014/main" id="{AEE4CBB6-08E4-DD92-8916-ED4E26F9555F}"/>
            </a:ext>
          </a:extLst>
        </xdr:cNvPr>
        <xdr:cNvCxnSpPr>
          <a:stCxn id="8" idx="1"/>
        </xdr:cNvCxnSpPr>
      </xdr:nvCxnSpPr>
      <xdr:spPr>
        <a:xfrm flipH="1">
          <a:off x="9953625" y="4303640"/>
          <a:ext cx="1330325" cy="96910"/>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1288912</xdr:colOff>
      <xdr:row>7</xdr:row>
      <xdr:rowOff>179315</xdr:rowOff>
    </xdr:from>
    <xdr:to>
      <xdr:col>10</xdr:col>
      <xdr:colOff>215900</xdr:colOff>
      <xdr:row>9</xdr:row>
      <xdr:rowOff>87934</xdr:rowOff>
    </xdr:to>
    <xdr:cxnSp macro="">
      <xdr:nvCxnSpPr>
        <xdr:cNvPr id="11" name="Straight Arrow Connector 10">
          <a:extLst>
            <a:ext uri="{FF2B5EF4-FFF2-40B4-BE49-F238E27FC236}">
              <a16:creationId xmlns:a16="http://schemas.microsoft.com/office/drawing/2014/main" id="{C2F9464E-D8DF-4938-8574-3F6200FB4F8D}"/>
            </a:ext>
          </a:extLst>
        </xdr:cNvPr>
        <xdr:cNvCxnSpPr>
          <a:stCxn id="8" idx="1"/>
        </xdr:cNvCxnSpPr>
      </xdr:nvCxnSpPr>
      <xdr:spPr>
        <a:xfrm flipH="1">
          <a:off x="9966187" y="4303640"/>
          <a:ext cx="1317763" cy="308669"/>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1303544</xdr:colOff>
      <xdr:row>7</xdr:row>
      <xdr:rowOff>179315</xdr:rowOff>
    </xdr:from>
    <xdr:to>
      <xdr:col>10</xdr:col>
      <xdr:colOff>215900</xdr:colOff>
      <xdr:row>11</xdr:row>
      <xdr:rowOff>115956</xdr:rowOff>
    </xdr:to>
    <xdr:cxnSp macro="">
      <xdr:nvCxnSpPr>
        <xdr:cNvPr id="13" name="Straight Arrow Connector 12">
          <a:extLst>
            <a:ext uri="{FF2B5EF4-FFF2-40B4-BE49-F238E27FC236}">
              <a16:creationId xmlns:a16="http://schemas.microsoft.com/office/drawing/2014/main" id="{0C59A666-06A7-4DBE-A902-753FC96C08A4}"/>
            </a:ext>
          </a:extLst>
        </xdr:cNvPr>
        <xdr:cNvCxnSpPr>
          <a:stCxn id="8" idx="1"/>
        </xdr:cNvCxnSpPr>
      </xdr:nvCxnSpPr>
      <xdr:spPr>
        <a:xfrm flipH="1">
          <a:off x="9980819" y="4303640"/>
          <a:ext cx="1303131" cy="698641"/>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1303544</xdr:colOff>
      <xdr:row>7</xdr:row>
      <xdr:rowOff>179315</xdr:rowOff>
    </xdr:from>
    <xdr:to>
      <xdr:col>10</xdr:col>
      <xdr:colOff>215900</xdr:colOff>
      <xdr:row>12</xdr:row>
      <xdr:rowOff>132522</xdr:rowOff>
    </xdr:to>
    <xdr:cxnSp macro="">
      <xdr:nvCxnSpPr>
        <xdr:cNvPr id="15" name="Straight Arrow Connector 14">
          <a:extLst>
            <a:ext uri="{FF2B5EF4-FFF2-40B4-BE49-F238E27FC236}">
              <a16:creationId xmlns:a16="http://schemas.microsoft.com/office/drawing/2014/main" id="{9BA5750B-4089-487F-890E-511207EFEE60}"/>
            </a:ext>
          </a:extLst>
        </xdr:cNvPr>
        <xdr:cNvCxnSpPr>
          <a:stCxn id="8" idx="1"/>
        </xdr:cNvCxnSpPr>
      </xdr:nvCxnSpPr>
      <xdr:spPr>
        <a:xfrm flipH="1">
          <a:off x="9980819" y="4303640"/>
          <a:ext cx="1303131" cy="915232"/>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1305477</xdr:colOff>
      <xdr:row>7</xdr:row>
      <xdr:rowOff>179315</xdr:rowOff>
    </xdr:from>
    <xdr:to>
      <xdr:col>10</xdr:col>
      <xdr:colOff>215900</xdr:colOff>
      <xdr:row>13</xdr:row>
      <xdr:rowOff>104499</xdr:rowOff>
    </xdr:to>
    <xdr:cxnSp macro="">
      <xdr:nvCxnSpPr>
        <xdr:cNvPr id="17" name="Straight Arrow Connector 16">
          <a:extLst>
            <a:ext uri="{FF2B5EF4-FFF2-40B4-BE49-F238E27FC236}">
              <a16:creationId xmlns:a16="http://schemas.microsoft.com/office/drawing/2014/main" id="{31CE6C33-C8F3-419C-B703-BEBA715E7BAE}"/>
            </a:ext>
          </a:extLst>
        </xdr:cNvPr>
        <xdr:cNvCxnSpPr>
          <a:stCxn id="8" idx="1"/>
        </xdr:cNvCxnSpPr>
      </xdr:nvCxnSpPr>
      <xdr:spPr>
        <a:xfrm flipH="1">
          <a:off x="9982752" y="4303640"/>
          <a:ext cx="1301198" cy="1087234"/>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3</xdr:col>
          <xdr:colOff>400050</xdr:colOff>
          <xdr:row>51</xdr:row>
          <xdr:rowOff>0</xdr:rowOff>
        </xdr:from>
        <xdr:to>
          <xdr:col>3</xdr:col>
          <xdr:colOff>1085850</xdr:colOff>
          <xdr:row>52</xdr:row>
          <xdr:rowOff>0</xdr:rowOff>
        </xdr:to>
        <xdr:sp macro="" textlink="">
          <xdr:nvSpPr>
            <xdr:cNvPr id="2606654" name="Drop Down 3646" hidden="1">
              <a:extLst>
                <a:ext uri="{63B3BB69-23CF-44E3-9099-C40C66FF867C}">
                  <a14:compatExt spid="_x0000_s2606654"/>
                </a:ext>
                <a:ext uri="{FF2B5EF4-FFF2-40B4-BE49-F238E27FC236}">
                  <a16:creationId xmlns:a16="http://schemas.microsoft.com/office/drawing/2014/main" id="{00000000-0008-0000-0000-00003E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51</xdr:row>
          <xdr:rowOff>12700</xdr:rowOff>
        </xdr:from>
        <xdr:to>
          <xdr:col>5</xdr:col>
          <xdr:colOff>1085850</xdr:colOff>
          <xdr:row>52</xdr:row>
          <xdr:rowOff>12700</xdr:rowOff>
        </xdr:to>
        <xdr:sp macro="" textlink="">
          <xdr:nvSpPr>
            <xdr:cNvPr id="2606655" name="Drop Down 3647" hidden="1">
              <a:extLst>
                <a:ext uri="{63B3BB69-23CF-44E3-9099-C40C66FF867C}">
                  <a14:compatExt spid="_x0000_s2606655"/>
                </a:ext>
                <a:ext uri="{FF2B5EF4-FFF2-40B4-BE49-F238E27FC236}">
                  <a16:creationId xmlns:a16="http://schemas.microsoft.com/office/drawing/2014/main" id="{00000000-0008-0000-0000-00003F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51</xdr:row>
          <xdr:rowOff>6350</xdr:rowOff>
        </xdr:from>
        <xdr:to>
          <xdr:col>7</xdr:col>
          <xdr:colOff>1085850</xdr:colOff>
          <xdr:row>52</xdr:row>
          <xdr:rowOff>12700</xdr:rowOff>
        </xdr:to>
        <xdr:sp macro="" textlink="">
          <xdr:nvSpPr>
            <xdr:cNvPr id="2606656" name="Drop Down 3648" hidden="1">
              <a:extLst>
                <a:ext uri="{63B3BB69-23CF-44E3-9099-C40C66FF867C}">
                  <a14:compatExt spid="_x0000_s2606656"/>
                </a:ext>
                <a:ext uri="{FF2B5EF4-FFF2-40B4-BE49-F238E27FC236}">
                  <a16:creationId xmlns:a16="http://schemas.microsoft.com/office/drawing/2014/main" id="{00000000-0008-0000-0000-000040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406400</xdr:colOff>
          <xdr:row>52</xdr:row>
          <xdr:rowOff>0</xdr:rowOff>
        </xdr:from>
        <xdr:to>
          <xdr:col>3</xdr:col>
          <xdr:colOff>1098550</xdr:colOff>
          <xdr:row>53</xdr:row>
          <xdr:rowOff>0</xdr:rowOff>
        </xdr:to>
        <xdr:sp macro="" textlink="">
          <xdr:nvSpPr>
            <xdr:cNvPr id="2606657" name="Drop Down 3649" hidden="1">
              <a:extLst>
                <a:ext uri="{63B3BB69-23CF-44E3-9099-C40C66FF867C}">
                  <a14:compatExt spid="_x0000_s2606657"/>
                </a:ext>
                <a:ext uri="{FF2B5EF4-FFF2-40B4-BE49-F238E27FC236}">
                  <a16:creationId xmlns:a16="http://schemas.microsoft.com/office/drawing/2014/main" id="{00000000-0008-0000-0000-000041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52</xdr:row>
          <xdr:rowOff>12700</xdr:rowOff>
        </xdr:from>
        <xdr:to>
          <xdr:col>5</xdr:col>
          <xdr:colOff>1085850</xdr:colOff>
          <xdr:row>53</xdr:row>
          <xdr:rowOff>12700</xdr:rowOff>
        </xdr:to>
        <xdr:sp macro="" textlink="">
          <xdr:nvSpPr>
            <xdr:cNvPr id="2606658" name="Drop Down 3650" hidden="1">
              <a:extLst>
                <a:ext uri="{63B3BB69-23CF-44E3-9099-C40C66FF867C}">
                  <a14:compatExt spid="_x0000_s2606658"/>
                </a:ext>
                <a:ext uri="{FF2B5EF4-FFF2-40B4-BE49-F238E27FC236}">
                  <a16:creationId xmlns:a16="http://schemas.microsoft.com/office/drawing/2014/main" id="{00000000-0008-0000-0000-000042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52</xdr:row>
          <xdr:rowOff>12700</xdr:rowOff>
        </xdr:from>
        <xdr:to>
          <xdr:col>7</xdr:col>
          <xdr:colOff>1085850</xdr:colOff>
          <xdr:row>53</xdr:row>
          <xdr:rowOff>12700</xdr:rowOff>
        </xdr:to>
        <xdr:sp macro="" textlink="">
          <xdr:nvSpPr>
            <xdr:cNvPr id="2606659" name="Drop Down 3651" hidden="1">
              <a:extLst>
                <a:ext uri="{63B3BB69-23CF-44E3-9099-C40C66FF867C}">
                  <a14:compatExt spid="_x0000_s2606659"/>
                </a:ext>
                <a:ext uri="{FF2B5EF4-FFF2-40B4-BE49-F238E27FC236}">
                  <a16:creationId xmlns:a16="http://schemas.microsoft.com/office/drawing/2014/main" id="{00000000-0008-0000-0000-000043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54</xdr:row>
          <xdr:rowOff>0</xdr:rowOff>
        </xdr:from>
        <xdr:to>
          <xdr:col>3</xdr:col>
          <xdr:colOff>1085850</xdr:colOff>
          <xdr:row>55</xdr:row>
          <xdr:rowOff>0</xdr:rowOff>
        </xdr:to>
        <xdr:sp macro="" textlink="">
          <xdr:nvSpPr>
            <xdr:cNvPr id="2606660" name="Drop Down 3652" hidden="1">
              <a:extLst>
                <a:ext uri="{63B3BB69-23CF-44E3-9099-C40C66FF867C}">
                  <a14:compatExt spid="_x0000_s2606660"/>
                </a:ext>
                <a:ext uri="{FF2B5EF4-FFF2-40B4-BE49-F238E27FC236}">
                  <a16:creationId xmlns:a16="http://schemas.microsoft.com/office/drawing/2014/main" id="{00000000-0008-0000-0000-000044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54</xdr:row>
          <xdr:rowOff>12700</xdr:rowOff>
        </xdr:from>
        <xdr:to>
          <xdr:col>5</xdr:col>
          <xdr:colOff>1085850</xdr:colOff>
          <xdr:row>55</xdr:row>
          <xdr:rowOff>12700</xdr:rowOff>
        </xdr:to>
        <xdr:sp macro="" textlink="">
          <xdr:nvSpPr>
            <xdr:cNvPr id="2606661" name="Drop Down 3653" hidden="1">
              <a:extLst>
                <a:ext uri="{63B3BB69-23CF-44E3-9099-C40C66FF867C}">
                  <a14:compatExt spid="_x0000_s2606661"/>
                </a:ext>
                <a:ext uri="{FF2B5EF4-FFF2-40B4-BE49-F238E27FC236}">
                  <a16:creationId xmlns:a16="http://schemas.microsoft.com/office/drawing/2014/main" id="{00000000-0008-0000-0000-000045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54</xdr:row>
          <xdr:rowOff>12700</xdr:rowOff>
        </xdr:from>
        <xdr:to>
          <xdr:col>7</xdr:col>
          <xdr:colOff>1085850</xdr:colOff>
          <xdr:row>55</xdr:row>
          <xdr:rowOff>12700</xdr:rowOff>
        </xdr:to>
        <xdr:sp macro="" textlink="">
          <xdr:nvSpPr>
            <xdr:cNvPr id="2606662" name="Drop Down 3654" hidden="1">
              <a:extLst>
                <a:ext uri="{63B3BB69-23CF-44E3-9099-C40C66FF867C}">
                  <a14:compatExt spid="_x0000_s2606662"/>
                </a:ext>
                <a:ext uri="{FF2B5EF4-FFF2-40B4-BE49-F238E27FC236}">
                  <a16:creationId xmlns:a16="http://schemas.microsoft.com/office/drawing/2014/main" id="{00000000-0008-0000-0000-000046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55</xdr:row>
          <xdr:rowOff>0</xdr:rowOff>
        </xdr:from>
        <xdr:to>
          <xdr:col>3</xdr:col>
          <xdr:colOff>1085850</xdr:colOff>
          <xdr:row>56</xdr:row>
          <xdr:rowOff>0</xdr:rowOff>
        </xdr:to>
        <xdr:sp macro="" textlink="">
          <xdr:nvSpPr>
            <xdr:cNvPr id="2606663" name="Drop Down 3655" hidden="1">
              <a:extLst>
                <a:ext uri="{63B3BB69-23CF-44E3-9099-C40C66FF867C}">
                  <a14:compatExt spid="_x0000_s2606663"/>
                </a:ext>
                <a:ext uri="{FF2B5EF4-FFF2-40B4-BE49-F238E27FC236}">
                  <a16:creationId xmlns:a16="http://schemas.microsoft.com/office/drawing/2014/main" id="{00000000-0008-0000-0000-000047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55</xdr:row>
          <xdr:rowOff>12700</xdr:rowOff>
        </xdr:from>
        <xdr:to>
          <xdr:col>5</xdr:col>
          <xdr:colOff>1085850</xdr:colOff>
          <xdr:row>56</xdr:row>
          <xdr:rowOff>12700</xdr:rowOff>
        </xdr:to>
        <xdr:sp macro="" textlink="">
          <xdr:nvSpPr>
            <xdr:cNvPr id="2606664" name="Drop Down 3656" hidden="1">
              <a:extLst>
                <a:ext uri="{63B3BB69-23CF-44E3-9099-C40C66FF867C}">
                  <a14:compatExt spid="_x0000_s2606664"/>
                </a:ext>
                <a:ext uri="{FF2B5EF4-FFF2-40B4-BE49-F238E27FC236}">
                  <a16:creationId xmlns:a16="http://schemas.microsoft.com/office/drawing/2014/main" id="{00000000-0008-0000-0000-000048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55</xdr:row>
          <xdr:rowOff>12700</xdr:rowOff>
        </xdr:from>
        <xdr:to>
          <xdr:col>7</xdr:col>
          <xdr:colOff>1085850</xdr:colOff>
          <xdr:row>56</xdr:row>
          <xdr:rowOff>12700</xdr:rowOff>
        </xdr:to>
        <xdr:sp macro="" textlink="">
          <xdr:nvSpPr>
            <xdr:cNvPr id="2606665" name="Drop Down 3657" hidden="1">
              <a:extLst>
                <a:ext uri="{63B3BB69-23CF-44E3-9099-C40C66FF867C}">
                  <a14:compatExt spid="_x0000_s2606665"/>
                </a:ext>
                <a:ext uri="{FF2B5EF4-FFF2-40B4-BE49-F238E27FC236}">
                  <a16:creationId xmlns:a16="http://schemas.microsoft.com/office/drawing/2014/main" id="{00000000-0008-0000-0000-000049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56</xdr:row>
          <xdr:rowOff>0</xdr:rowOff>
        </xdr:from>
        <xdr:to>
          <xdr:col>3</xdr:col>
          <xdr:colOff>1085850</xdr:colOff>
          <xdr:row>57</xdr:row>
          <xdr:rowOff>0</xdr:rowOff>
        </xdr:to>
        <xdr:sp macro="" textlink="">
          <xdr:nvSpPr>
            <xdr:cNvPr id="2606666" name="Drop Down 3658" hidden="1">
              <a:extLst>
                <a:ext uri="{63B3BB69-23CF-44E3-9099-C40C66FF867C}">
                  <a14:compatExt spid="_x0000_s2606666"/>
                </a:ext>
                <a:ext uri="{FF2B5EF4-FFF2-40B4-BE49-F238E27FC236}">
                  <a16:creationId xmlns:a16="http://schemas.microsoft.com/office/drawing/2014/main" id="{00000000-0008-0000-0000-00004A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56</xdr:row>
          <xdr:rowOff>12700</xdr:rowOff>
        </xdr:from>
        <xdr:to>
          <xdr:col>5</xdr:col>
          <xdr:colOff>1085850</xdr:colOff>
          <xdr:row>57</xdr:row>
          <xdr:rowOff>12700</xdr:rowOff>
        </xdr:to>
        <xdr:sp macro="" textlink="">
          <xdr:nvSpPr>
            <xdr:cNvPr id="2606667" name="Drop Down 3659" hidden="1">
              <a:extLst>
                <a:ext uri="{63B3BB69-23CF-44E3-9099-C40C66FF867C}">
                  <a14:compatExt spid="_x0000_s2606667"/>
                </a:ext>
                <a:ext uri="{FF2B5EF4-FFF2-40B4-BE49-F238E27FC236}">
                  <a16:creationId xmlns:a16="http://schemas.microsoft.com/office/drawing/2014/main" id="{00000000-0008-0000-0000-00004B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56</xdr:row>
          <xdr:rowOff>12700</xdr:rowOff>
        </xdr:from>
        <xdr:to>
          <xdr:col>7</xdr:col>
          <xdr:colOff>1085850</xdr:colOff>
          <xdr:row>57</xdr:row>
          <xdr:rowOff>12700</xdr:rowOff>
        </xdr:to>
        <xdr:sp macro="" textlink="">
          <xdr:nvSpPr>
            <xdr:cNvPr id="2606668" name="Drop Down 3660" hidden="1">
              <a:extLst>
                <a:ext uri="{63B3BB69-23CF-44E3-9099-C40C66FF867C}">
                  <a14:compatExt spid="_x0000_s2606668"/>
                </a:ext>
                <a:ext uri="{FF2B5EF4-FFF2-40B4-BE49-F238E27FC236}">
                  <a16:creationId xmlns:a16="http://schemas.microsoft.com/office/drawing/2014/main" id="{00000000-0008-0000-0000-00004C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86</xdr:row>
          <xdr:rowOff>0</xdr:rowOff>
        </xdr:from>
        <xdr:to>
          <xdr:col>3</xdr:col>
          <xdr:colOff>1085850</xdr:colOff>
          <xdr:row>86</xdr:row>
          <xdr:rowOff>165100</xdr:rowOff>
        </xdr:to>
        <xdr:sp macro="" textlink="">
          <xdr:nvSpPr>
            <xdr:cNvPr id="2606669" name="Drop Down 3661" hidden="1">
              <a:extLst>
                <a:ext uri="{63B3BB69-23CF-44E3-9099-C40C66FF867C}">
                  <a14:compatExt spid="_x0000_s2606669"/>
                </a:ext>
                <a:ext uri="{FF2B5EF4-FFF2-40B4-BE49-F238E27FC236}">
                  <a16:creationId xmlns:a16="http://schemas.microsoft.com/office/drawing/2014/main" id="{00000000-0008-0000-0000-00004D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86</xdr:row>
          <xdr:rowOff>12700</xdr:rowOff>
        </xdr:from>
        <xdr:to>
          <xdr:col>5</xdr:col>
          <xdr:colOff>1085850</xdr:colOff>
          <xdr:row>87</xdr:row>
          <xdr:rowOff>12700</xdr:rowOff>
        </xdr:to>
        <xdr:sp macro="" textlink="">
          <xdr:nvSpPr>
            <xdr:cNvPr id="2606670" name="Drop Down 3662" hidden="1">
              <a:extLst>
                <a:ext uri="{63B3BB69-23CF-44E3-9099-C40C66FF867C}">
                  <a14:compatExt spid="_x0000_s2606670"/>
                </a:ext>
                <a:ext uri="{FF2B5EF4-FFF2-40B4-BE49-F238E27FC236}">
                  <a16:creationId xmlns:a16="http://schemas.microsoft.com/office/drawing/2014/main" id="{00000000-0008-0000-0000-00004E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86</xdr:row>
          <xdr:rowOff>6350</xdr:rowOff>
        </xdr:from>
        <xdr:to>
          <xdr:col>7</xdr:col>
          <xdr:colOff>1085850</xdr:colOff>
          <xdr:row>87</xdr:row>
          <xdr:rowOff>12700</xdr:rowOff>
        </xdr:to>
        <xdr:sp macro="" textlink="">
          <xdr:nvSpPr>
            <xdr:cNvPr id="2606671" name="Drop Down 3663" hidden="1">
              <a:extLst>
                <a:ext uri="{63B3BB69-23CF-44E3-9099-C40C66FF867C}">
                  <a14:compatExt spid="_x0000_s2606671"/>
                </a:ext>
                <a:ext uri="{FF2B5EF4-FFF2-40B4-BE49-F238E27FC236}">
                  <a16:creationId xmlns:a16="http://schemas.microsoft.com/office/drawing/2014/main" id="{00000000-0008-0000-0000-00004F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87</xdr:row>
          <xdr:rowOff>0</xdr:rowOff>
        </xdr:from>
        <xdr:to>
          <xdr:col>3</xdr:col>
          <xdr:colOff>1085850</xdr:colOff>
          <xdr:row>88</xdr:row>
          <xdr:rowOff>0</xdr:rowOff>
        </xdr:to>
        <xdr:sp macro="" textlink="">
          <xdr:nvSpPr>
            <xdr:cNvPr id="2606684" name="Drop Down 3676" hidden="1">
              <a:extLst>
                <a:ext uri="{63B3BB69-23CF-44E3-9099-C40C66FF867C}">
                  <a14:compatExt spid="_x0000_s2606684"/>
                </a:ext>
                <a:ext uri="{FF2B5EF4-FFF2-40B4-BE49-F238E27FC236}">
                  <a16:creationId xmlns:a16="http://schemas.microsoft.com/office/drawing/2014/main" id="{00000000-0008-0000-0000-00005C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87</xdr:row>
          <xdr:rowOff>12700</xdr:rowOff>
        </xdr:from>
        <xdr:to>
          <xdr:col>5</xdr:col>
          <xdr:colOff>1085850</xdr:colOff>
          <xdr:row>88</xdr:row>
          <xdr:rowOff>19050</xdr:rowOff>
        </xdr:to>
        <xdr:sp macro="" textlink="">
          <xdr:nvSpPr>
            <xdr:cNvPr id="2606685" name="Drop Down 3677" hidden="1">
              <a:extLst>
                <a:ext uri="{63B3BB69-23CF-44E3-9099-C40C66FF867C}">
                  <a14:compatExt spid="_x0000_s2606685"/>
                </a:ext>
                <a:ext uri="{FF2B5EF4-FFF2-40B4-BE49-F238E27FC236}">
                  <a16:creationId xmlns:a16="http://schemas.microsoft.com/office/drawing/2014/main" id="{00000000-0008-0000-0000-00005D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87</xdr:row>
          <xdr:rowOff>6350</xdr:rowOff>
        </xdr:from>
        <xdr:to>
          <xdr:col>7</xdr:col>
          <xdr:colOff>1085850</xdr:colOff>
          <xdr:row>88</xdr:row>
          <xdr:rowOff>19050</xdr:rowOff>
        </xdr:to>
        <xdr:sp macro="" textlink="">
          <xdr:nvSpPr>
            <xdr:cNvPr id="2606686" name="Drop Down 3678" hidden="1">
              <a:extLst>
                <a:ext uri="{63B3BB69-23CF-44E3-9099-C40C66FF867C}">
                  <a14:compatExt spid="_x0000_s2606686"/>
                </a:ext>
                <a:ext uri="{FF2B5EF4-FFF2-40B4-BE49-F238E27FC236}">
                  <a16:creationId xmlns:a16="http://schemas.microsoft.com/office/drawing/2014/main" id="{00000000-0008-0000-0000-00005E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89</xdr:row>
          <xdr:rowOff>0</xdr:rowOff>
        </xdr:from>
        <xdr:to>
          <xdr:col>3</xdr:col>
          <xdr:colOff>1085850</xdr:colOff>
          <xdr:row>90</xdr:row>
          <xdr:rowOff>0</xdr:rowOff>
        </xdr:to>
        <xdr:sp macro="" textlink="">
          <xdr:nvSpPr>
            <xdr:cNvPr id="2606687" name="Drop Down 3679" hidden="1">
              <a:extLst>
                <a:ext uri="{63B3BB69-23CF-44E3-9099-C40C66FF867C}">
                  <a14:compatExt spid="_x0000_s2606687"/>
                </a:ext>
                <a:ext uri="{FF2B5EF4-FFF2-40B4-BE49-F238E27FC236}">
                  <a16:creationId xmlns:a16="http://schemas.microsoft.com/office/drawing/2014/main" id="{00000000-0008-0000-0000-00005F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89</xdr:row>
          <xdr:rowOff>12700</xdr:rowOff>
        </xdr:from>
        <xdr:to>
          <xdr:col>5</xdr:col>
          <xdr:colOff>1085850</xdr:colOff>
          <xdr:row>90</xdr:row>
          <xdr:rowOff>19050</xdr:rowOff>
        </xdr:to>
        <xdr:sp macro="" textlink="">
          <xdr:nvSpPr>
            <xdr:cNvPr id="2606688" name="Drop Down 3680" hidden="1">
              <a:extLst>
                <a:ext uri="{63B3BB69-23CF-44E3-9099-C40C66FF867C}">
                  <a14:compatExt spid="_x0000_s2606688"/>
                </a:ext>
                <a:ext uri="{FF2B5EF4-FFF2-40B4-BE49-F238E27FC236}">
                  <a16:creationId xmlns:a16="http://schemas.microsoft.com/office/drawing/2014/main" id="{00000000-0008-0000-0000-000060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89</xdr:row>
          <xdr:rowOff>6350</xdr:rowOff>
        </xdr:from>
        <xdr:to>
          <xdr:col>7</xdr:col>
          <xdr:colOff>1085850</xdr:colOff>
          <xdr:row>90</xdr:row>
          <xdr:rowOff>19050</xdr:rowOff>
        </xdr:to>
        <xdr:sp macro="" textlink="">
          <xdr:nvSpPr>
            <xdr:cNvPr id="2606689" name="Drop Down 3681" hidden="1">
              <a:extLst>
                <a:ext uri="{63B3BB69-23CF-44E3-9099-C40C66FF867C}">
                  <a14:compatExt spid="_x0000_s2606689"/>
                </a:ext>
                <a:ext uri="{FF2B5EF4-FFF2-40B4-BE49-F238E27FC236}">
                  <a16:creationId xmlns:a16="http://schemas.microsoft.com/office/drawing/2014/main" id="{00000000-0008-0000-0000-000061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90</xdr:row>
          <xdr:rowOff>0</xdr:rowOff>
        </xdr:from>
        <xdr:to>
          <xdr:col>3</xdr:col>
          <xdr:colOff>1085850</xdr:colOff>
          <xdr:row>91</xdr:row>
          <xdr:rowOff>0</xdr:rowOff>
        </xdr:to>
        <xdr:sp macro="" textlink="">
          <xdr:nvSpPr>
            <xdr:cNvPr id="2606690" name="Drop Down 3682" hidden="1">
              <a:extLst>
                <a:ext uri="{63B3BB69-23CF-44E3-9099-C40C66FF867C}">
                  <a14:compatExt spid="_x0000_s2606690"/>
                </a:ext>
                <a:ext uri="{FF2B5EF4-FFF2-40B4-BE49-F238E27FC236}">
                  <a16:creationId xmlns:a16="http://schemas.microsoft.com/office/drawing/2014/main" id="{00000000-0008-0000-0000-000062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90</xdr:row>
          <xdr:rowOff>12700</xdr:rowOff>
        </xdr:from>
        <xdr:to>
          <xdr:col>5</xdr:col>
          <xdr:colOff>1085850</xdr:colOff>
          <xdr:row>91</xdr:row>
          <xdr:rowOff>19050</xdr:rowOff>
        </xdr:to>
        <xdr:sp macro="" textlink="">
          <xdr:nvSpPr>
            <xdr:cNvPr id="2606691" name="Drop Down 3683" hidden="1">
              <a:extLst>
                <a:ext uri="{63B3BB69-23CF-44E3-9099-C40C66FF867C}">
                  <a14:compatExt spid="_x0000_s2606691"/>
                </a:ext>
                <a:ext uri="{FF2B5EF4-FFF2-40B4-BE49-F238E27FC236}">
                  <a16:creationId xmlns:a16="http://schemas.microsoft.com/office/drawing/2014/main" id="{00000000-0008-0000-0000-000063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90</xdr:row>
          <xdr:rowOff>6350</xdr:rowOff>
        </xdr:from>
        <xdr:to>
          <xdr:col>7</xdr:col>
          <xdr:colOff>1085850</xdr:colOff>
          <xdr:row>91</xdr:row>
          <xdr:rowOff>19050</xdr:rowOff>
        </xdr:to>
        <xdr:sp macro="" textlink="">
          <xdr:nvSpPr>
            <xdr:cNvPr id="2606692" name="Drop Down 3684" hidden="1">
              <a:extLst>
                <a:ext uri="{63B3BB69-23CF-44E3-9099-C40C66FF867C}">
                  <a14:compatExt spid="_x0000_s2606692"/>
                </a:ext>
                <a:ext uri="{FF2B5EF4-FFF2-40B4-BE49-F238E27FC236}">
                  <a16:creationId xmlns:a16="http://schemas.microsoft.com/office/drawing/2014/main" id="{00000000-0008-0000-0000-000064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91</xdr:row>
          <xdr:rowOff>0</xdr:rowOff>
        </xdr:from>
        <xdr:to>
          <xdr:col>3</xdr:col>
          <xdr:colOff>1085850</xdr:colOff>
          <xdr:row>92</xdr:row>
          <xdr:rowOff>0</xdr:rowOff>
        </xdr:to>
        <xdr:sp macro="" textlink="">
          <xdr:nvSpPr>
            <xdr:cNvPr id="2606693" name="Drop Down 3685" hidden="1">
              <a:extLst>
                <a:ext uri="{63B3BB69-23CF-44E3-9099-C40C66FF867C}">
                  <a14:compatExt spid="_x0000_s2606693"/>
                </a:ext>
                <a:ext uri="{FF2B5EF4-FFF2-40B4-BE49-F238E27FC236}">
                  <a16:creationId xmlns:a16="http://schemas.microsoft.com/office/drawing/2014/main" id="{00000000-0008-0000-0000-000065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91</xdr:row>
          <xdr:rowOff>12700</xdr:rowOff>
        </xdr:from>
        <xdr:to>
          <xdr:col>5</xdr:col>
          <xdr:colOff>1085850</xdr:colOff>
          <xdr:row>92</xdr:row>
          <xdr:rowOff>19050</xdr:rowOff>
        </xdr:to>
        <xdr:sp macro="" textlink="">
          <xdr:nvSpPr>
            <xdr:cNvPr id="2606694" name="Drop Down 3686" hidden="1">
              <a:extLst>
                <a:ext uri="{63B3BB69-23CF-44E3-9099-C40C66FF867C}">
                  <a14:compatExt spid="_x0000_s2606694"/>
                </a:ext>
                <a:ext uri="{FF2B5EF4-FFF2-40B4-BE49-F238E27FC236}">
                  <a16:creationId xmlns:a16="http://schemas.microsoft.com/office/drawing/2014/main" id="{00000000-0008-0000-0000-000066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91</xdr:row>
          <xdr:rowOff>6350</xdr:rowOff>
        </xdr:from>
        <xdr:to>
          <xdr:col>7</xdr:col>
          <xdr:colOff>1085850</xdr:colOff>
          <xdr:row>92</xdr:row>
          <xdr:rowOff>19050</xdr:rowOff>
        </xdr:to>
        <xdr:sp macro="" textlink="">
          <xdr:nvSpPr>
            <xdr:cNvPr id="2606695" name="Drop Down 3687" hidden="1">
              <a:extLst>
                <a:ext uri="{63B3BB69-23CF-44E3-9099-C40C66FF867C}">
                  <a14:compatExt spid="_x0000_s2606695"/>
                </a:ext>
                <a:ext uri="{FF2B5EF4-FFF2-40B4-BE49-F238E27FC236}">
                  <a16:creationId xmlns:a16="http://schemas.microsoft.com/office/drawing/2014/main" id="{00000000-0008-0000-0000-000067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121</xdr:row>
          <xdr:rowOff>0</xdr:rowOff>
        </xdr:from>
        <xdr:to>
          <xdr:col>3</xdr:col>
          <xdr:colOff>1085850</xdr:colOff>
          <xdr:row>121</xdr:row>
          <xdr:rowOff>165100</xdr:rowOff>
        </xdr:to>
        <xdr:sp macro="" textlink="">
          <xdr:nvSpPr>
            <xdr:cNvPr id="2606696" name="Drop Down 3688" hidden="1">
              <a:extLst>
                <a:ext uri="{63B3BB69-23CF-44E3-9099-C40C66FF867C}">
                  <a14:compatExt spid="_x0000_s2606696"/>
                </a:ext>
                <a:ext uri="{FF2B5EF4-FFF2-40B4-BE49-F238E27FC236}">
                  <a16:creationId xmlns:a16="http://schemas.microsoft.com/office/drawing/2014/main" id="{00000000-0008-0000-0000-000068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121</xdr:row>
          <xdr:rowOff>12700</xdr:rowOff>
        </xdr:from>
        <xdr:to>
          <xdr:col>5</xdr:col>
          <xdr:colOff>1085850</xdr:colOff>
          <xdr:row>121</xdr:row>
          <xdr:rowOff>190500</xdr:rowOff>
        </xdr:to>
        <xdr:sp macro="" textlink="">
          <xdr:nvSpPr>
            <xdr:cNvPr id="2606697" name="Drop Down 3689" hidden="1">
              <a:extLst>
                <a:ext uri="{63B3BB69-23CF-44E3-9099-C40C66FF867C}">
                  <a14:compatExt spid="_x0000_s2606697"/>
                </a:ext>
                <a:ext uri="{FF2B5EF4-FFF2-40B4-BE49-F238E27FC236}">
                  <a16:creationId xmlns:a16="http://schemas.microsoft.com/office/drawing/2014/main" id="{00000000-0008-0000-0000-000069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121</xdr:row>
          <xdr:rowOff>6350</xdr:rowOff>
        </xdr:from>
        <xdr:to>
          <xdr:col>7</xdr:col>
          <xdr:colOff>1085850</xdr:colOff>
          <xdr:row>121</xdr:row>
          <xdr:rowOff>190500</xdr:rowOff>
        </xdr:to>
        <xdr:sp macro="" textlink="">
          <xdr:nvSpPr>
            <xdr:cNvPr id="2606698" name="Drop Down 3690" hidden="1">
              <a:extLst>
                <a:ext uri="{63B3BB69-23CF-44E3-9099-C40C66FF867C}">
                  <a14:compatExt spid="_x0000_s2606698"/>
                </a:ext>
                <a:ext uri="{FF2B5EF4-FFF2-40B4-BE49-F238E27FC236}">
                  <a16:creationId xmlns:a16="http://schemas.microsoft.com/office/drawing/2014/main" id="{00000000-0008-0000-0000-00006A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122</xdr:row>
          <xdr:rowOff>0</xdr:rowOff>
        </xdr:from>
        <xdr:to>
          <xdr:col>3</xdr:col>
          <xdr:colOff>1085850</xdr:colOff>
          <xdr:row>123</xdr:row>
          <xdr:rowOff>12700</xdr:rowOff>
        </xdr:to>
        <xdr:sp macro="" textlink="">
          <xdr:nvSpPr>
            <xdr:cNvPr id="2606699" name="Drop Down 3691" hidden="1">
              <a:extLst>
                <a:ext uri="{63B3BB69-23CF-44E3-9099-C40C66FF867C}">
                  <a14:compatExt spid="_x0000_s2606699"/>
                </a:ext>
                <a:ext uri="{FF2B5EF4-FFF2-40B4-BE49-F238E27FC236}">
                  <a16:creationId xmlns:a16="http://schemas.microsoft.com/office/drawing/2014/main" id="{00000000-0008-0000-0000-00006B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122</xdr:row>
          <xdr:rowOff>12700</xdr:rowOff>
        </xdr:from>
        <xdr:to>
          <xdr:col>5</xdr:col>
          <xdr:colOff>1085850</xdr:colOff>
          <xdr:row>123</xdr:row>
          <xdr:rowOff>31750</xdr:rowOff>
        </xdr:to>
        <xdr:sp macro="" textlink="">
          <xdr:nvSpPr>
            <xdr:cNvPr id="2606700" name="Drop Down 3692" hidden="1">
              <a:extLst>
                <a:ext uri="{63B3BB69-23CF-44E3-9099-C40C66FF867C}">
                  <a14:compatExt spid="_x0000_s2606700"/>
                </a:ext>
                <a:ext uri="{FF2B5EF4-FFF2-40B4-BE49-F238E27FC236}">
                  <a16:creationId xmlns:a16="http://schemas.microsoft.com/office/drawing/2014/main" id="{00000000-0008-0000-0000-00006C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122</xdr:row>
          <xdr:rowOff>6350</xdr:rowOff>
        </xdr:from>
        <xdr:to>
          <xdr:col>7</xdr:col>
          <xdr:colOff>1085850</xdr:colOff>
          <xdr:row>123</xdr:row>
          <xdr:rowOff>31750</xdr:rowOff>
        </xdr:to>
        <xdr:sp macro="" textlink="">
          <xdr:nvSpPr>
            <xdr:cNvPr id="2606701" name="Drop Down 3693" hidden="1">
              <a:extLst>
                <a:ext uri="{63B3BB69-23CF-44E3-9099-C40C66FF867C}">
                  <a14:compatExt spid="_x0000_s2606701"/>
                </a:ext>
                <a:ext uri="{FF2B5EF4-FFF2-40B4-BE49-F238E27FC236}">
                  <a16:creationId xmlns:a16="http://schemas.microsoft.com/office/drawing/2014/main" id="{00000000-0008-0000-0000-00006D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124</xdr:row>
          <xdr:rowOff>0</xdr:rowOff>
        </xdr:from>
        <xdr:to>
          <xdr:col>3</xdr:col>
          <xdr:colOff>1085850</xdr:colOff>
          <xdr:row>124</xdr:row>
          <xdr:rowOff>165100</xdr:rowOff>
        </xdr:to>
        <xdr:sp macro="" textlink="">
          <xdr:nvSpPr>
            <xdr:cNvPr id="2606702" name="Drop Down 3694" hidden="1">
              <a:extLst>
                <a:ext uri="{63B3BB69-23CF-44E3-9099-C40C66FF867C}">
                  <a14:compatExt spid="_x0000_s2606702"/>
                </a:ext>
                <a:ext uri="{FF2B5EF4-FFF2-40B4-BE49-F238E27FC236}">
                  <a16:creationId xmlns:a16="http://schemas.microsoft.com/office/drawing/2014/main" id="{00000000-0008-0000-0000-00006E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124</xdr:row>
          <xdr:rowOff>12700</xdr:rowOff>
        </xdr:from>
        <xdr:to>
          <xdr:col>5</xdr:col>
          <xdr:colOff>1085850</xdr:colOff>
          <xdr:row>124</xdr:row>
          <xdr:rowOff>190500</xdr:rowOff>
        </xdr:to>
        <xdr:sp macro="" textlink="">
          <xdr:nvSpPr>
            <xdr:cNvPr id="2606703" name="Drop Down 3695" hidden="1">
              <a:extLst>
                <a:ext uri="{63B3BB69-23CF-44E3-9099-C40C66FF867C}">
                  <a14:compatExt spid="_x0000_s2606703"/>
                </a:ext>
                <a:ext uri="{FF2B5EF4-FFF2-40B4-BE49-F238E27FC236}">
                  <a16:creationId xmlns:a16="http://schemas.microsoft.com/office/drawing/2014/main" id="{00000000-0008-0000-0000-00006F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124</xdr:row>
          <xdr:rowOff>6350</xdr:rowOff>
        </xdr:from>
        <xdr:to>
          <xdr:col>7</xdr:col>
          <xdr:colOff>1085850</xdr:colOff>
          <xdr:row>124</xdr:row>
          <xdr:rowOff>190500</xdr:rowOff>
        </xdr:to>
        <xdr:sp macro="" textlink="">
          <xdr:nvSpPr>
            <xdr:cNvPr id="2606704" name="Drop Down 3696" hidden="1">
              <a:extLst>
                <a:ext uri="{63B3BB69-23CF-44E3-9099-C40C66FF867C}">
                  <a14:compatExt spid="_x0000_s2606704"/>
                </a:ext>
                <a:ext uri="{FF2B5EF4-FFF2-40B4-BE49-F238E27FC236}">
                  <a16:creationId xmlns:a16="http://schemas.microsoft.com/office/drawing/2014/main" id="{00000000-0008-0000-0000-000070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125</xdr:row>
          <xdr:rowOff>0</xdr:rowOff>
        </xdr:from>
        <xdr:to>
          <xdr:col>3</xdr:col>
          <xdr:colOff>1085850</xdr:colOff>
          <xdr:row>125</xdr:row>
          <xdr:rowOff>165100</xdr:rowOff>
        </xdr:to>
        <xdr:sp macro="" textlink="">
          <xdr:nvSpPr>
            <xdr:cNvPr id="2606705" name="Drop Down 3697" hidden="1">
              <a:extLst>
                <a:ext uri="{63B3BB69-23CF-44E3-9099-C40C66FF867C}">
                  <a14:compatExt spid="_x0000_s2606705"/>
                </a:ext>
                <a:ext uri="{FF2B5EF4-FFF2-40B4-BE49-F238E27FC236}">
                  <a16:creationId xmlns:a16="http://schemas.microsoft.com/office/drawing/2014/main" id="{00000000-0008-0000-0000-000071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125</xdr:row>
          <xdr:rowOff>12700</xdr:rowOff>
        </xdr:from>
        <xdr:to>
          <xdr:col>5</xdr:col>
          <xdr:colOff>1085850</xdr:colOff>
          <xdr:row>125</xdr:row>
          <xdr:rowOff>184150</xdr:rowOff>
        </xdr:to>
        <xdr:sp macro="" textlink="">
          <xdr:nvSpPr>
            <xdr:cNvPr id="2606706" name="Drop Down 3698" hidden="1">
              <a:extLst>
                <a:ext uri="{63B3BB69-23CF-44E3-9099-C40C66FF867C}">
                  <a14:compatExt spid="_x0000_s2606706"/>
                </a:ext>
                <a:ext uri="{FF2B5EF4-FFF2-40B4-BE49-F238E27FC236}">
                  <a16:creationId xmlns:a16="http://schemas.microsoft.com/office/drawing/2014/main" id="{00000000-0008-0000-0000-000072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125</xdr:row>
          <xdr:rowOff>6350</xdr:rowOff>
        </xdr:from>
        <xdr:to>
          <xdr:col>7</xdr:col>
          <xdr:colOff>1085850</xdr:colOff>
          <xdr:row>125</xdr:row>
          <xdr:rowOff>184150</xdr:rowOff>
        </xdr:to>
        <xdr:sp macro="" textlink="">
          <xdr:nvSpPr>
            <xdr:cNvPr id="2606707" name="Drop Down 3699" hidden="1">
              <a:extLst>
                <a:ext uri="{63B3BB69-23CF-44E3-9099-C40C66FF867C}">
                  <a14:compatExt spid="_x0000_s2606707"/>
                </a:ext>
                <a:ext uri="{FF2B5EF4-FFF2-40B4-BE49-F238E27FC236}">
                  <a16:creationId xmlns:a16="http://schemas.microsoft.com/office/drawing/2014/main" id="{00000000-0008-0000-0000-000073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126</xdr:row>
          <xdr:rowOff>0</xdr:rowOff>
        </xdr:from>
        <xdr:to>
          <xdr:col>3</xdr:col>
          <xdr:colOff>1085850</xdr:colOff>
          <xdr:row>126</xdr:row>
          <xdr:rowOff>165100</xdr:rowOff>
        </xdr:to>
        <xdr:sp macro="" textlink="">
          <xdr:nvSpPr>
            <xdr:cNvPr id="2606708" name="Drop Down 3700" hidden="1">
              <a:extLst>
                <a:ext uri="{63B3BB69-23CF-44E3-9099-C40C66FF867C}">
                  <a14:compatExt spid="_x0000_s2606708"/>
                </a:ext>
                <a:ext uri="{FF2B5EF4-FFF2-40B4-BE49-F238E27FC236}">
                  <a16:creationId xmlns:a16="http://schemas.microsoft.com/office/drawing/2014/main" id="{00000000-0008-0000-0000-000074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126</xdr:row>
          <xdr:rowOff>12700</xdr:rowOff>
        </xdr:from>
        <xdr:to>
          <xdr:col>5</xdr:col>
          <xdr:colOff>1085850</xdr:colOff>
          <xdr:row>126</xdr:row>
          <xdr:rowOff>184150</xdr:rowOff>
        </xdr:to>
        <xdr:sp macro="" textlink="">
          <xdr:nvSpPr>
            <xdr:cNvPr id="2606709" name="Drop Down 3701" hidden="1">
              <a:extLst>
                <a:ext uri="{63B3BB69-23CF-44E3-9099-C40C66FF867C}">
                  <a14:compatExt spid="_x0000_s2606709"/>
                </a:ext>
                <a:ext uri="{FF2B5EF4-FFF2-40B4-BE49-F238E27FC236}">
                  <a16:creationId xmlns:a16="http://schemas.microsoft.com/office/drawing/2014/main" id="{00000000-0008-0000-0000-000075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126</xdr:row>
          <xdr:rowOff>6350</xdr:rowOff>
        </xdr:from>
        <xdr:to>
          <xdr:col>7</xdr:col>
          <xdr:colOff>1085850</xdr:colOff>
          <xdr:row>126</xdr:row>
          <xdr:rowOff>184150</xdr:rowOff>
        </xdr:to>
        <xdr:sp macro="" textlink="">
          <xdr:nvSpPr>
            <xdr:cNvPr id="2606710" name="Drop Down 3702" hidden="1">
              <a:extLst>
                <a:ext uri="{63B3BB69-23CF-44E3-9099-C40C66FF867C}">
                  <a14:compatExt spid="_x0000_s2606710"/>
                </a:ext>
                <a:ext uri="{FF2B5EF4-FFF2-40B4-BE49-F238E27FC236}">
                  <a16:creationId xmlns:a16="http://schemas.microsoft.com/office/drawing/2014/main" id="{00000000-0008-0000-0000-000076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156</xdr:row>
          <xdr:rowOff>0</xdr:rowOff>
        </xdr:from>
        <xdr:to>
          <xdr:col>3</xdr:col>
          <xdr:colOff>1085850</xdr:colOff>
          <xdr:row>157</xdr:row>
          <xdr:rowOff>0</xdr:rowOff>
        </xdr:to>
        <xdr:sp macro="" textlink="">
          <xdr:nvSpPr>
            <xdr:cNvPr id="2606711" name="Drop Down 3703" hidden="1">
              <a:extLst>
                <a:ext uri="{63B3BB69-23CF-44E3-9099-C40C66FF867C}">
                  <a14:compatExt spid="_x0000_s2606711"/>
                </a:ext>
                <a:ext uri="{FF2B5EF4-FFF2-40B4-BE49-F238E27FC236}">
                  <a16:creationId xmlns:a16="http://schemas.microsoft.com/office/drawing/2014/main" id="{00000000-0008-0000-0000-000077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156</xdr:row>
          <xdr:rowOff>12700</xdr:rowOff>
        </xdr:from>
        <xdr:to>
          <xdr:col>5</xdr:col>
          <xdr:colOff>1085850</xdr:colOff>
          <xdr:row>157</xdr:row>
          <xdr:rowOff>31750</xdr:rowOff>
        </xdr:to>
        <xdr:sp macro="" textlink="">
          <xdr:nvSpPr>
            <xdr:cNvPr id="2606712" name="Drop Down 3704" hidden="1">
              <a:extLst>
                <a:ext uri="{63B3BB69-23CF-44E3-9099-C40C66FF867C}">
                  <a14:compatExt spid="_x0000_s2606712"/>
                </a:ext>
                <a:ext uri="{FF2B5EF4-FFF2-40B4-BE49-F238E27FC236}">
                  <a16:creationId xmlns:a16="http://schemas.microsoft.com/office/drawing/2014/main" id="{00000000-0008-0000-0000-000078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156</xdr:row>
          <xdr:rowOff>6350</xdr:rowOff>
        </xdr:from>
        <xdr:to>
          <xdr:col>7</xdr:col>
          <xdr:colOff>1085850</xdr:colOff>
          <xdr:row>157</xdr:row>
          <xdr:rowOff>31750</xdr:rowOff>
        </xdr:to>
        <xdr:sp macro="" textlink="">
          <xdr:nvSpPr>
            <xdr:cNvPr id="2606713" name="Drop Down 3705" hidden="1">
              <a:extLst>
                <a:ext uri="{63B3BB69-23CF-44E3-9099-C40C66FF867C}">
                  <a14:compatExt spid="_x0000_s2606713"/>
                </a:ext>
                <a:ext uri="{FF2B5EF4-FFF2-40B4-BE49-F238E27FC236}">
                  <a16:creationId xmlns:a16="http://schemas.microsoft.com/office/drawing/2014/main" id="{00000000-0008-0000-0000-000079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157</xdr:row>
          <xdr:rowOff>0</xdr:rowOff>
        </xdr:from>
        <xdr:to>
          <xdr:col>3</xdr:col>
          <xdr:colOff>1085850</xdr:colOff>
          <xdr:row>158</xdr:row>
          <xdr:rowOff>0</xdr:rowOff>
        </xdr:to>
        <xdr:sp macro="" textlink="">
          <xdr:nvSpPr>
            <xdr:cNvPr id="2606714" name="Drop Down 3706" hidden="1">
              <a:extLst>
                <a:ext uri="{63B3BB69-23CF-44E3-9099-C40C66FF867C}">
                  <a14:compatExt spid="_x0000_s2606714"/>
                </a:ext>
                <a:ext uri="{FF2B5EF4-FFF2-40B4-BE49-F238E27FC236}">
                  <a16:creationId xmlns:a16="http://schemas.microsoft.com/office/drawing/2014/main" id="{00000000-0008-0000-0000-00007A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157</xdr:row>
          <xdr:rowOff>12700</xdr:rowOff>
        </xdr:from>
        <xdr:to>
          <xdr:col>5</xdr:col>
          <xdr:colOff>1085850</xdr:colOff>
          <xdr:row>158</xdr:row>
          <xdr:rowOff>19050</xdr:rowOff>
        </xdr:to>
        <xdr:sp macro="" textlink="">
          <xdr:nvSpPr>
            <xdr:cNvPr id="2606715" name="Drop Down 3707" hidden="1">
              <a:extLst>
                <a:ext uri="{63B3BB69-23CF-44E3-9099-C40C66FF867C}">
                  <a14:compatExt spid="_x0000_s2606715"/>
                </a:ext>
                <a:ext uri="{FF2B5EF4-FFF2-40B4-BE49-F238E27FC236}">
                  <a16:creationId xmlns:a16="http://schemas.microsoft.com/office/drawing/2014/main" id="{00000000-0008-0000-0000-00007B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157</xdr:row>
          <xdr:rowOff>6350</xdr:rowOff>
        </xdr:from>
        <xdr:to>
          <xdr:col>7</xdr:col>
          <xdr:colOff>1085850</xdr:colOff>
          <xdr:row>158</xdr:row>
          <xdr:rowOff>19050</xdr:rowOff>
        </xdr:to>
        <xdr:sp macro="" textlink="">
          <xdr:nvSpPr>
            <xdr:cNvPr id="2606716" name="Drop Down 3708" hidden="1">
              <a:extLst>
                <a:ext uri="{63B3BB69-23CF-44E3-9099-C40C66FF867C}">
                  <a14:compatExt spid="_x0000_s2606716"/>
                </a:ext>
                <a:ext uri="{FF2B5EF4-FFF2-40B4-BE49-F238E27FC236}">
                  <a16:creationId xmlns:a16="http://schemas.microsoft.com/office/drawing/2014/main" id="{00000000-0008-0000-0000-00007C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159</xdr:row>
          <xdr:rowOff>0</xdr:rowOff>
        </xdr:from>
        <xdr:to>
          <xdr:col>3</xdr:col>
          <xdr:colOff>1085850</xdr:colOff>
          <xdr:row>160</xdr:row>
          <xdr:rowOff>0</xdr:rowOff>
        </xdr:to>
        <xdr:sp macro="" textlink="">
          <xdr:nvSpPr>
            <xdr:cNvPr id="2606717" name="Drop Down 3709" hidden="1">
              <a:extLst>
                <a:ext uri="{63B3BB69-23CF-44E3-9099-C40C66FF867C}">
                  <a14:compatExt spid="_x0000_s2606717"/>
                </a:ext>
                <a:ext uri="{FF2B5EF4-FFF2-40B4-BE49-F238E27FC236}">
                  <a16:creationId xmlns:a16="http://schemas.microsoft.com/office/drawing/2014/main" id="{00000000-0008-0000-0000-00007D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159</xdr:row>
          <xdr:rowOff>12700</xdr:rowOff>
        </xdr:from>
        <xdr:to>
          <xdr:col>5</xdr:col>
          <xdr:colOff>1085850</xdr:colOff>
          <xdr:row>160</xdr:row>
          <xdr:rowOff>31750</xdr:rowOff>
        </xdr:to>
        <xdr:sp macro="" textlink="">
          <xdr:nvSpPr>
            <xdr:cNvPr id="2606718" name="Drop Down 3710" hidden="1">
              <a:extLst>
                <a:ext uri="{63B3BB69-23CF-44E3-9099-C40C66FF867C}">
                  <a14:compatExt spid="_x0000_s2606718"/>
                </a:ext>
                <a:ext uri="{FF2B5EF4-FFF2-40B4-BE49-F238E27FC236}">
                  <a16:creationId xmlns:a16="http://schemas.microsoft.com/office/drawing/2014/main" id="{00000000-0008-0000-0000-00007E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159</xdr:row>
          <xdr:rowOff>6350</xdr:rowOff>
        </xdr:from>
        <xdr:to>
          <xdr:col>7</xdr:col>
          <xdr:colOff>1085850</xdr:colOff>
          <xdr:row>160</xdr:row>
          <xdr:rowOff>31750</xdr:rowOff>
        </xdr:to>
        <xdr:sp macro="" textlink="">
          <xdr:nvSpPr>
            <xdr:cNvPr id="2606719" name="Drop Down 3711" hidden="1">
              <a:extLst>
                <a:ext uri="{63B3BB69-23CF-44E3-9099-C40C66FF867C}">
                  <a14:compatExt spid="_x0000_s2606719"/>
                </a:ext>
                <a:ext uri="{FF2B5EF4-FFF2-40B4-BE49-F238E27FC236}">
                  <a16:creationId xmlns:a16="http://schemas.microsoft.com/office/drawing/2014/main" id="{00000000-0008-0000-0000-00007F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160</xdr:row>
          <xdr:rowOff>0</xdr:rowOff>
        </xdr:from>
        <xdr:to>
          <xdr:col>3</xdr:col>
          <xdr:colOff>1085850</xdr:colOff>
          <xdr:row>160</xdr:row>
          <xdr:rowOff>165100</xdr:rowOff>
        </xdr:to>
        <xdr:sp macro="" textlink="">
          <xdr:nvSpPr>
            <xdr:cNvPr id="2606720" name="Drop Down 3712" hidden="1">
              <a:extLst>
                <a:ext uri="{63B3BB69-23CF-44E3-9099-C40C66FF867C}">
                  <a14:compatExt spid="_x0000_s2606720"/>
                </a:ext>
                <a:ext uri="{FF2B5EF4-FFF2-40B4-BE49-F238E27FC236}">
                  <a16:creationId xmlns:a16="http://schemas.microsoft.com/office/drawing/2014/main" id="{00000000-0008-0000-0000-000080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160</xdr:row>
          <xdr:rowOff>12700</xdr:rowOff>
        </xdr:from>
        <xdr:to>
          <xdr:col>5</xdr:col>
          <xdr:colOff>1085850</xdr:colOff>
          <xdr:row>161</xdr:row>
          <xdr:rowOff>12700</xdr:rowOff>
        </xdr:to>
        <xdr:sp macro="" textlink="">
          <xdr:nvSpPr>
            <xdr:cNvPr id="2606721" name="Drop Down 3713" hidden="1">
              <a:extLst>
                <a:ext uri="{63B3BB69-23CF-44E3-9099-C40C66FF867C}">
                  <a14:compatExt spid="_x0000_s2606721"/>
                </a:ext>
                <a:ext uri="{FF2B5EF4-FFF2-40B4-BE49-F238E27FC236}">
                  <a16:creationId xmlns:a16="http://schemas.microsoft.com/office/drawing/2014/main" id="{00000000-0008-0000-0000-000081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160</xdr:row>
          <xdr:rowOff>6350</xdr:rowOff>
        </xdr:from>
        <xdr:to>
          <xdr:col>7</xdr:col>
          <xdr:colOff>1085850</xdr:colOff>
          <xdr:row>161</xdr:row>
          <xdr:rowOff>12700</xdr:rowOff>
        </xdr:to>
        <xdr:sp macro="" textlink="">
          <xdr:nvSpPr>
            <xdr:cNvPr id="2606722" name="Drop Down 3714" hidden="1">
              <a:extLst>
                <a:ext uri="{63B3BB69-23CF-44E3-9099-C40C66FF867C}">
                  <a14:compatExt spid="_x0000_s2606722"/>
                </a:ext>
                <a:ext uri="{FF2B5EF4-FFF2-40B4-BE49-F238E27FC236}">
                  <a16:creationId xmlns:a16="http://schemas.microsoft.com/office/drawing/2014/main" id="{00000000-0008-0000-0000-000082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161</xdr:row>
          <xdr:rowOff>0</xdr:rowOff>
        </xdr:from>
        <xdr:to>
          <xdr:col>3</xdr:col>
          <xdr:colOff>1085850</xdr:colOff>
          <xdr:row>161</xdr:row>
          <xdr:rowOff>165100</xdr:rowOff>
        </xdr:to>
        <xdr:sp macro="" textlink="">
          <xdr:nvSpPr>
            <xdr:cNvPr id="2606723" name="Drop Down 3715" hidden="1">
              <a:extLst>
                <a:ext uri="{63B3BB69-23CF-44E3-9099-C40C66FF867C}">
                  <a14:compatExt spid="_x0000_s2606723"/>
                </a:ext>
                <a:ext uri="{FF2B5EF4-FFF2-40B4-BE49-F238E27FC236}">
                  <a16:creationId xmlns:a16="http://schemas.microsoft.com/office/drawing/2014/main" id="{00000000-0008-0000-0000-000083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161</xdr:row>
          <xdr:rowOff>12700</xdr:rowOff>
        </xdr:from>
        <xdr:to>
          <xdr:col>5</xdr:col>
          <xdr:colOff>1085850</xdr:colOff>
          <xdr:row>162</xdr:row>
          <xdr:rowOff>12700</xdr:rowOff>
        </xdr:to>
        <xdr:sp macro="" textlink="">
          <xdr:nvSpPr>
            <xdr:cNvPr id="2606724" name="Drop Down 3716" hidden="1">
              <a:extLst>
                <a:ext uri="{63B3BB69-23CF-44E3-9099-C40C66FF867C}">
                  <a14:compatExt spid="_x0000_s2606724"/>
                </a:ext>
                <a:ext uri="{FF2B5EF4-FFF2-40B4-BE49-F238E27FC236}">
                  <a16:creationId xmlns:a16="http://schemas.microsoft.com/office/drawing/2014/main" id="{00000000-0008-0000-0000-000084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161</xdr:row>
          <xdr:rowOff>6350</xdr:rowOff>
        </xdr:from>
        <xdr:to>
          <xdr:col>7</xdr:col>
          <xdr:colOff>1085850</xdr:colOff>
          <xdr:row>162</xdr:row>
          <xdr:rowOff>12700</xdr:rowOff>
        </xdr:to>
        <xdr:sp macro="" textlink="">
          <xdr:nvSpPr>
            <xdr:cNvPr id="2606725" name="Drop Down 3717" hidden="1">
              <a:extLst>
                <a:ext uri="{63B3BB69-23CF-44E3-9099-C40C66FF867C}">
                  <a14:compatExt spid="_x0000_s2606725"/>
                </a:ext>
                <a:ext uri="{FF2B5EF4-FFF2-40B4-BE49-F238E27FC236}">
                  <a16:creationId xmlns:a16="http://schemas.microsoft.com/office/drawing/2014/main" id="{00000000-0008-0000-0000-000085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191</xdr:row>
          <xdr:rowOff>0</xdr:rowOff>
        </xdr:from>
        <xdr:to>
          <xdr:col>3</xdr:col>
          <xdr:colOff>1085850</xdr:colOff>
          <xdr:row>192</xdr:row>
          <xdr:rowOff>12700</xdr:rowOff>
        </xdr:to>
        <xdr:sp macro="" textlink="">
          <xdr:nvSpPr>
            <xdr:cNvPr id="2606731" name="Drop Down 3723" hidden="1">
              <a:extLst>
                <a:ext uri="{63B3BB69-23CF-44E3-9099-C40C66FF867C}">
                  <a14:compatExt spid="_x0000_s2606731"/>
                </a:ext>
                <a:ext uri="{FF2B5EF4-FFF2-40B4-BE49-F238E27FC236}">
                  <a16:creationId xmlns:a16="http://schemas.microsoft.com/office/drawing/2014/main" id="{00000000-0008-0000-0000-00008B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191</xdr:row>
          <xdr:rowOff>12700</xdr:rowOff>
        </xdr:from>
        <xdr:to>
          <xdr:col>5</xdr:col>
          <xdr:colOff>1085850</xdr:colOff>
          <xdr:row>192</xdr:row>
          <xdr:rowOff>12700</xdr:rowOff>
        </xdr:to>
        <xdr:sp macro="" textlink="">
          <xdr:nvSpPr>
            <xdr:cNvPr id="2606732" name="Drop Down 3724" hidden="1">
              <a:extLst>
                <a:ext uri="{63B3BB69-23CF-44E3-9099-C40C66FF867C}">
                  <a14:compatExt spid="_x0000_s2606732"/>
                </a:ext>
                <a:ext uri="{FF2B5EF4-FFF2-40B4-BE49-F238E27FC236}">
                  <a16:creationId xmlns:a16="http://schemas.microsoft.com/office/drawing/2014/main" id="{00000000-0008-0000-0000-00008C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191</xdr:row>
          <xdr:rowOff>6350</xdr:rowOff>
        </xdr:from>
        <xdr:to>
          <xdr:col>7</xdr:col>
          <xdr:colOff>1085850</xdr:colOff>
          <xdr:row>192</xdr:row>
          <xdr:rowOff>12700</xdr:rowOff>
        </xdr:to>
        <xdr:sp macro="" textlink="">
          <xdr:nvSpPr>
            <xdr:cNvPr id="2606733" name="Drop Down 3725" hidden="1">
              <a:extLst>
                <a:ext uri="{63B3BB69-23CF-44E3-9099-C40C66FF867C}">
                  <a14:compatExt spid="_x0000_s2606733"/>
                </a:ext>
                <a:ext uri="{FF2B5EF4-FFF2-40B4-BE49-F238E27FC236}">
                  <a16:creationId xmlns:a16="http://schemas.microsoft.com/office/drawing/2014/main" id="{00000000-0008-0000-0000-00008D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192</xdr:row>
          <xdr:rowOff>0</xdr:rowOff>
        </xdr:from>
        <xdr:to>
          <xdr:col>3</xdr:col>
          <xdr:colOff>1085850</xdr:colOff>
          <xdr:row>193</xdr:row>
          <xdr:rowOff>12700</xdr:rowOff>
        </xdr:to>
        <xdr:sp macro="" textlink="">
          <xdr:nvSpPr>
            <xdr:cNvPr id="2606734" name="Drop Down 3726" hidden="1">
              <a:extLst>
                <a:ext uri="{63B3BB69-23CF-44E3-9099-C40C66FF867C}">
                  <a14:compatExt spid="_x0000_s2606734"/>
                </a:ext>
                <a:ext uri="{FF2B5EF4-FFF2-40B4-BE49-F238E27FC236}">
                  <a16:creationId xmlns:a16="http://schemas.microsoft.com/office/drawing/2014/main" id="{00000000-0008-0000-0000-00008E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192</xdr:row>
          <xdr:rowOff>12700</xdr:rowOff>
        </xdr:from>
        <xdr:to>
          <xdr:col>5</xdr:col>
          <xdr:colOff>1085850</xdr:colOff>
          <xdr:row>193</xdr:row>
          <xdr:rowOff>12700</xdr:rowOff>
        </xdr:to>
        <xdr:sp macro="" textlink="">
          <xdr:nvSpPr>
            <xdr:cNvPr id="2606735" name="Drop Down 3727" hidden="1">
              <a:extLst>
                <a:ext uri="{63B3BB69-23CF-44E3-9099-C40C66FF867C}">
                  <a14:compatExt spid="_x0000_s2606735"/>
                </a:ext>
                <a:ext uri="{FF2B5EF4-FFF2-40B4-BE49-F238E27FC236}">
                  <a16:creationId xmlns:a16="http://schemas.microsoft.com/office/drawing/2014/main" id="{00000000-0008-0000-0000-00008F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192</xdr:row>
          <xdr:rowOff>6350</xdr:rowOff>
        </xdr:from>
        <xdr:to>
          <xdr:col>7</xdr:col>
          <xdr:colOff>1085850</xdr:colOff>
          <xdr:row>193</xdr:row>
          <xdr:rowOff>12700</xdr:rowOff>
        </xdr:to>
        <xdr:sp macro="" textlink="">
          <xdr:nvSpPr>
            <xdr:cNvPr id="2606736" name="Drop Down 3728" hidden="1">
              <a:extLst>
                <a:ext uri="{63B3BB69-23CF-44E3-9099-C40C66FF867C}">
                  <a14:compatExt spid="_x0000_s2606736"/>
                </a:ext>
                <a:ext uri="{FF2B5EF4-FFF2-40B4-BE49-F238E27FC236}">
                  <a16:creationId xmlns:a16="http://schemas.microsoft.com/office/drawing/2014/main" id="{00000000-0008-0000-0000-000090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194</xdr:row>
          <xdr:rowOff>0</xdr:rowOff>
        </xdr:from>
        <xdr:to>
          <xdr:col>3</xdr:col>
          <xdr:colOff>1085850</xdr:colOff>
          <xdr:row>195</xdr:row>
          <xdr:rowOff>12700</xdr:rowOff>
        </xdr:to>
        <xdr:sp macro="" textlink="">
          <xdr:nvSpPr>
            <xdr:cNvPr id="2606737" name="Drop Down 3729" hidden="1">
              <a:extLst>
                <a:ext uri="{63B3BB69-23CF-44E3-9099-C40C66FF867C}">
                  <a14:compatExt spid="_x0000_s2606737"/>
                </a:ext>
                <a:ext uri="{FF2B5EF4-FFF2-40B4-BE49-F238E27FC236}">
                  <a16:creationId xmlns:a16="http://schemas.microsoft.com/office/drawing/2014/main" id="{00000000-0008-0000-0000-000091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194</xdr:row>
          <xdr:rowOff>12700</xdr:rowOff>
        </xdr:from>
        <xdr:to>
          <xdr:col>5</xdr:col>
          <xdr:colOff>1085850</xdr:colOff>
          <xdr:row>195</xdr:row>
          <xdr:rowOff>12700</xdr:rowOff>
        </xdr:to>
        <xdr:sp macro="" textlink="">
          <xdr:nvSpPr>
            <xdr:cNvPr id="2606738" name="Drop Down 3730" hidden="1">
              <a:extLst>
                <a:ext uri="{63B3BB69-23CF-44E3-9099-C40C66FF867C}">
                  <a14:compatExt spid="_x0000_s2606738"/>
                </a:ext>
                <a:ext uri="{FF2B5EF4-FFF2-40B4-BE49-F238E27FC236}">
                  <a16:creationId xmlns:a16="http://schemas.microsoft.com/office/drawing/2014/main" id="{00000000-0008-0000-0000-000092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194</xdr:row>
          <xdr:rowOff>6350</xdr:rowOff>
        </xdr:from>
        <xdr:to>
          <xdr:col>7</xdr:col>
          <xdr:colOff>1085850</xdr:colOff>
          <xdr:row>195</xdr:row>
          <xdr:rowOff>12700</xdr:rowOff>
        </xdr:to>
        <xdr:sp macro="" textlink="">
          <xdr:nvSpPr>
            <xdr:cNvPr id="2606739" name="Drop Down 3731" hidden="1">
              <a:extLst>
                <a:ext uri="{63B3BB69-23CF-44E3-9099-C40C66FF867C}">
                  <a14:compatExt spid="_x0000_s2606739"/>
                </a:ext>
                <a:ext uri="{FF2B5EF4-FFF2-40B4-BE49-F238E27FC236}">
                  <a16:creationId xmlns:a16="http://schemas.microsoft.com/office/drawing/2014/main" id="{00000000-0008-0000-0000-000093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195</xdr:row>
          <xdr:rowOff>0</xdr:rowOff>
        </xdr:from>
        <xdr:to>
          <xdr:col>3</xdr:col>
          <xdr:colOff>1085850</xdr:colOff>
          <xdr:row>196</xdr:row>
          <xdr:rowOff>12700</xdr:rowOff>
        </xdr:to>
        <xdr:sp macro="" textlink="">
          <xdr:nvSpPr>
            <xdr:cNvPr id="2606740" name="Drop Down 3732" hidden="1">
              <a:extLst>
                <a:ext uri="{63B3BB69-23CF-44E3-9099-C40C66FF867C}">
                  <a14:compatExt spid="_x0000_s2606740"/>
                </a:ext>
                <a:ext uri="{FF2B5EF4-FFF2-40B4-BE49-F238E27FC236}">
                  <a16:creationId xmlns:a16="http://schemas.microsoft.com/office/drawing/2014/main" id="{00000000-0008-0000-0000-000094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195</xdr:row>
          <xdr:rowOff>12700</xdr:rowOff>
        </xdr:from>
        <xdr:to>
          <xdr:col>5</xdr:col>
          <xdr:colOff>1085850</xdr:colOff>
          <xdr:row>196</xdr:row>
          <xdr:rowOff>12700</xdr:rowOff>
        </xdr:to>
        <xdr:sp macro="" textlink="">
          <xdr:nvSpPr>
            <xdr:cNvPr id="2606741" name="Drop Down 3733" hidden="1">
              <a:extLst>
                <a:ext uri="{63B3BB69-23CF-44E3-9099-C40C66FF867C}">
                  <a14:compatExt spid="_x0000_s2606741"/>
                </a:ext>
                <a:ext uri="{FF2B5EF4-FFF2-40B4-BE49-F238E27FC236}">
                  <a16:creationId xmlns:a16="http://schemas.microsoft.com/office/drawing/2014/main" id="{00000000-0008-0000-0000-000095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195</xdr:row>
          <xdr:rowOff>6350</xdr:rowOff>
        </xdr:from>
        <xdr:to>
          <xdr:col>7</xdr:col>
          <xdr:colOff>1085850</xdr:colOff>
          <xdr:row>196</xdr:row>
          <xdr:rowOff>12700</xdr:rowOff>
        </xdr:to>
        <xdr:sp macro="" textlink="">
          <xdr:nvSpPr>
            <xdr:cNvPr id="2606742" name="Drop Down 3734" hidden="1">
              <a:extLst>
                <a:ext uri="{63B3BB69-23CF-44E3-9099-C40C66FF867C}">
                  <a14:compatExt spid="_x0000_s2606742"/>
                </a:ext>
                <a:ext uri="{FF2B5EF4-FFF2-40B4-BE49-F238E27FC236}">
                  <a16:creationId xmlns:a16="http://schemas.microsoft.com/office/drawing/2014/main" id="{00000000-0008-0000-0000-000096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196</xdr:row>
          <xdr:rowOff>0</xdr:rowOff>
        </xdr:from>
        <xdr:to>
          <xdr:col>3</xdr:col>
          <xdr:colOff>1085850</xdr:colOff>
          <xdr:row>197</xdr:row>
          <xdr:rowOff>12700</xdr:rowOff>
        </xdr:to>
        <xdr:sp macro="" textlink="">
          <xdr:nvSpPr>
            <xdr:cNvPr id="2606743" name="Drop Down 3735" hidden="1">
              <a:extLst>
                <a:ext uri="{63B3BB69-23CF-44E3-9099-C40C66FF867C}">
                  <a14:compatExt spid="_x0000_s2606743"/>
                </a:ext>
                <a:ext uri="{FF2B5EF4-FFF2-40B4-BE49-F238E27FC236}">
                  <a16:creationId xmlns:a16="http://schemas.microsoft.com/office/drawing/2014/main" id="{00000000-0008-0000-0000-000097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196</xdr:row>
          <xdr:rowOff>12700</xdr:rowOff>
        </xdr:from>
        <xdr:to>
          <xdr:col>5</xdr:col>
          <xdr:colOff>1085850</xdr:colOff>
          <xdr:row>197</xdr:row>
          <xdr:rowOff>12700</xdr:rowOff>
        </xdr:to>
        <xdr:sp macro="" textlink="">
          <xdr:nvSpPr>
            <xdr:cNvPr id="2606744" name="Drop Down 3736" hidden="1">
              <a:extLst>
                <a:ext uri="{63B3BB69-23CF-44E3-9099-C40C66FF867C}">
                  <a14:compatExt spid="_x0000_s2606744"/>
                </a:ext>
                <a:ext uri="{FF2B5EF4-FFF2-40B4-BE49-F238E27FC236}">
                  <a16:creationId xmlns:a16="http://schemas.microsoft.com/office/drawing/2014/main" id="{00000000-0008-0000-0000-000098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196</xdr:row>
          <xdr:rowOff>6350</xdr:rowOff>
        </xdr:from>
        <xdr:to>
          <xdr:col>7</xdr:col>
          <xdr:colOff>1085850</xdr:colOff>
          <xdr:row>197</xdr:row>
          <xdr:rowOff>12700</xdr:rowOff>
        </xdr:to>
        <xdr:sp macro="" textlink="">
          <xdr:nvSpPr>
            <xdr:cNvPr id="2606745" name="Drop Down 3737" hidden="1">
              <a:extLst>
                <a:ext uri="{63B3BB69-23CF-44E3-9099-C40C66FF867C}">
                  <a14:compatExt spid="_x0000_s2606745"/>
                </a:ext>
                <a:ext uri="{FF2B5EF4-FFF2-40B4-BE49-F238E27FC236}">
                  <a16:creationId xmlns:a16="http://schemas.microsoft.com/office/drawing/2014/main" id="{00000000-0008-0000-0000-000099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10</xdr:col>
      <xdr:colOff>209550</xdr:colOff>
      <xdr:row>10</xdr:row>
      <xdr:rowOff>25400</xdr:rowOff>
    </xdr:from>
    <xdr:to>
      <xdr:col>18</xdr:col>
      <xdr:colOff>44450</xdr:colOff>
      <xdr:row>11</xdr:row>
      <xdr:rowOff>168275</xdr:rowOff>
    </xdr:to>
    <xdr:sp macro="" textlink="">
      <xdr:nvSpPr>
        <xdr:cNvPr id="9" name="Rectangle 143">
          <a:extLst>
            <a:ext uri="{FF2B5EF4-FFF2-40B4-BE49-F238E27FC236}">
              <a16:creationId xmlns:a16="http://schemas.microsoft.com/office/drawing/2014/main" id="{96E11D6C-8320-43DE-A700-40237DA2412F}"/>
            </a:ext>
          </a:extLst>
        </xdr:cNvPr>
        <xdr:cNvSpPr>
          <a:spLocks noChangeArrowheads="1"/>
        </xdr:cNvSpPr>
      </xdr:nvSpPr>
      <xdr:spPr bwMode="auto">
        <a:xfrm>
          <a:off x="11325225" y="4749800"/>
          <a:ext cx="4406900" cy="304800"/>
        </a:xfrm>
        <a:prstGeom prst="rect">
          <a:avLst/>
        </a:prstGeom>
        <a:solidFill>
          <a:srgbClr val="CCFFCC"/>
        </a:solidFill>
        <a:ln w="9525">
          <a:solidFill>
            <a:srgbClr val="000000"/>
          </a:solidFill>
          <a:miter lim="800000"/>
          <a:headEnd/>
          <a:tailEnd/>
        </a:ln>
      </xdr:spPr>
      <xdr:txBody>
        <a:bodyPr vertOverflow="clip" wrap="square" lIns="27432" tIns="22860" rIns="0" bIns="0" anchor="t" upright="1"/>
        <a:lstStyle/>
        <a:p>
          <a:pPr rtl="0"/>
          <a:r>
            <a:rPr lang="en-GB" sz="800" b="0" i="0" baseline="0">
              <a:latin typeface="Arial" pitchFamily="34" charset="0"/>
              <a:ea typeface="+mn-ea"/>
              <a:cs typeface="Arial" pitchFamily="34" charset="0"/>
            </a:rPr>
            <a:t>Note: </a:t>
          </a:r>
          <a:r>
            <a:rPr lang="en-GB" sz="800" b="0" i="0" u="sng" baseline="0">
              <a:latin typeface="Arial" pitchFamily="34" charset="0"/>
              <a:ea typeface="+mn-ea"/>
              <a:cs typeface="Arial" pitchFamily="34" charset="0"/>
            </a:rPr>
            <a:t>Emissions associated with restoration practices</a:t>
          </a:r>
          <a:r>
            <a:rPr lang="en-GB" sz="800" b="0" i="0" baseline="0">
              <a:latin typeface="Arial" pitchFamily="34" charset="0"/>
              <a:ea typeface="+mn-ea"/>
              <a:cs typeface="Arial" pitchFamily="34" charset="0"/>
            </a:rPr>
            <a:t>. </a:t>
          </a:r>
          <a:endParaRPr lang="en-GB" sz="800">
            <a:latin typeface="Arial" pitchFamily="34" charset="0"/>
            <a:cs typeface="Arial" pitchFamily="34" charset="0"/>
          </a:endParaRPr>
        </a:p>
        <a:p>
          <a:pPr rtl="0"/>
          <a:r>
            <a:rPr lang="en-GB" sz="800" b="0" i="0" baseline="0">
              <a:latin typeface="Arial" pitchFamily="34" charset="0"/>
              <a:ea typeface="+mn-ea"/>
              <a:cs typeface="Arial" pitchFamily="34" charset="0"/>
            </a:rPr>
            <a:t>These figures are taken from GET REF FROM CARLY</a:t>
          </a:r>
        </a:p>
        <a:p>
          <a:pPr rtl="0"/>
          <a:endParaRPr lang="en-GB" sz="800">
            <a:latin typeface="Arial" pitchFamily="34" charset="0"/>
            <a:ea typeface="+mn-ea"/>
            <a:cs typeface="Arial" pitchFamily="34" charset="0"/>
          </a:endParaRPr>
        </a:p>
      </xdr:txBody>
    </xdr:sp>
    <xdr:clientData/>
  </xdr:twoCellAnchor>
  <xdr:twoCellAnchor>
    <xdr:from>
      <xdr:col>7</xdr:col>
      <xdr:colOff>1343025</xdr:colOff>
      <xdr:row>10</xdr:row>
      <xdr:rowOff>85725</xdr:rowOff>
    </xdr:from>
    <xdr:to>
      <xdr:col>10</xdr:col>
      <xdr:colOff>209550</xdr:colOff>
      <xdr:row>11</xdr:row>
      <xdr:rowOff>17463</xdr:rowOff>
    </xdr:to>
    <xdr:cxnSp macro="">
      <xdr:nvCxnSpPr>
        <xdr:cNvPr id="16" name="Straight Arrow Connector 15">
          <a:extLst>
            <a:ext uri="{FF2B5EF4-FFF2-40B4-BE49-F238E27FC236}">
              <a16:creationId xmlns:a16="http://schemas.microsoft.com/office/drawing/2014/main" id="{E61F60BE-22E0-449A-97A9-A975FE394B50}"/>
            </a:ext>
          </a:extLst>
        </xdr:cNvPr>
        <xdr:cNvCxnSpPr>
          <a:stCxn id="9" idx="1"/>
        </xdr:cNvCxnSpPr>
      </xdr:nvCxnSpPr>
      <xdr:spPr>
        <a:xfrm flipH="1" flipV="1">
          <a:off x="10067925" y="4810125"/>
          <a:ext cx="1257300" cy="93663"/>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5</xdr:col>
          <xdr:colOff>393700</xdr:colOff>
          <xdr:row>52</xdr:row>
          <xdr:rowOff>12700</xdr:rowOff>
        </xdr:from>
        <xdr:to>
          <xdr:col>5</xdr:col>
          <xdr:colOff>1085850</xdr:colOff>
          <xdr:row>53</xdr:row>
          <xdr:rowOff>12700</xdr:rowOff>
        </xdr:to>
        <xdr:sp macro="" textlink="">
          <xdr:nvSpPr>
            <xdr:cNvPr id="2606746" name="Drop Down 3738" hidden="1">
              <a:extLst>
                <a:ext uri="{63B3BB69-23CF-44E3-9099-C40C66FF867C}">
                  <a14:compatExt spid="_x0000_s2606746"/>
                </a:ext>
                <a:ext uri="{FF2B5EF4-FFF2-40B4-BE49-F238E27FC236}">
                  <a16:creationId xmlns:a16="http://schemas.microsoft.com/office/drawing/2014/main" id="{00000000-0008-0000-0000-00009A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52</xdr:row>
          <xdr:rowOff>6350</xdr:rowOff>
        </xdr:from>
        <xdr:to>
          <xdr:col>7</xdr:col>
          <xdr:colOff>1085850</xdr:colOff>
          <xdr:row>53</xdr:row>
          <xdr:rowOff>12700</xdr:rowOff>
        </xdr:to>
        <xdr:sp macro="" textlink="">
          <xdr:nvSpPr>
            <xdr:cNvPr id="2606747" name="Drop Down 3739" hidden="1">
              <a:extLst>
                <a:ext uri="{63B3BB69-23CF-44E3-9099-C40C66FF867C}">
                  <a14:compatExt spid="_x0000_s2606747"/>
                </a:ext>
                <a:ext uri="{FF2B5EF4-FFF2-40B4-BE49-F238E27FC236}">
                  <a16:creationId xmlns:a16="http://schemas.microsoft.com/office/drawing/2014/main" id="{00000000-0008-0000-0000-00009B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406400</xdr:colOff>
          <xdr:row>53</xdr:row>
          <xdr:rowOff>0</xdr:rowOff>
        </xdr:from>
        <xdr:to>
          <xdr:col>3</xdr:col>
          <xdr:colOff>1098550</xdr:colOff>
          <xdr:row>54</xdr:row>
          <xdr:rowOff>0</xdr:rowOff>
        </xdr:to>
        <xdr:sp macro="" textlink="">
          <xdr:nvSpPr>
            <xdr:cNvPr id="2606748" name="Drop Down 3740" hidden="1">
              <a:extLst>
                <a:ext uri="{63B3BB69-23CF-44E3-9099-C40C66FF867C}">
                  <a14:compatExt spid="_x0000_s2606748"/>
                </a:ext>
                <a:ext uri="{FF2B5EF4-FFF2-40B4-BE49-F238E27FC236}">
                  <a16:creationId xmlns:a16="http://schemas.microsoft.com/office/drawing/2014/main" id="{00000000-0008-0000-0000-00009C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53</xdr:row>
          <xdr:rowOff>12700</xdr:rowOff>
        </xdr:from>
        <xdr:to>
          <xdr:col>5</xdr:col>
          <xdr:colOff>1085850</xdr:colOff>
          <xdr:row>54</xdr:row>
          <xdr:rowOff>12700</xdr:rowOff>
        </xdr:to>
        <xdr:sp macro="" textlink="">
          <xdr:nvSpPr>
            <xdr:cNvPr id="2606749" name="Drop Down 3741" hidden="1">
              <a:extLst>
                <a:ext uri="{63B3BB69-23CF-44E3-9099-C40C66FF867C}">
                  <a14:compatExt spid="_x0000_s2606749"/>
                </a:ext>
                <a:ext uri="{FF2B5EF4-FFF2-40B4-BE49-F238E27FC236}">
                  <a16:creationId xmlns:a16="http://schemas.microsoft.com/office/drawing/2014/main" id="{00000000-0008-0000-0000-00009D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53</xdr:row>
          <xdr:rowOff>12700</xdr:rowOff>
        </xdr:from>
        <xdr:to>
          <xdr:col>7</xdr:col>
          <xdr:colOff>1085850</xdr:colOff>
          <xdr:row>54</xdr:row>
          <xdr:rowOff>12700</xdr:rowOff>
        </xdr:to>
        <xdr:sp macro="" textlink="">
          <xdr:nvSpPr>
            <xdr:cNvPr id="2606750" name="Drop Down 3742" hidden="1">
              <a:extLst>
                <a:ext uri="{63B3BB69-23CF-44E3-9099-C40C66FF867C}">
                  <a14:compatExt spid="_x0000_s2606750"/>
                </a:ext>
                <a:ext uri="{FF2B5EF4-FFF2-40B4-BE49-F238E27FC236}">
                  <a16:creationId xmlns:a16="http://schemas.microsoft.com/office/drawing/2014/main" id="{00000000-0008-0000-0000-00009E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87</xdr:row>
          <xdr:rowOff>0</xdr:rowOff>
        </xdr:from>
        <xdr:to>
          <xdr:col>3</xdr:col>
          <xdr:colOff>1085850</xdr:colOff>
          <xdr:row>88</xdr:row>
          <xdr:rowOff>0</xdr:rowOff>
        </xdr:to>
        <xdr:sp macro="" textlink="">
          <xdr:nvSpPr>
            <xdr:cNvPr id="2606751" name="Drop Down 3743" hidden="1">
              <a:extLst>
                <a:ext uri="{63B3BB69-23CF-44E3-9099-C40C66FF867C}">
                  <a14:compatExt spid="_x0000_s2606751"/>
                </a:ext>
                <a:ext uri="{FF2B5EF4-FFF2-40B4-BE49-F238E27FC236}">
                  <a16:creationId xmlns:a16="http://schemas.microsoft.com/office/drawing/2014/main" id="{00000000-0008-0000-0000-00009F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87</xdr:row>
          <xdr:rowOff>12700</xdr:rowOff>
        </xdr:from>
        <xdr:to>
          <xdr:col>5</xdr:col>
          <xdr:colOff>1085850</xdr:colOff>
          <xdr:row>88</xdr:row>
          <xdr:rowOff>19050</xdr:rowOff>
        </xdr:to>
        <xdr:sp macro="" textlink="">
          <xdr:nvSpPr>
            <xdr:cNvPr id="2606752" name="Drop Down 3744" hidden="1">
              <a:extLst>
                <a:ext uri="{63B3BB69-23CF-44E3-9099-C40C66FF867C}">
                  <a14:compatExt spid="_x0000_s2606752"/>
                </a:ext>
                <a:ext uri="{FF2B5EF4-FFF2-40B4-BE49-F238E27FC236}">
                  <a16:creationId xmlns:a16="http://schemas.microsoft.com/office/drawing/2014/main" id="{00000000-0008-0000-0000-0000A0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87</xdr:row>
          <xdr:rowOff>6350</xdr:rowOff>
        </xdr:from>
        <xdr:to>
          <xdr:col>7</xdr:col>
          <xdr:colOff>1085850</xdr:colOff>
          <xdr:row>88</xdr:row>
          <xdr:rowOff>19050</xdr:rowOff>
        </xdr:to>
        <xdr:sp macro="" textlink="">
          <xdr:nvSpPr>
            <xdr:cNvPr id="2606753" name="Drop Down 3745" hidden="1">
              <a:extLst>
                <a:ext uri="{63B3BB69-23CF-44E3-9099-C40C66FF867C}">
                  <a14:compatExt spid="_x0000_s2606753"/>
                </a:ext>
                <a:ext uri="{FF2B5EF4-FFF2-40B4-BE49-F238E27FC236}">
                  <a16:creationId xmlns:a16="http://schemas.microsoft.com/office/drawing/2014/main" id="{00000000-0008-0000-0000-0000A1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88</xdr:row>
          <xdr:rowOff>0</xdr:rowOff>
        </xdr:from>
        <xdr:to>
          <xdr:col>3</xdr:col>
          <xdr:colOff>1085850</xdr:colOff>
          <xdr:row>89</xdr:row>
          <xdr:rowOff>0</xdr:rowOff>
        </xdr:to>
        <xdr:sp macro="" textlink="">
          <xdr:nvSpPr>
            <xdr:cNvPr id="2606754" name="Drop Down 3746" hidden="1">
              <a:extLst>
                <a:ext uri="{63B3BB69-23CF-44E3-9099-C40C66FF867C}">
                  <a14:compatExt spid="_x0000_s2606754"/>
                </a:ext>
                <a:ext uri="{FF2B5EF4-FFF2-40B4-BE49-F238E27FC236}">
                  <a16:creationId xmlns:a16="http://schemas.microsoft.com/office/drawing/2014/main" id="{00000000-0008-0000-0000-0000A2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88</xdr:row>
          <xdr:rowOff>12700</xdr:rowOff>
        </xdr:from>
        <xdr:to>
          <xdr:col>5</xdr:col>
          <xdr:colOff>1085850</xdr:colOff>
          <xdr:row>89</xdr:row>
          <xdr:rowOff>19050</xdr:rowOff>
        </xdr:to>
        <xdr:sp macro="" textlink="">
          <xdr:nvSpPr>
            <xdr:cNvPr id="2606755" name="Drop Down 3747" hidden="1">
              <a:extLst>
                <a:ext uri="{63B3BB69-23CF-44E3-9099-C40C66FF867C}">
                  <a14:compatExt spid="_x0000_s2606755"/>
                </a:ext>
                <a:ext uri="{FF2B5EF4-FFF2-40B4-BE49-F238E27FC236}">
                  <a16:creationId xmlns:a16="http://schemas.microsoft.com/office/drawing/2014/main" id="{00000000-0008-0000-0000-0000A3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88</xdr:row>
          <xdr:rowOff>6350</xdr:rowOff>
        </xdr:from>
        <xdr:to>
          <xdr:col>7</xdr:col>
          <xdr:colOff>1085850</xdr:colOff>
          <xdr:row>89</xdr:row>
          <xdr:rowOff>19050</xdr:rowOff>
        </xdr:to>
        <xdr:sp macro="" textlink="">
          <xdr:nvSpPr>
            <xdr:cNvPr id="2606756" name="Drop Down 3748" hidden="1">
              <a:extLst>
                <a:ext uri="{63B3BB69-23CF-44E3-9099-C40C66FF867C}">
                  <a14:compatExt spid="_x0000_s2606756"/>
                </a:ext>
                <a:ext uri="{FF2B5EF4-FFF2-40B4-BE49-F238E27FC236}">
                  <a16:creationId xmlns:a16="http://schemas.microsoft.com/office/drawing/2014/main" id="{00000000-0008-0000-0000-0000A4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122</xdr:row>
          <xdr:rowOff>0</xdr:rowOff>
        </xdr:from>
        <xdr:to>
          <xdr:col>3</xdr:col>
          <xdr:colOff>1085850</xdr:colOff>
          <xdr:row>123</xdr:row>
          <xdr:rowOff>12700</xdr:rowOff>
        </xdr:to>
        <xdr:sp macro="" textlink="">
          <xdr:nvSpPr>
            <xdr:cNvPr id="2606757" name="Drop Down 3749" hidden="1">
              <a:extLst>
                <a:ext uri="{63B3BB69-23CF-44E3-9099-C40C66FF867C}">
                  <a14:compatExt spid="_x0000_s2606757"/>
                </a:ext>
                <a:ext uri="{FF2B5EF4-FFF2-40B4-BE49-F238E27FC236}">
                  <a16:creationId xmlns:a16="http://schemas.microsoft.com/office/drawing/2014/main" id="{00000000-0008-0000-0000-0000A5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122</xdr:row>
          <xdr:rowOff>12700</xdr:rowOff>
        </xdr:from>
        <xdr:to>
          <xdr:col>5</xdr:col>
          <xdr:colOff>1085850</xdr:colOff>
          <xdr:row>123</xdr:row>
          <xdr:rowOff>31750</xdr:rowOff>
        </xdr:to>
        <xdr:sp macro="" textlink="">
          <xdr:nvSpPr>
            <xdr:cNvPr id="2606758" name="Drop Down 3750" hidden="1">
              <a:extLst>
                <a:ext uri="{63B3BB69-23CF-44E3-9099-C40C66FF867C}">
                  <a14:compatExt spid="_x0000_s2606758"/>
                </a:ext>
                <a:ext uri="{FF2B5EF4-FFF2-40B4-BE49-F238E27FC236}">
                  <a16:creationId xmlns:a16="http://schemas.microsoft.com/office/drawing/2014/main" id="{00000000-0008-0000-0000-0000A6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122</xdr:row>
          <xdr:rowOff>6350</xdr:rowOff>
        </xdr:from>
        <xdr:to>
          <xdr:col>7</xdr:col>
          <xdr:colOff>1085850</xdr:colOff>
          <xdr:row>123</xdr:row>
          <xdr:rowOff>31750</xdr:rowOff>
        </xdr:to>
        <xdr:sp macro="" textlink="">
          <xdr:nvSpPr>
            <xdr:cNvPr id="2606759" name="Drop Down 3751" hidden="1">
              <a:extLst>
                <a:ext uri="{63B3BB69-23CF-44E3-9099-C40C66FF867C}">
                  <a14:compatExt spid="_x0000_s2606759"/>
                </a:ext>
                <a:ext uri="{FF2B5EF4-FFF2-40B4-BE49-F238E27FC236}">
                  <a16:creationId xmlns:a16="http://schemas.microsoft.com/office/drawing/2014/main" id="{00000000-0008-0000-0000-0000A7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122</xdr:row>
          <xdr:rowOff>0</xdr:rowOff>
        </xdr:from>
        <xdr:to>
          <xdr:col>3</xdr:col>
          <xdr:colOff>1085850</xdr:colOff>
          <xdr:row>123</xdr:row>
          <xdr:rowOff>12700</xdr:rowOff>
        </xdr:to>
        <xdr:sp macro="" textlink="">
          <xdr:nvSpPr>
            <xdr:cNvPr id="2606760" name="Drop Down 3752" hidden="1">
              <a:extLst>
                <a:ext uri="{63B3BB69-23CF-44E3-9099-C40C66FF867C}">
                  <a14:compatExt spid="_x0000_s2606760"/>
                </a:ext>
                <a:ext uri="{FF2B5EF4-FFF2-40B4-BE49-F238E27FC236}">
                  <a16:creationId xmlns:a16="http://schemas.microsoft.com/office/drawing/2014/main" id="{00000000-0008-0000-0000-0000A8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122</xdr:row>
          <xdr:rowOff>12700</xdr:rowOff>
        </xdr:from>
        <xdr:to>
          <xdr:col>5</xdr:col>
          <xdr:colOff>1085850</xdr:colOff>
          <xdr:row>123</xdr:row>
          <xdr:rowOff>31750</xdr:rowOff>
        </xdr:to>
        <xdr:sp macro="" textlink="">
          <xdr:nvSpPr>
            <xdr:cNvPr id="2606761" name="Drop Down 3753" hidden="1">
              <a:extLst>
                <a:ext uri="{63B3BB69-23CF-44E3-9099-C40C66FF867C}">
                  <a14:compatExt spid="_x0000_s2606761"/>
                </a:ext>
                <a:ext uri="{FF2B5EF4-FFF2-40B4-BE49-F238E27FC236}">
                  <a16:creationId xmlns:a16="http://schemas.microsoft.com/office/drawing/2014/main" id="{00000000-0008-0000-0000-0000A9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122</xdr:row>
          <xdr:rowOff>6350</xdr:rowOff>
        </xdr:from>
        <xdr:to>
          <xdr:col>7</xdr:col>
          <xdr:colOff>1085850</xdr:colOff>
          <xdr:row>123</xdr:row>
          <xdr:rowOff>31750</xdr:rowOff>
        </xdr:to>
        <xdr:sp macro="" textlink="">
          <xdr:nvSpPr>
            <xdr:cNvPr id="2606762" name="Drop Down 3754" hidden="1">
              <a:extLst>
                <a:ext uri="{63B3BB69-23CF-44E3-9099-C40C66FF867C}">
                  <a14:compatExt spid="_x0000_s2606762"/>
                </a:ext>
                <a:ext uri="{FF2B5EF4-FFF2-40B4-BE49-F238E27FC236}">
                  <a16:creationId xmlns:a16="http://schemas.microsoft.com/office/drawing/2014/main" id="{00000000-0008-0000-0000-0000AA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123</xdr:row>
          <xdr:rowOff>0</xdr:rowOff>
        </xdr:from>
        <xdr:to>
          <xdr:col>3</xdr:col>
          <xdr:colOff>1085850</xdr:colOff>
          <xdr:row>124</xdr:row>
          <xdr:rowOff>12700</xdr:rowOff>
        </xdr:to>
        <xdr:sp macro="" textlink="">
          <xdr:nvSpPr>
            <xdr:cNvPr id="2606763" name="Drop Down 3755" hidden="1">
              <a:extLst>
                <a:ext uri="{63B3BB69-23CF-44E3-9099-C40C66FF867C}">
                  <a14:compatExt spid="_x0000_s2606763"/>
                </a:ext>
                <a:ext uri="{FF2B5EF4-FFF2-40B4-BE49-F238E27FC236}">
                  <a16:creationId xmlns:a16="http://schemas.microsoft.com/office/drawing/2014/main" id="{00000000-0008-0000-0000-0000AB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123</xdr:row>
          <xdr:rowOff>12700</xdr:rowOff>
        </xdr:from>
        <xdr:to>
          <xdr:col>5</xdr:col>
          <xdr:colOff>1085850</xdr:colOff>
          <xdr:row>124</xdr:row>
          <xdr:rowOff>38100</xdr:rowOff>
        </xdr:to>
        <xdr:sp macro="" textlink="">
          <xdr:nvSpPr>
            <xdr:cNvPr id="2606764" name="Drop Down 3756" hidden="1">
              <a:extLst>
                <a:ext uri="{63B3BB69-23CF-44E3-9099-C40C66FF867C}">
                  <a14:compatExt spid="_x0000_s2606764"/>
                </a:ext>
                <a:ext uri="{FF2B5EF4-FFF2-40B4-BE49-F238E27FC236}">
                  <a16:creationId xmlns:a16="http://schemas.microsoft.com/office/drawing/2014/main" id="{00000000-0008-0000-0000-0000AC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123</xdr:row>
          <xdr:rowOff>6350</xdr:rowOff>
        </xdr:from>
        <xdr:to>
          <xdr:col>7</xdr:col>
          <xdr:colOff>1085850</xdr:colOff>
          <xdr:row>124</xdr:row>
          <xdr:rowOff>38100</xdr:rowOff>
        </xdr:to>
        <xdr:sp macro="" textlink="">
          <xdr:nvSpPr>
            <xdr:cNvPr id="2606765" name="Drop Down 3757" hidden="1">
              <a:extLst>
                <a:ext uri="{63B3BB69-23CF-44E3-9099-C40C66FF867C}">
                  <a14:compatExt spid="_x0000_s2606765"/>
                </a:ext>
                <a:ext uri="{FF2B5EF4-FFF2-40B4-BE49-F238E27FC236}">
                  <a16:creationId xmlns:a16="http://schemas.microsoft.com/office/drawing/2014/main" id="{00000000-0008-0000-0000-0000AD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157</xdr:row>
          <xdr:rowOff>0</xdr:rowOff>
        </xdr:from>
        <xdr:to>
          <xdr:col>3</xdr:col>
          <xdr:colOff>1085850</xdr:colOff>
          <xdr:row>158</xdr:row>
          <xdr:rowOff>0</xdr:rowOff>
        </xdr:to>
        <xdr:sp macro="" textlink="">
          <xdr:nvSpPr>
            <xdr:cNvPr id="2606766" name="Drop Down 3758" hidden="1">
              <a:extLst>
                <a:ext uri="{63B3BB69-23CF-44E3-9099-C40C66FF867C}">
                  <a14:compatExt spid="_x0000_s2606766"/>
                </a:ext>
                <a:ext uri="{FF2B5EF4-FFF2-40B4-BE49-F238E27FC236}">
                  <a16:creationId xmlns:a16="http://schemas.microsoft.com/office/drawing/2014/main" id="{00000000-0008-0000-0000-0000AE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157</xdr:row>
          <xdr:rowOff>12700</xdr:rowOff>
        </xdr:from>
        <xdr:to>
          <xdr:col>5</xdr:col>
          <xdr:colOff>1085850</xdr:colOff>
          <xdr:row>158</xdr:row>
          <xdr:rowOff>19050</xdr:rowOff>
        </xdr:to>
        <xdr:sp macro="" textlink="">
          <xdr:nvSpPr>
            <xdr:cNvPr id="2606767" name="Drop Down 3759" hidden="1">
              <a:extLst>
                <a:ext uri="{63B3BB69-23CF-44E3-9099-C40C66FF867C}">
                  <a14:compatExt spid="_x0000_s2606767"/>
                </a:ext>
                <a:ext uri="{FF2B5EF4-FFF2-40B4-BE49-F238E27FC236}">
                  <a16:creationId xmlns:a16="http://schemas.microsoft.com/office/drawing/2014/main" id="{00000000-0008-0000-0000-0000AF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157</xdr:row>
          <xdr:rowOff>6350</xdr:rowOff>
        </xdr:from>
        <xdr:to>
          <xdr:col>7</xdr:col>
          <xdr:colOff>1085850</xdr:colOff>
          <xdr:row>158</xdr:row>
          <xdr:rowOff>19050</xdr:rowOff>
        </xdr:to>
        <xdr:sp macro="" textlink="">
          <xdr:nvSpPr>
            <xdr:cNvPr id="2606768" name="Drop Down 3760" hidden="1">
              <a:extLst>
                <a:ext uri="{63B3BB69-23CF-44E3-9099-C40C66FF867C}">
                  <a14:compatExt spid="_x0000_s2606768"/>
                </a:ext>
                <a:ext uri="{FF2B5EF4-FFF2-40B4-BE49-F238E27FC236}">
                  <a16:creationId xmlns:a16="http://schemas.microsoft.com/office/drawing/2014/main" id="{00000000-0008-0000-0000-0000B0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158</xdr:row>
          <xdr:rowOff>0</xdr:rowOff>
        </xdr:from>
        <xdr:to>
          <xdr:col>3</xdr:col>
          <xdr:colOff>1085850</xdr:colOff>
          <xdr:row>159</xdr:row>
          <xdr:rowOff>0</xdr:rowOff>
        </xdr:to>
        <xdr:sp macro="" textlink="">
          <xdr:nvSpPr>
            <xdr:cNvPr id="2606769" name="Drop Down 3761" hidden="1">
              <a:extLst>
                <a:ext uri="{63B3BB69-23CF-44E3-9099-C40C66FF867C}">
                  <a14:compatExt spid="_x0000_s2606769"/>
                </a:ext>
                <a:ext uri="{FF2B5EF4-FFF2-40B4-BE49-F238E27FC236}">
                  <a16:creationId xmlns:a16="http://schemas.microsoft.com/office/drawing/2014/main" id="{00000000-0008-0000-0000-0000B1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158</xdr:row>
          <xdr:rowOff>12700</xdr:rowOff>
        </xdr:from>
        <xdr:to>
          <xdr:col>5</xdr:col>
          <xdr:colOff>1085850</xdr:colOff>
          <xdr:row>159</xdr:row>
          <xdr:rowOff>31750</xdr:rowOff>
        </xdr:to>
        <xdr:sp macro="" textlink="">
          <xdr:nvSpPr>
            <xdr:cNvPr id="2606770" name="Drop Down 3762" hidden="1">
              <a:extLst>
                <a:ext uri="{63B3BB69-23CF-44E3-9099-C40C66FF867C}">
                  <a14:compatExt spid="_x0000_s2606770"/>
                </a:ext>
                <a:ext uri="{FF2B5EF4-FFF2-40B4-BE49-F238E27FC236}">
                  <a16:creationId xmlns:a16="http://schemas.microsoft.com/office/drawing/2014/main" id="{00000000-0008-0000-0000-0000B2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158</xdr:row>
          <xdr:rowOff>6350</xdr:rowOff>
        </xdr:from>
        <xdr:to>
          <xdr:col>7</xdr:col>
          <xdr:colOff>1085850</xdr:colOff>
          <xdr:row>159</xdr:row>
          <xdr:rowOff>31750</xdr:rowOff>
        </xdr:to>
        <xdr:sp macro="" textlink="">
          <xdr:nvSpPr>
            <xdr:cNvPr id="2606771" name="Drop Down 3763" hidden="1">
              <a:extLst>
                <a:ext uri="{63B3BB69-23CF-44E3-9099-C40C66FF867C}">
                  <a14:compatExt spid="_x0000_s2606771"/>
                </a:ext>
                <a:ext uri="{FF2B5EF4-FFF2-40B4-BE49-F238E27FC236}">
                  <a16:creationId xmlns:a16="http://schemas.microsoft.com/office/drawing/2014/main" id="{00000000-0008-0000-0000-0000B3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192</xdr:row>
          <xdr:rowOff>12700</xdr:rowOff>
        </xdr:from>
        <xdr:to>
          <xdr:col>5</xdr:col>
          <xdr:colOff>1085850</xdr:colOff>
          <xdr:row>193</xdr:row>
          <xdr:rowOff>12700</xdr:rowOff>
        </xdr:to>
        <xdr:sp macro="" textlink="">
          <xdr:nvSpPr>
            <xdr:cNvPr id="2606772" name="Drop Down 3764" hidden="1">
              <a:extLst>
                <a:ext uri="{63B3BB69-23CF-44E3-9099-C40C66FF867C}">
                  <a14:compatExt spid="_x0000_s2606772"/>
                </a:ext>
                <a:ext uri="{FF2B5EF4-FFF2-40B4-BE49-F238E27FC236}">
                  <a16:creationId xmlns:a16="http://schemas.microsoft.com/office/drawing/2014/main" id="{00000000-0008-0000-0000-0000B4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192</xdr:row>
          <xdr:rowOff>6350</xdr:rowOff>
        </xdr:from>
        <xdr:to>
          <xdr:col>7</xdr:col>
          <xdr:colOff>1085850</xdr:colOff>
          <xdr:row>193</xdr:row>
          <xdr:rowOff>12700</xdr:rowOff>
        </xdr:to>
        <xdr:sp macro="" textlink="">
          <xdr:nvSpPr>
            <xdr:cNvPr id="2606773" name="Drop Down 3765" hidden="1">
              <a:extLst>
                <a:ext uri="{63B3BB69-23CF-44E3-9099-C40C66FF867C}">
                  <a14:compatExt spid="_x0000_s2606773"/>
                </a:ext>
                <a:ext uri="{FF2B5EF4-FFF2-40B4-BE49-F238E27FC236}">
                  <a16:creationId xmlns:a16="http://schemas.microsoft.com/office/drawing/2014/main" id="{00000000-0008-0000-0000-0000B5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193</xdr:row>
          <xdr:rowOff>0</xdr:rowOff>
        </xdr:from>
        <xdr:to>
          <xdr:col>3</xdr:col>
          <xdr:colOff>1085850</xdr:colOff>
          <xdr:row>194</xdr:row>
          <xdr:rowOff>12700</xdr:rowOff>
        </xdr:to>
        <xdr:sp macro="" textlink="">
          <xdr:nvSpPr>
            <xdr:cNvPr id="2606774" name="Drop Down 3766" hidden="1">
              <a:extLst>
                <a:ext uri="{63B3BB69-23CF-44E3-9099-C40C66FF867C}">
                  <a14:compatExt spid="_x0000_s2606774"/>
                </a:ext>
                <a:ext uri="{FF2B5EF4-FFF2-40B4-BE49-F238E27FC236}">
                  <a16:creationId xmlns:a16="http://schemas.microsoft.com/office/drawing/2014/main" id="{00000000-0008-0000-0000-0000B6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393700</xdr:colOff>
          <xdr:row>193</xdr:row>
          <xdr:rowOff>12700</xdr:rowOff>
        </xdr:from>
        <xdr:to>
          <xdr:col>5</xdr:col>
          <xdr:colOff>1085850</xdr:colOff>
          <xdr:row>194</xdr:row>
          <xdr:rowOff>12700</xdr:rowOff>
        </xdr:to>
        <xdr:sp macro="" textlink="">
          <xdr:nvSpPr>
            <xdr:cNvPr id="2606775" name="Drop Down 3767" hidden="1">
              <a:extLst>
                <a:ext uri="{63B3BB69-23CF-44E3-9099-C40C66FF867C}">
                  <a14:compatExt spid="_x0000_s2606775"/>
                </a:ext>
                <a:ext uri="{FF2B5EF4-FFF2-40B4-BE49-F238E27FC236}">
                  <a16:creationId xmlns:a16="http://schemas.microsoft.com/office/drawing/2014/main" id="{00000000-0008-0000-0000-0000B7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393700</xdr:colOff>
          <xdr:row>193</xdr:row>
          <xdr:rowOff>6350</xdr:rowOff>
        </xdr:from>
        <xdr:to>
          <xdr:col>7</xdr:col>
          <xdr:colOff>1085850</xdr:colOff>
          <xdr:row>194</xdr:row>
          <xdr:rowOff>12700</xdr:rowOff>
        </xdr:to>
        <xdr:sp macro="" textlink="">
          <xdr:nvSpPr>
            <xdr:cNvPr id="2606776" name="Drop Down 3768" hidden="1">
              <a:extLst>
                <a:ext uri="{63B3BB69-23CF-44E3-9099-C40C66FF867C}">
                  <a14:compatExt spid="_x0000_s2606776"/>
                </a:ext>
                <a:ext uri="{FF2B5EF4-FFF2-40B4-BE49-F238E27FC236}">
                  <a16:creationId xmlns:a16="http://schemas.microsoft.com/office/drawing/2014/main" id="{00000000-0008-0000-0000-0000B8C627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10</xdr:col>
      <xdr:colOff>225985</xdr:colOff>
      <xdr:row>36</xdr:row>
      <xdr:rowOff>50240</xdr:rowOff>
    </xdr:from>
    <xdr:to>
      <xdr:col>18</xdr:col>
      <xdr:colOff>73585</xdr:colOff>
      <xdr:row>38</xdr:row>
      <xdr:rowOff>15875</xdr:rowOff>
    </xdr:to>
    <xdr:sp macro="" textlink="">
      <xdr:nvSpPr>
        <xdr:cNvPr id="6" name="Rectangle 137">
          <a:extLst>
            <a:ext uri="{FF2B5EF4-FFF2-40B4-BE49-F238E27FC236}">
              <a16:creationId xmlns:a16="http://schemas.microsoft.com/office/drawing/2014/main" id="{92E0B55E-7D8D-4FE1-BCA9-975839C66EBE}"/>
            </a:ext>
          </a:extLst>
        </xdr:cNvPr>
        <xdr:cNvSpPr>
          <a:spLocks noChangeArrowheads="1"/>
        </xdr:cNvSpPr>
      </xdr:nvSpPr>
      <xdr:spPr bwMode="auto">
        <a:xfrm>
          <a:off x="11341660" y="7803590"/>
          <a:ext cx="4419600" cy="470460"/>
        </a:xfrm>
        <a:prstGeom prst="rect">
          <a:avLst/>
        </a:prstGeom>
        <a:solidFill>
          <a:srgbClr val="CCFFCC"/>
        </a:solidFill>
        <a:ln w="9525">
          <a:solidFill>
            <a:srgbClr val="000000"/>
          </a:solidFill>
          <a:miter lim="800000"/>
          <a:headEnd/>
          <a:tailEnd/>
        </a:ln>
      </xdr:spPr>
      <xdr:txBody>
        <a:bodyPr vertOverflow="clip" wrap="square" lIns="27432" tIns="22860" rIns="0" bIns="0" anchor="t" upright="1"/>
        <a:lstStyle/>
        <a:p>
          <a:pPr algn="l" rtl="0">
            <a:defRPr sz="1000"/>
          </a:pPr>
          <a:r>
            <a:rPr lang="en-GB" sz="800" b="0" i="0" u="none" strike="noStrike" baseline="0">
              <a:solidFill>
                <a:srgbClr val="000000"/>
              </a:solidFill>
              <a:latin typeface="Arial"/>
              <a:cs typeface="Arial"/>
            </a:rPr>
            <a:t>Note: </a:t>
          </a:r>
          <a:r>
            <a:rPr lang="en-GB" sz="800" b="0" i="0" u="sng" strike="noStrike" baseline="0">
              <a:solidFill>
                <a:srgbClr val="000000"/>
              </a:solidFill>
              <a:latin typeface="Arial"/>
              <a:cs typeface="Arial"/>
            </a:rPr>
            <a:t>Biomass power plant efficiency</a:t>
          </a:r>
        </a:p>
        <a:p>
          <a:pPr algn="l" rtl="0">
            <a:defRPr sz="1000"/>
          </a:pPr>
          <a:r>
            <a:rPr lang="en-GB" sz="800" b="0" i="0" u="none" strike="noStrike" baseline="0">
              <a:solidFill>
                <a:srgbClr val="000000"/>
              </a:solidFill>
              <a:latin typeface="Arial"/>
              <a:cs typeface="Arial"/>
            </a:rPr>
            <a:t>0.352 is an indicative value estimated for the Port Talbot CFBC power plant (</a:t>
          </a:r>
          <a:r>
            <a:rPr lang="en-GB" sz="800"/>
            <a:t>D.R. McIlveen-Wright et al. 2013)</a:t>
          </a:r>
          <a:r>
            <a:rPr lang="en-GB" sz="800" b="0" i="0" u="none" strike="noStrike" baseline="0">
              <a:solidFill>
                <a:srgbClr val="000000"/>
              </a:solidFill>
              <a:latin typeface="Arial"/>
              <a:cs typeface="Arial"/>
            </a:rPr>
            <a:t> </a:t>
          </a:r>
        </a:p>
      </xdr:txBody>
    </xdr:sp>
    <xdr:clientData/>
  </xdr:twoCellAnchor>
  <xdr:twoCellAnchor>
    <xdr:from>
      <xdr:col>7</xdr:col>
      <xdr:colOff>1190625</xdr:colOff>
      <xdr:row>37</xdr:row>
      <xdr:rowOff>26708</xdr:rowOff>
    </xdr:from>
    <xdr:to>
      <xdr:col>10</xdr:col>
      <xdr:colOff>225985</xdr:colOff>
      <xdr:row>38</xdr:row>
      <xdr:rowOff>133350</xdr:rowOff>
    </xdr:to>
    <xdr:cxnSp macro="">
      <xdr:nvCxnSpPr>
        <xdr:cNvPr id="14" name="Straight Arrow Connector 13">
          <a:extLst>
            <a:ext uri="{FF2B5EF4-FFF2-40B4-BE49-F238E27FC236}">
              <a16:creationId xmlns:a16="http://schemas.microsoft.com/office/drawing/2014/main" id="{A98EA85A-29D0-872D-F8F5-28A71AF15CC0}"/>
            </a:ext>
          </a:extLst>
        </xdr:cNvPr>
        <xdr:cNvCxnSpPr>
          <a:stCxn id="6" idx="1"/>
        </xdr:cNvCxnSpPr>
      </xdr:nvCxnSpPr>
      <xdr:spPr>
        <a:xfrm flipH="1">
          <a:off x="9915525" y="8037233"/>
          <a:ext cx="1426135" cy="354292"/>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234950</xdr:colOff>
      <xdr:row>53</xdr:row>
      <xdr:rowOff>0</xdr:rowOff>
    </xdr:from>
    <xdr:to>
      <xdr:col>18</xdr:col>
      <xdr:colOff>200855</xdr:colOff>
      <xdr:row>54</xdr:row>
      <xdr:rowOff>133350</xdr:rowOff>
    </xdr:to>
    <xdr:sp macro="" textlink="">
      <xdr:nvSpPr>
        <xdr:cNvPr id="18" name="Rectangle 64">
          <a:extLst>
            <a:ext uri="{FF2B5EF4-FFF2-40B4-BE49-F238E27FC236}">
              <a16:creationId xmlns:a16="http://schemas.microsoft.com/office/drawing/2014/main" id="{436425A4-12E2-4A1F-9CF8-5FF57396303D}"/>
            </a:ext>
          </a:extLst>
        </xdr:cNvPr>
        <xdr:cNvSpPr>
          <a:spLocks noChangeArrowheads="1"/>
        </xdr:cNvSpPr>
      </xdr:nvSpPr>
      <xdr:spPr bwMode="auto">
        <a:xfrm>
          <a:off x="11350625" y="11087100"/>
          <a:ext cx="4537905" cy="295275"/>
        </a:xfrm>
        <a:prstGeom prst="rect">
          <a:avLst/>
        </a:prstGeom>
        <a:solidFill>
          <a:srgbClr val="CCFFCC"/>
        </a:solidFill>
        <a:ln w="9525">
          <a:solidFill>
            <a:srgbClr val="000000"/>
          </a:solidFill>
          <a:miter lim="800000"/>
          <a:headEnd/>
          <a:tailEnd/>
        </a:ln>
      </xdr:spPr>
      <xdr:txBody>
        <a:bodyPr vertOverflow="clip" wrap="square" lIns="27432" tIns="22860" rIns="0" bIns="0" anchor="t" upright="1"/>
        <a:lstStyle/>
        <a:p>
          <a:pPr marL="0" marR="0" indent="0" algn="l" defTabSz="914400" rtl="0" eaLnBrk="1" fontAlgn="auto" latinLnBrk="0" hangingPunct="1">
            <a:lnSpc>
              <a:spcPct val="100000"/>
            </a:lnSpc>
            <a:spcBef>
              <a:spcPts val="0"/>
            </a:spcBef>
            <a:spcAft>
              <a:spcPts val="0"/>
            </a:spcAft>
            <a:buClrTx/>
            <a:buSzTx/>
            <a:buFontTx/>
            <a:buNone/>
            <a:tabLst/>
            <a:defRPr sz="1000"/>
          </a:pPr>
          <a:r>
            <a:rPr lang="en-GB" sz="800" b="0" i="0" strike="noStrike">
              <a:solidFill>
                <a:srgbClr val="000000"/>
              </a:solidFill>
              <a:latin typeface="Arial" pitchFamily="34" charset="0"/>
              <a:cs typeface="Arial" pitchFamily="34" charset="0"/>
            </a:rPr>
            <a:t>Note: </a:t>
          </a:r>
          <a:r>
            <a:rPr lang="en-GB" sz="800" b="0" i="0" u="sng" strike="noStrike">
              <a:solidFill>
                <a:srgbClr val="000000"/>
              </a:solidFill>
              <a:latin typeface="Arial" pitchFamily="34" charset="0"/>
              <a:cs typeface="Arial" pitchFamily="34" charset="0"/>
            </a:rPr>
            <a:t>Post-restoration</a:t>
          </a:r>
          <a:r>
            <a:rPr lang="en-GB" sz="800" b="0" i="0" u="sng" strike="noStrike" baseline="0">
              <a:solidFill>
                <a:srgbClr val="000000"/>
              </a:solidFill>
              <a:latin typeface="Arial" pitchFamily="34" charset="0"/>
              <a:cs typeface="Arial" pitchFamily="34" charset="0"/>
            </a:rPr>
            <a:t> water table depth</a:t>
          </a:r>
          <a:r>
            <a:rPr lang="en-GB" sz="800" b="0" i="0" u="sng" strike="noStrike">
              <a:solidFill>
                <a:srgbClr val="000000"/>
              </a:solidFill>
              <a:latin typeface="Arial" pitchFamily="34" charset="0"/>
              <a:cs typeface="Arial" pitchFamily="34" charset="0"/>
            </a:rPr>
            <a:t>.</a:t>
          </a:r>
          <a:r>
            <a:rPr lang="en-GB" sz="800" b="0" i="0" u="none" strike="noStrike">
              <a:solidFill>
                <a:srgbClr val="000000"/>
              </a:solidFill>
              <a:latin typeface="Arial" pitchFamily="34" charset="0"/>
              <a:cs typeface="Arial" pitchFamily="34" charset="0"/>
            </a:rPr>
            <a:t> Default</a:t>
          </a:r>
          <a:r>
            <a:rPr lang="en-GB" sz="800" b="0" i="0" u="none" strike="noStrike" baseline="0">
              <a:solidFill>
                <a:srgbClr val="000000"/>
              </a:solidFill>
              <a:latin typeface="Arial" pitchFamily="34" charset="0"/>
              <a:cs typeface="Arial" pitchFamily="34" charset="0"/>
            </a:rPr>
            <a:t> expected post-restoration water table depth set to 4cm (1 - 6m) (Gaffney et al. 2018, Hughes et al. 2025)</a:t>
          </a:r>
          <a:endParaRPr lang="en-GB" sz="800" b="0" i="0" strike="noStrike">
            <a:solidFill>
              <a:srgbClr val="000000"/>
            </a:solidFill>
            <a:latin typeface="Arial"/>
            <a:cs typeface="Arial"/>
          </a:endParaRPr>
        </a:p>
      </xdr:txBody>
    </xdr:sp>
    <xdr:clientData/>
  </xdr:twoCellAnchor>
  <xdr:twoCellAnchor>
    <xdr:from>
      <xdr:col>7</xdr:col>
      <xdr:colOff>1162048</xdr:colOff>
      <xdr:row>49</xdr:row>
      <xdr:rowOff>85723</xdr:rowOff>
    </xdr:from>
    <xdr:to>
      <xdr:col>10</xdr:col>
      <xdr:colOff>247649</xdr:colOff>
      <xdr:row>53</xdr:row>
      <xdr:rowOff>123824</xdr:rowOff>
    </xdr:to>
    <xdr:sp macro="" textlink="">
      <xdr:nvSpPr>
        <xdr:cNvPr id="20" name="Line 121">
          <a:extLst>
            <a:ext uri="{FF2B5EF4-FFF2-40B4-BE49-F238E27FC236}">
              <a16:creationId xmlns:a16="http://schemas.microsoft.com/office/drawing/2014/main" id="{EC87390D-0171-471F-B19D-D8025446DD19}"/>
            </a:ext>
          </a:extLst>
        </xdr:cNvPr>
        <xdr:cNvSpPr>
          <a:spLocks noChangeShapeType="1"/>
        </xdr:cNvSpPr>
      </xdr:nvSpPr>
      <xdr:spPr bwMode="auto">
        <a:xfrm flipH="1" flipV="1">
          <a:off x="9886948" y="10525123"/>
          <a:ext cx="1476376" cy="685801"/>
        </a:xfrm>
        <a:prstGeom prst="line">
          <a:avLst/>
        </a:prstGeom>
        <a:noFill/>
        <a:ln w="9525">
          <a:solidFill>
            <a:srgbClr val="000000"/>
          </a:solidFill>
          <a:round/>
          <a:headEnd/>
          <a:tailEnd type="triangle" w="med" len="med"/>
        </a:ln>
      </xdr:spPr>
    </xdr:sp>
    <xdr:clientData/>
  </xdr:twoCellAnchor>
  <xdr:twoCellAnchor>
    <xdr:from>
      <xdr:col>10</xdr:col>
      <xdr:colOff>225425</xdr:colOff>
      <xdr:row>51</xdr:row>
      <xdr:rowOff>9525</xdr:rowOff>
    </xdr:from>
    <xdr:to>
      <xdr:col>18</xdr:col>
      <xdr:colOff>191330</xdr:colOff>
      <xdr:row>52</xdr:row>
      <xdr:rowOff>63500</xdr:rowOff>
    </xdr:to>
    <xdr:sp macro="" textlink="">
      <xdr:nvSpPr>
        <xdr:cNvPr id="22" name="Rectangle 64">
          <a:extLst>
            <a:ext uri="{FF2B5EF4-FFF2-40B4-BE49-F238E27FC236}">
              <a16:creationId xmlns:a16="http://schemas.microsoft.com/office/drawing/2014/main" id="{DAFCF3D0-7D0E-4A8F-9C3B-CFA58DFF5E77}"/>
            </a:ext>
          </a:extLst>
        </xdr:cNvPr>
        <xdr:cNvSpPr>
          <a:spLocks noChangeArrowheads="1"/>
        </xdr:cNvSpPr>
      </xdr:nvSpPr>
      <xdr:spPr bwMode="auto">
        <a:xfrm>
          <a:off x="11341100" y="10772775"/>
          <a:ext cx="4537905" cy="215900"/>
        </a:xfrm>
        <a:prstGeom prst="rect">
          <a:avLst/>
        </a:prstGeom>
        <a:solidFill>
          <a:srgbClr val="CCFFCC"/>
        </a:solidFill>
        <a:ln w="9525">
          <a:solidFill>
            <a:srgbClr val="000000"/>
          </a:solidFill>
          <a:miter lim="800000"/>
          <a:headEnd/>
          <a:tailEnd/>
        </a:ln>
      </xdr:spPr>
      <xdr:txBody>
        <a:bodyPr vertOverflow="clip" wrap="square" lIns="27432" tIns="22860" rIns="0" bIns="0" anchor="t" upright="1"/>
        <a:lstStyle/>
        <a:p>
          <a:pPr marL="0" marR="0" indent="0" algn="l" defTabSz="914400" rtl="0" eaLnBrk="1" fontAlgn="auto" latinLnBrk="0" hangingPunct="1">
            <a:lnSpc>
              <a:spcPct val="100000"/>
            </a:lnSpc>
            <a:spcBef>
              <a:spcPts val="0"/>
            </a:spcBef>
            <a:spcAft>
              <a:spcPts val="0"/>
            </a:spcAft>
            <a:buClrTx/>
            <a:buSzTx/>
            <a:buFontTx/>
            <a:buNone/>
            <a:tabLst/>
            <a:defRPr sz="1000"/>
          </a:pPr>
          <a:r>
            <a:rPr lang="en-GB" sz="800" b="0" i="0" strike="noStrike">
              <a:solidFill>
                <a:srgbClr val="000000"/>
              </a:solidFill>
              <a:latin typeface="Arial" pitchFamily="34" charset="0"/>
              <a:cs typeface="Arial" pitchFamily="34" charset="0"/>
            </a:rPr>
            <a:t>Note: </a:t>
          </a:r>
          <a:r>
            <a:rPr lang="en-GB" sz="800" b="0" i="0" u="sng" strike="noStrike">
              <a:solidFill>
                <a:srgbClr val="000000"/>
              </a:solidFill>
              <a:latin typeface="Arial" pitchFamily="34" charset="0"/>
              <a:cs typeface="Arial" pitchFamily="34" charset="0"/>
            </a:rPr>
            <a:t>Pre-restoration</a:t>
          </a:r>
          <a:r>
            <a:rPr lang="en-GB" sz="800" b="0" i="0" u="sng" strike="noStrike" baseline="0">
              <a:solidFill>
                <a:srgbClr val="000000"/>
              </a:solidFill>
              <a:latin typeface="Arial" pitchFamily="34" charset="0"/>
              <a:cs typeface="Arial" pitchFamily="34" charset="0"/>
            </a:rPr>
            <a:t> water table depth</a:t>
          </a:r>
          <a:r>
            <a:rPr lang="en-GB" sz="800" b="0" i="0" u="sng" strike="noStrike">
              <a:solidFill>
                <a:srgbClr val="000000"/>
              </a:solidFill>
              <a:latin typeface="Arial" pitchFamily="34" charset="0"/>
              <a:cs typeface="Arial" pitchFamily="34" charset="0"/>
            </a:rPr>
            <a:t>.</a:t>
          </a:r>
          <a:r>
            <a:rPr lang="en-GB" sz="800" b="0" i="0" u="none" strike="noStrike">
              <a:solidFill>
                <a:srgbClr val="000000"/>
              </a:solidFill>
              <a:latin typeface="Arial" pitchFamily="34" charset="0"/>
              <a:cs typeface="Arial" pitchFamily="34" charset="0"/>
            </a:rPr>
            <a:t> Measured user input</a:t>
          </a:r>
          <a:endParaRPr lang="en-GB" sz="800" b="0" i="0" strike="noStrike">
            <a:solidFill>
              <a:srgbClr val="000000"/>
            </a:solidFill>
            <a:latin typeface="Arial"/>
            <a:cs typeface="Arial"/>
          </a:endParaRPr>
        </a:p>
      </xdr:txBody>
    </xdr:sp>
    <xdr:clientData/>
  </xdr:twoCellAnchor>
  <xdr:twoCellAnchor>
    <xdr:from>
      <xdr:col>7</xdr:col>
      <xdr:colOff>1174748</xdr:colOff>
      <xdr:row>48</xdr:row>
      <xdr:rowOff>66674</xdr:rowOff>
    </xdr:from>
    <xdr:to>
      <xdr:col>10</xdr:col>
      <xdr:colOff>228599</xdr:colOff>
      <xdr:row>51</xdr:row>
      <xdr:rowOff>85724</xdr:rowOff>
    </xdr:to>
    <xdr:sp macro="" textlink="">
      <xdr:nvSpPr>
        <xdr:cNvPr id="23" name="Line 121">
          <a:extLst>
            <a:ext uri="{FF2B5EF4-FFF2-40B4-BE49-F238E27FC236}">
              <a16:creationId xmlns:a16="http://schemas.microsoft.com/office/drawing/2014/main" id="{B068D59A-58B2-43DF-9637-BF1EB03C462C}"/>
            </a:ext>
          </a:extLst>
        </xdr:cNvPr>
        <xdr:cNvSpPr>
          <a:spLocks noChangeShapeType="1"/>
        </xdr:cNvSpPr>
      </xdr:nvSpPr>
      <xdr:spPr bwMode="auto">
        <a:xfrm flipH="1" flipV="1">
          <a:off x="9899648" y="10344149"/>
          <a:ext cx="1444626" cy="504825"/>
        </a:xfrm>
        <a:prstGeom prst="line">
          <a:avLst/>
        </a:prstGeom>
        <a:noFill/>
        <a:ln w="9525">
          <a:solidFill>
            <a:srgbClr val="000000"/>
          </a:solidFill>
          <a:round/>
          <a:headEnd/>
          <a:tailEnd type="triangle" w="med" len="med"/>
        </a:ln>
      </xdr:spPr>
    </xdr:sp>
    <xdr:clientData/>
  </xdr:twoCellAnchor>
  <xdr:twoCellAnchor>
    <xdr:from>
      <xdr:col>10</xdr:col>
      <xdr:colOff>215900</xdr:colOff>
      <xdr:row>2</xdr:row>
      <xdr:rowOff>466725</xdr:rowOff>
    </xdr:from>
    <xdr:to>
      <xdr:col>18</xdr:col>
      <xdr:colOff>53975</xdr:colOff>
      <xdr:row>5</xdr:row>
      <xdr:rowOff>161925</xdr:rowOff>
    </xdr:to>
    <xdr:sp macro="" textlink="">
      <xdr:nvSpPr>
        <xdr:cNvPr id="29" name="Rectangle 143">
          <a:extLst>
            <a:ext uri="{FF2B5EF4-FFF2-40B4-BE49-F238E27FC236}">
              <a16:creationId xmlns:a16="http://schemas.microsoft.com/office/drawing/2014/main" id="{8EB69BB2-29F8-48CE-833A-675543FA6997}"/>
            </a:ext>
          </a:extLst>
        </xdr:cNvPr>
        <xdr:cNvSpPr>
          <a:spLocks noChangeArrowheads="1"/>
        </xdr:cNvSpPr>
      </xdr:nvSpPr>
      <xdr:spPr bwMode="auto">
        <a:xfrm>
          <a:off x="11331575" y="2066925"/>
          <a:ext cx="4410075" cy="542925"/>
        </a:xfrm>
        <a:prstGeom prst="rect">
          <a:avLst/>
        </a:prstGeom>
        <a:solidFill>
          <a:srgbClr val="CCFFCC"/>
        </a:solidFill>
        <a:ln w="9525">
          <a:solidFill>
            <a:srgbClr val="000000"/>
          </a:solidFill>
          <a:miter lim="800000"/>
          <a:headEnd/>
          <a:tailEnd/>
        </a:ln>
      </xdr:spPr>
      <xdr:txBody>
        <a:bodyPr vertOverflow="clip" wrap="square" lIns="27432" tIns="22860" rIns="0" bIns="0" anchor="t" upright="1"/>
        <a:lstStyle/>
        <a:p>
          <a:pPr rtl="0"/>
          <a:r>
            <a:rPr lang="en-GB" sz="800" b="0" i="0" baseline="0">
              <a:latin typeface="Arial" pitchFamily="34" charset="0"/>
              <a:ea typeface="+mn-ea"/>
              <a:cs typeface="Arial" pitchFamily="34" charset="0"/>
            </a:rPr>
            <a:t>Note: </a:t>
          </a:r>
          <a:r>
            <a:rPr lang="en-GB" sz="800" b="0" i="0" u="sng" baseline="0">
              <a:latin typeface="Arial" pitchFamily="34" charset="0"/>
              <a:ea typeface="+mn-ea"/>
              <a:cs typeface="Arial" pitchFamily="34" charset="0"/>
            </a:rPr>
            <a:t>Emissions associated with mulching</a:t>
          </a:r>
          <a:r>
            <a:rPr lang="en-GB" sz="800" b="0" i="0" baseline="0">
              <a:latin typeface="Arial" pitchFamily="34" charset="0"/>
              <a:ea typeface="+mn-ea"/>
              <a:cs typeface="Arial" pitchFamily="34" charset="0"/>
            </a:rPr>
            <a:t>. </a:t>
          </a:r>
          <a:endParaRPr lang="en-GB" sz="800">
            <a:latin typeface="Arial" pitchFamily="34" charset="0"/>
            <a:cs typeface="Arial" pitchFamily="34" charset="0"/>
          </a:endParaRPr>
        </a:p>
        <a:p>
          <a:pPr rtl="0"/>
          <a:r>
            <a:rPr lang="en-GB" sz="800" b="0" i="0" baseline="0">
              <a:latin typeface="Arial" pitchFamily="34" charset="0"/>
              <a:ea typeface="+mn-ea"/>
              <a:cs typeface="Arial" pitchFamily="34" charset="0"/>
            </a:rPr>
            <a:t>These estimates are derived from manufacturers technical specs and service provider estimates of mulching rates. Values equate to 10-25% of the harvesting emissions, however havesting requires a harvester and a forwarder and is a more skilled job.</a:t>
          </a:r>
        </a:p>
        <a:p>
          <a:pPr rtl="0"/>
          <a:endParaRPr lang="en-GB" sz="800">
            <a:latin typeface="Arial" pitchFamily="34" charset="0"/>
            <a:ea typeface="+mn-ea"/>
            <a:cs typeface="Arial" pitchFamily="34" charset="0"/>
          </a:endParaRPr>
        </a:p>
      </xdr:txBody>
    </xdr:sp>
    <xdr:clientData/>
  </xdr:twoCellAnchor>
  <xdr:twoCellAnchor>
    <xdr:from>
      <xdr:col>10</xdr:col>
      <xdr:colOff>244475</xdr:colOff>
      <xdr:row>15</xdr:row>
      <xdr:rowOff>104775</xdr:rowOff>
    </xdr:from>
    <xdr:to>
      <xdr:col>18</xdr:col>
      <xdr:colOff>85725</xdr:colOff>
      <xdr:row>18</xdr:row>
      <xdr:rowOff>0</xdr:rowOff>
    </xdr:to>
    <xdr:sp macro="" textlink="">
      <xdr:nvSpPr>
        <xdr:cNvPr id="4" name="Rectangle 143">
          <a:extLst>
            <a:ext uri="{FF2B5EF4-FFF2-40B4-BE49-F238E27FC236}">
              <a16:creationId xmlns:a16="http://schemas.microsoft.com/office/drawing/2014/main" id="{72B45934-576A-4DA2-AA63-04CB4F3B62EE}"/>
            </a:ext>
          </a:extLst>
        </xdr:cNvPr>
        <xdr:cNvSpPr>
          <a:spLocks noChangeArrowheads="1"/>
        </xdr:cNvSpPr>
      </xdr:nvSpPr>
      <xdr:spPr bwMode="auto">
        <a:xfrm>
          <a:off x="11360150" y="4495800"/>
          <a:ext cx="4413250" cy="466725"/>
        </a:xfrm>
        <a:prstGeom prst="rect">
          <a:avLst/>
        </a:prstGeom>
        <a:solidFill>
          <a:srgbClr val="CCFFCC"/>
        </a:solidFill>
        <a:ln w="9525">
          <a:solidFill>
            <a:srgbClr val="000000"/>
          </a:solidFill>
          <a:miter lim="800000"/>
          <a:headEnd/>
          <a:tailEnd/>
        </a:ln>
      </xdr:spPr>
      <xdr:txBody>
        <a:bodyPr vertOverflow="clip" wrap="square" lIns="27432" tIns="22860" rIns="0" bIns="0" anchor="t" upright="1"/>
        <a:lstStyle/>
        <a:p>
          <a:pPr rtl="0"/>
          <a:r>
            <a:rPr lang="en-GB" sz="800" b="0" i="0" baseline="0">
              <a:latin typeface="Arial" pitchFamily="34" charset="0"/>
              <a:ea typeface="+mn-ea"/>
              <a:cs typeface="Arial" pitchFamily="34" charset="0"/>
            </a:rPr>
            <a:t>Note: </a:t>
          </a:r>
          <a:r>
            <a:rPr lang="en-GB" sz="800" b="0" i="0" u="sng" baseline="0">
              <a:latin typeface="Arial" pitchFamily="34" charset="0"/>
              <a:ea typeface="+mn-ea"/>
              <a:cs typeface="Arial" pitchFamily="34" charset="0"/>
            </a:rPr>
            <a:t>Empirically estimated DOC/POC fluxes</a:t>
          </a:r>
          <a:r>
            <a:rPr lang="en-GB" sz="800" b="0" i="0" baseline="0">
              <a:latin typeface="Arial" pitchFamily="34" charset="0"/>
              <a:ea typeface="+mn-ea"/>
              <a:cs typeface="Arial" pitchFamily="34" charset="0"/>
            </a:rPr>
            <a:t>. </a:t>
          </a:r>
          <a:endParaRPr lang="en-GB" sz="800">
            <a:latin typeface="Arial" pitchFamily="34" charset="0"/>
            <a:cs typeface="Arial" pitchFamily="34" charset="0"/>
          </a:endParaRPr>
        </a:p>
        <a:p>
          <a:pPr rtl="0"/>
          <a:r>
            <a:rPr lang="en-GB" sz="800" b="0" i="0" baseline="0">
              <a:latin typeface="Arial" pitchFamily="34" charset="0"/>
              <a:ea typeface="+mn-ea"/>
              <a:cs typeface="Arial" pitchFamily="34" charset="0"/>
            </a:rPr>
            <a:t>Aveage value from multiple studies (Worrall et al., 2009, Dawson et al., 1995, Dawson et al., 2002)</a:t>
          </a:r>
        </a:p>
        <a:p>
          <a:pPr rtl="0"/>
          <a:endParaRPr lang="en-GB" sz="800">
            <a:latin typeface="Arial" pitchFamily="34" charset="0"/>
            <a:ea typeface="+mn-ea"/>
            <a:cs typeface="Arial" pitchFamily="34" charset="0"/>
          </a:endParaRPr>
        </a:p>
      </xdr:txBody>
    </xdr:sp>
    <xdr:clientData/>
  </xdr:twoCellAnchor>
  <xdr:twoCellAnchor>
    <xdr:from>
      <xdr:col>7</xdr:col>
      <xdr:colOff>1254125</xdr:colOff>
      <xdr:row>16</xdr:row>
      <xdr:rowOff>95250</xdr:rowOff>
    </xdr:from>
    <xdr:to>
      <xdr:col>10</xdr:col>
      <xdr:colOff>244475</xdr:colOff>
      <xdr:row>16</xdr:row>
      <xdr:rowOff>166688</xdr:rowOff>
    </xdr:to>
    <xdr:cxnSp macro="">
      <xdr:nvCxnSpPr>
        <xdr:cNvPr id="19" name="Straight Arrow Connector 18">
          <a:extLst>
            <a:ext uri="{FF2B5EF4-FFF2-40B4-BE49-F238E27FC236}">
              <a16:creationId xmlns:a16="http://schemas.microsoft.com/office/drawing/2014/main" id="{8E1D53F5-ECF6-8867-9031-B36700271782}"/>
            </a:ext>
          </a:extLst>
        </xdr:cNvPr>
        <xdr:cNvCxnSpPr>
          <a:stCxn id="4" idx="1"/>
        </xdr:cNvCxnSpPr>
      </xdr:nvCxnSpPr>
      <xdr:spPr>
        <a:xfrm flipH="1" flipV="1">
          <a:off x="9979025" y="4657725"/>
          <a:ext cx="1381125" cy="71438"/>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209550</xdr:colOff>
      <xdr:row>12</xdr:row>
      <xdr:rowOff>85725</xdr:rowOff>
    </xdr:from>
    <xdr:to>
      <xdr:col>18</xdr:col>
      <xdr:colOff>47625</xdr:colOff>
      <xdr:row>14</xdr:row>
      <xdr:rowOff>104775</xdr:rowOff>
    </xdr:to>
    <xdr:sp macro="" textlink="">
      <xdr:nvSpPr>
        <xdr:cNvPr id="12" name="Rectangle 143">
          <a:extLst>
            <a:ext uri="{FF2B5EF4-FFF2-40B4-BE49-F238E27FC236}">
              <a16:creationId xmlns:a16="http://schemas.microsoft.com/office/drawing/2014/main" id="{387A5124-6A6D-4CEA-BBD3-468D7D792F50}"/>
            </a:ext>
          </a:extLst>
        </xdr:cNvPr>
        <xdr:cNvSpPr>
          <a:spLocks noChangeArrowheads="1"/>
        </xdr:cNvSpPr>
      </xdr:nvSpPr>
      <xdr:spPr bwMode="auto">
        <a:xfrm>
          <a:off x="11325225" y="2619375"/>
          <a:ext cx="4410075" cy="428625"/>
        </a:xfrm>
        <a:prstGeom prst="rect">
          <a:avLst/>
        </a:prstGeom>
        <a:solidFill>
          <a:srgbClr val="CCFFCC"/>
        </a:solidFill>
        <a:ln w="9525">
          <a:solidFill>
            <a:srgbClr val="000000"/>
          </a:solidFill>
          <a:miter lim="800000"/>
          <a:headEnd/>
          <a:tailEnd/>
        </a:ln>
      </xdr:spPr>
      <xdr:txBody>
        <a:bodyPr vertOverflow="clip" wrap="square" lIns="27432" tIns="22860" rIns="0" bIns="0" anchor="t" upright="1"/>
        <a:lstStyle/>
        <a:p>
          <a:pPr rtl="0"/>
          <a:r>
            <a:rPr lang="en-GB" sz="800" b="0" i="0" baseline="0">
              <a:latin typeface="Arial" pitchFamily="34" charset="0"/>
              <a:ea typeface="+mn-ea"/>
              <a:cs typeface="Arial" pitchFamily="34" charset="0"/>
            </a:rPr>
            <a:t>Note: </a:t>
          </a:r>
          <a:r>
            <a:rPr lang="en-GB" sz="800" b="0" i="0" u="sng" baseline="0">
              <a:latin typeface="Arial" pitchFamily="34" charset="0"/>
              <a:ea typeface="+mn-ea"/>
              <a:cs typeface="Arial" pitchFamily="34" charset="0"/>
            </a:rPr>
            <a:t>DOC/POC ratios</a:t>
          </a:r>
          <a:r>
            <a:rPr lang="en-GB" sz="800" b="0" i="0" baseline="0">
              <a:latin typeface="Arial" pitchFamily="34" charset="0"/>
              <a:ea typeface="+mn-ea"/>
              <a:cs typeface="Arial" pitchFamily="34" charset="0"/>
            </a:rPr>
            <a:t>. </a:t>
          </a:r>
          <a:endParaRPr lang="en-GB" sz="800">
            <a:latin typeface="Arial" pitchFamily="34" charset="0"/>
            <a:cs typeface="Arial" pitchFamily="34" charset="0"/>
          </a:endParaRPr>
        </a:p>
        <a:p>
          <a:pPr rtl="0"/>
          <a:r>
            <a:rPr lang="en-GB" sz="800" b="0" i="0" baseline="0">
              <a:latin typeface="Arial" pitchFamily="34" charset="0"/>
              <a:ea typeface="+mn-ea"/>
              <a:cs typeface="Arial" pitchFamily="34" charset="0"/>
            </a:rPr>
            <a:t>Taken from Worrall et al., 2009</a:t>
          </a:r>
        </a:p>
        <a:p>
          <a:pPr rtl="0"/>
          <a:endParaRPr lang="en-GB" sz="800">
            <a:latin typeface="Arial" pitchFamily="34" charset="0"/>
            <a:ea typeface="+mn-ea"/>
            <a:cs typeface="Arial" pitchFamily="34" charset="0"/>
          </a:endParaRPr>
        </a:p>
      </xdr:txBody>
    </xdr:sp>
    <xdr:clientData/>
  </xdr:twoCellAnchor>
  <xdr:twoCellAnchor>
    <xdr:from>
      <xdr:col>7</xdr:col>
      <xdr:colOff>1104900</xdr:colOff>
      <xdr:row>3</xdr:row>
      <xdr:rowOff>0</xdr:rowOff>
    </xdr:from>
    <xdr:to>
      <xdr:col>10</xdr:col>
      <xdr:colOff>196850</xdr:colOff>
      <xdr:row>4</xdr:row>
      <xdr:rowOff>95250</xdr:rowOff>
    </xdr:to>
    <xdr:cxnSp macro="">
      <xdr:nvCxnSpPr>
        <xdr:cNvPr id="32" name="Straight Arrow Connector 31">
          <a:extLst>
            <a:ext uri="{FF2B5EF4-FFF2-40B4-BE49-F238E27FC236}">
              <a16:creationId xmlns:a16="http://schemas.microsoft.com/office/drawing/2014/main" id="{76F6C70E-2C29-0A99-AFB4-7AD06D92FBC3}"/>
            </a:ext>
          </a:extLst>
        </xdr:cNvPr>
        <xdr:cNvCxnSpPr>
          <a:cxnSpLocks/>
        </xdr:cNvCxnSpPr>
      </xdr:nvCxnSpPr>
      <xdr:spPr>
        <a:xfrm flipH="1">
          <a:off x="9829800" y="3332163"/>
          <a:ext cx="1482725" cy="487362"/>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238125</xdr:colOff>
      <xdr:row>18</xdr:row>
      <xdr:rowOff>133350</xdr:rowOff>
    </xdr:from>
    <xdr:to>
      <xdr:col>18</xdr:col>
      <xdr:colOff>73025</xdr:colOff>
      <xdr:row>21</xdr:row>
      <xdr:rowOff>85725</xdr:rowOff>
    </xdr:to>
    <xdr:sp macro="" textlink="">
      <xdr:nvSpPr>
        <xdr:cNvPr id="24" name="Rectangle 143">
          <a:extLst>
            <a:ext uri="{FF2B5EF4-FFF2-40B4-BE49-F238E27FC236}">
              <a16:creationId xmlns:a16="http://schemas.microsoft.com/office/drawing/2014/main" id="{A3A8BC43-BA13-4651-9616-FB1F58365969}"/>
            </a:ext>
          </a:extLst>
        </xdr:cNvPr>
        <xdr:cNvSpPr>
          <a:spLocks noChangeArrowheads="1"/>
        </xdr:cNvSpPr>
      </xdr:nvSpPr>
      <xdr:spPr bwMode="auto">
        <a:xfrm>
          <a:off x="11353800" y="5095875"/>
          <a:ext cx="4406900" cy="466725"/>
        </a:xfrm>
        <a:prstGeom prst="rect">
          <a:avLst/>
        </a:prstGeom>
        <a:solidFill>
          <a:srgbClr val="CCFFCC"/>
        </a:solidFill>
        <a:ln w="9525">
          <a:solidFill>
            <a:srgbClr val="000000"/>
          </a:solidFill>
          <a:miter lim="800000"/>
          <a:headEnd/>
          <a:tailEnd/>
        </a:ln>
      </xdr:spPr>
      <xdr:txBody>
        <a:bodyPr vertOverflow="clip" wrap="square" lIns="27432" tIns="22860" rIns="0" bIns="0" anchor="t" upright="1"/>
        <a:lstStyle/>
        <a:p>
          <a:pPr rtl="0"/>
          <a:r>
            <a:rPr lang="en-GB" sz="800" b="0" i="0" baseline="0">
              <a:latin typeface="Arial" pitchFamily="34" charset="0"/>
              <a:ea typeface="+mn-ea"/>
              <a:cs typeface="Arial" pitchFamily="34" charset="0"/>
            </a:rPr>
            <a:t>Note: </a:t>
          </a:r>
          <a:r>
            <a:rPr lang="en-GB" sz="800" b="0" i="0" u="sng" baseline="0">
              <a:latin typeface="Arial" pitchFamily="34" charset="0"/>
              <a:ea typeface="+mn-ea"/>
              <a:cs typeface="Arial" pitchFamily="34" charset="0"/>
            </a:rPr>
            <a:t>Empirically estimated root depth/density</a:t>
          </a:r>
          <a:r>
            <a:rPr lang="en-GB" sz="800" b="0" i="0" baseline="0">
              <a:latin typeface="Arial" pitchFamily="34" charset="0"/>
              <a:ea typeface="+mn-ea"/>
              <a:cs typeface="Arial" pitchFamily="34" charset="0"/>
            </a:rPr>
            <a:t>. </a:t>
          </a:r>
          <a:endParaRPr lang="en-GB" sz="800">
            <a:latin typeface="Arial" pitchFamily="34" charset="0"/>
            <a:cs typeface="Arial" pitchFamily="34" charset="0"/>
          </a:endParaRPr>
        </a:p>
        <a:p>
          <a:pPr rtl="0"/>
          <a:r>
            <a:rPr lang="en-GB" sz="800" b="0" i="0" baseline="0">
              <a:latin typeface="Arial" pitchFamily="34" charset="0"/>
              <a:ea typeface="+mn-ea"/>
              <a:cs typeface="Arial" pitchFamily="34" charset="0"/>
            </a:rPr>
            <a:t>Average plus or minus one standard devation estimated from FR tree pulling data (Nicholl et al. 2006) filtered by peats. Note only Sitka spruce available.</a:t>
          </a:r>
        </a:p>
        <a:p>
          <a:pPr rtl="0"/>
          <a:endParaRPr lang="en-GB" sz="800">
            <a:latin typeface="Arial" pitchFamily="34" charset="0"/>
            <a:ea typeface="+mn-ea"/>
            <a:cs typeface="Arial" pitchFamily="34" charset="0"/>
          </a:endParaRPr>
        </a:p>
      </xdr:txBody>
    </xdr:sp>
    <xdr:clientData/>
  </xdr:twoCellAnchor>
  <xdr:twoCellAnchor>
    <xdr:from>
      <xdr:col>7</xdr:col>
      <xdr:colOff>1266825</xdr:colOff>
      <xdr:row>19</xdr:row>
      <xdr:rowOff>104775</xdr:rowOff>
    </xdr:from>
    <xdr:to>
      <xdr:col>10</xdr:col>
      <xdr:colOff>234950</xdr:colOff>
      <xdr:row>20</xdr:row>
      <xdr:rowOff>41275</xdr:rowOff>
    </xdr:to>
    <xdr:cxnSp macro="">
      <xdr:nvCxnSpPr>
        <xdr:cNvPr id="26" name="Straight Arrow Connector 25">
          <a:extLst>
            <a:ext uri="{FF2B5EF4-FFF2-40B4-BE49-F238E27FC236}">
              <a16:creationId xmlns:a16="http://schemas.microsoft.com/office/drawing/2014/main" id="{A582B8F1-8BB5-7E9F-8067-7A4561EDC7D0}"/>
            </a:ext>
          </a:extLst>
        </xdr:cNvPr>
        <xdr:cNvCxnSpPr>
          <a:stCxn id="24" idx="1"/>
        </xdr:cNvCxnSpPr>
      </xdr:nvCxnSpPr>
      <xdr:spPr>
        <a:xfrm flipH="1" flipV="1">
          <a:off x="9991725" y="5229225"/>
          <a:ext cx="1358900" cy="98425"/>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www.scotland.gov.uk/Documents%20and%20Settings/Forest%20Research/Local%20Settings/Temporary%20Internet%20Files/OLK31/Full%20carbon%20calculator%20for%20wind%20farms%20with%20forestry%20-%20Version%201%201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Input data"/>
      <sheetName val="Payback time and CO2 emissions"/>
      <sheetName val="1. Windfarm CO2 emission saving"/>
      <sheetName val="2. CO2 loss due to turbine life"/>
      <sheetName val="3. CO2 loss due to backup"/>
      <sheetName val="4. Loss of CO2 fixing pot."/>
      <sheetName val="5. Loss of soil CO2"/>
      <sheetName val="5a. Volume of peat removed"/>
      <sheetName val="5b. CO2 loss from removed peat"/>
      <sheetName val="5c. Volume of peat drained"/>
      <sheetName val="5d. CO2 loss from drained peat"/>
      <sheetName val="5e. Emission rates from soils"/>
      <sheetName val="6. CO2 loss by DOC &amp; POC loss"/>
      <sheetName val="7. CO2 loss from forests"/>
      <sheetName val="7ai. C sequestration in trees"/>
      <sheetName val="7aii. C sequest. in trees (3PG)"/>
      <sheetName val="7b. C seq. in soil under trees"/>
      <sheetName val="7c. Average stand data"/>
      <sheetName val="7d. Area of forestry felled"/>
      <sheetName val="7e Biomass produced by SRF"/>
      <sheetName val="7f. Wind speed ratios"/>
      <sheetName val="8. CO2 gain - site improvement"/>
    </sheetNames>
    <sheetDataSet>
      <sheetData sheetId="0" refreshError="1"/>
      <sheetData sheetId="1" refreshError="1">
        <row r="11">
          <cell r="C11">
            <v>71.5</v>
          </cell>
        </row>
        <row r="13">
          <cell r="C13">
            <v>68</v>
          </cell>
        </row>
        <row r="14">
          <cell r="C14">
            <v>1264</v>
          </cell>
        </row>
        <row r="15">
          <cell r="C15">
            <v>25</v>
          </cell>
        </row>
        <row r="18">
          <cell r="C18">
            <v>80</v>
          </cell>
        </row>
        <row r="19">
          <cell r="C19">
            <v>8</v>
          </cell>
        </row>
        <row r="27">
          <cell r="C27">
            <v>1</v>
          </cell>
        </row>
        <row r="29">
          <cell r="C29">
            <v>9</v>
          </cell>
        </row>
        <row r="40">
          <cell r="C40">
            <v>2</v>
          </cell>
        </row>
        <row r="41">
          <cell r="C41">
            <v>2</v>
          </cell>
        </row>
        <row r="50">
          <cell r="C50">
            <v>1</v>
          </cell>
        </row>
        <row r="52">
          <cell r="C52">
            <v>25</v>
          </cell>
        </row>
        <row r="53">
          <cell r="C53">
            <v>0</v>
          </cell>
        </row>
        <row r="54">
          <cell r="C54">
            <v>2</v>
          </cell>
        </row>
        <row r="55">
          <cell r="C55">
            <v>500</v>
          </cell>
        </row>
        <row r="56">
          <cell r="C56">
            <v>250</v>
          </cell>
        </row>
        <row r="57">
          <cell r="C57">
            <v>1000</v>
          </cell>
        </row>
        <row r="58">
          <cell r="C58">
            <v>3000</v>
          </cell>
        </row>
        <row r="59">
          <cell r="C59">
            <v>3</v>
          </cell>
        </row>
        <row r="69">
          <cell r="C69">
            <v>2.0277699999999999</v>
          </cell>
        </row>
        <row r="71">
          <cell r="C71">
            <v>0.5</v>
          </cell>
        </row>
        <row r="73">
          <cell r="C73">
            <v>1857</v>
          </cell>
        </row>
        <row r="74">
          <cell r="C74">
            <v>1423</v>
          </cell>
        </row>
        <row r="75">
          <cell r="C75">
            <v>1.3999999999999999E-4</v>
          </cell>
        </row>
        <row r="76">
          <cell r="C76">
            <v>0.25</v>
          </cell>
        </row>
        <row r="80">
          <cell r="C80">
            <v>0.60699999999999998</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heme/theme1.xml><?xml version="1.0" encoding="utf-8"?>
<a:theme xmlns:a="http://schemas.openxmlformats.org/drawingml/2006/main" name="Office Theme">
  <a:themeElements>
    <a:clrScheme name="Custom 1">
      <a:dk1>
        <a:srgbClr val="FFFF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ctrlProp" Target="../ctrlProps/ctrlProp114.xml"/><Relationship Id="rId21" Type="http://schemas.openxmlformats.org/officeDocument/2006/relationships/ctrlProp" Target="../ctrlProps/ctrlProp18.xml"/><Relationship Id="rId42" Type="http://schemas.openxmlformats.org/officeDocument/2006/relationships/ctrlProp" Target="../ctrlProps/ctrlProp39.xml"/><Relationship Id="rId63" Type="http://schemas.openxmlformats.org/officeDocument/2006/relationships/ctrlProp" Target="../ctrlProps/ctrlProp60.xml"/><Relationship Id="rId84" Type="http://schemas.openxmlformats.org/officeDocument/2006/relationships/ctrlProp" Target="../ctrlProps/ctrlProp81.xml"/><Relationship Id="rId138" Type="http://schemas.openxmlformats.org/officeDocument/2006/relationships/ctrlProp" Target="../ctrlProps/ctrlProp135.xml"/><Relationship Id="rId159" Type="http://schemas.openxmlformats.org/officeDocument/2006/relationships/ctrlProp" Target="../ctrlProps/ctrlProp156.xml"/><Relationship Id="rId170" Type="http://schemas.openxmlformats.org/officeDocument/2006/relationships/ctrlProp" Target="../ctrlProps/ctrlProp167.xml"/><Relationship Id="rId107" Type="http://schemas.openxmlformats.org/officeDocument/2006/relationships/ctrlProp" Target="../ctrlProps/ctrlProp104.xml"/><Relationship Id="rId11" Type="http://schemas.openxmlformats.org/officeDocument/2006/relationships/ctrlProp" Target="../ctrlProps/ctrlProp8.xml"/><Relationship Id="rId32" Type="http://schemas.openxmlformats.org/officeDocument/2006/relationships/ctrlProp" Target="../ctrlProps/ctrlProp29.xml"/><Relationship Id="rId53" Type="http://schemas.openxmlformats.org/officeDocument/2006/relationships/ctrlProp" Target="../ctrlProps/ctrlProp50.xml"/><Relationship Id="rId74" Type="http://schemas.openxmlformats.org/officeDocument/2006/relationships/ctrlProp" Target="../ctrlProps/ctrlProp71.xml"/><Relationship Id="rId128" Type="http://schemas.openxmlformats.org/officeDocument/2006/relationships/ctrlProp" Target="../ctrlProps/ctrlProp125.xml"/><Relationship Id="rId149" Type="http://schemas.openxmlformats.org/officeDocument/2006/relationships/ctrlProp" Target="../ctrlProps/ctrlProp146.xml"/><Relationship Id="rId5" Type="http://schemas.openxmlformats.org/officeDocument/2006/relationships/ctrlProp" Target="../ctrlProps/ctrlProp2.xml"/><Relationship Id="rId95" Type="http://schemas.openxmlformats.org/officeDocument/2006/relationships/ctrlProp" Target="../ctrlProps/ctrlProp92.xml"/><Relationship Id="rId160" Type="http://schemas.openxmlformats.org/officeDocument/2006/relationships/ctrlProp" Target="../ctrlProps/ctrlProp157.xml"/><Relationship Id="rId181" Type="http://schemas.openxmlformats.org/officeDocument/2006/relationships/ctrlProp" Target="../ctrlProps/ctrlProp178.xml"/><Relationship Id="rId22" Type="http://schemas.openxmlformats.org/officeDocument/2006/relationships/ctrlProp" Target="../ctrlProps/ctrlProp19.xml"/><Relationship Id="rId43" Type="http://schemas.openxmlformats.org/officeDocument/2006/relationships/ctrlProp" Target="../ctrlProps/ctrlProp40.xml"/><Relationship Id="rId64" Type="http://schemas.openxmlformats.org/officeDocument/2006/relationships/ctrlProp" Target="../ctrlProps/ctrlProp61.xml"/><Relationship Id="rId118" Type="http://schemas.openxmlformats.org/officeDocument/2006/relationships/ctrlProp" Target="../ctrlProps/ctrlProp115.xml"/><Relationship Id="rId139" Type="http://schemas.openxmlformats.org/officeDocument/2006/relationships/ctrlProp" Target="../ctrlProps/ctrlProp136.xml"/><Relationship Id="rId85" Type="http://schemas.openxmlformats.org/officeDocument/2006/relationships/ctrlProp" Target="../ctrlProps/ctrlProp82.xml"/><Relationship Id="rId150" Type="http://schemas.openxmlformats.org/officeDocument/2006/relationships/ctrlProp" Target="../ctrlProps/ctrlProp147.xml"/><Relationship Id="rId171" Type="http://schemas.openxmlformats.org/officeDocument/2006/relationships/ctrlProp" Target="../ctrlProps/ctrlProp168.xml"/><Relationship Id="rId12" Type="http://schemas.openxmlformats.org/officeDocument/2006/relationships/ctrlProp" Target="../ctrlProps/ctrlProp9.xml"/><Relationship Id="rId33" Type="http://schemas.openxmlformats.org/officeDocument/2006/relationships/ctrlProp" Target="../ctrlProps/ctrlProp30.xml"/><Relationship Id="rId108" Type="http://schemas.openxmlformats.org/officeDocument/2006/relationships/ctrlProp" Target="../ctrlProps/ctrlProp105.xml"/><Relationship Id="rId129" Type="http://schemas.openxmlformats.org/officeDocument/2006/relationships/ctrlProp" Target="../ctrlProps/ctrlProp126.xml"/><Relationship Id="rId54" Type="http://schemas.openxmlformats.org/officeDocument/2006/relationships/ctrlProp" Target="../ctrlProps/ctrlProp51.xml"/><Relationship Id="rId75" Type="http://schemas.openxmlformats.org/officeDocument/2006/relationships/ctrlProp" Target="../ctrlProps/ctrlProp72.xml"/><Relationship Id="rId96" Type="http://schemas.openxmlformats.org/officeDocument/2006/relationships/ctrlProp" Target="../ctrlProps/ctrlProp93.xml"/><Relationship Id="rId140" Type="http://schemas.openxmlformats.org/officeDocument/2006/relationships/ctrlProp" Target="../ctrlProps/ctrlProp137.xml"/><Relationship Id="rId161" Type="http://schemas.openxmlformats.org/officeDocument/2006/relationships/ctrlProp" Target="../ctrlProps/ctrlProp158.xml"/><Relationship Id="rId182" Type="http://schemas.openxmlformats.org/officeDocument/2006/relationships/ctrlProp" Target="../ctrlProps/ctrlProp179.xml"/><Relationship Id="rId6" Type="http://schemas.openxmlformats.org/officeDocument/2006/relationships/ctrlProp" Target="../ctrlProps/ctrlProp3.xml"/><Relationship Id="rId23" Type="http://schemas.openxmlformats.org/officeDocument/2006/relationships/ctrlProp" Target="../ctrlProps/ctrlProp20.xml"/><Relationship Id="rId119" Type="http://schemas.openxmlformats.org/officeDocument/2006/relationships/ctrlProp" Target="../ctrlProps/ctrlProp116.xml"/><Relationship Id="rId44" Type="http://schemas.openxmlformats.org/officeDocument/2006/relationships/ctrlProp" Target="../ctrlProps/ctrlProp41.xml"/><Relationship Id="rId65" Type="http://schemas.openxmlformats.org/officeDocument/2006/relationships/ctrlProp" Target="../ctrlProps/ctrlProp62.xml"/><Relationship Id="rId86" Type="http://schemas.openxmlformats.org/officeDocument/2006/relationships/ctrlProp" Target="../ctrlProps/ctrlProp83.xml"/><Relationship Id="rId130" Type="http://schemas.openxmlformats.org/officeDocument/2006/relationships/ctrlProp" Target="../ctrlProps/ctrlProp127.xml"/><Relationship Id="rId151" Type="http://schemas.openxmlformats.org/officeDocument/2006/relationships/ctrlProp" Target="../ctrlProps/ctrlProp148.xml"/><Relationship Id="rId172" Type="http://schemas.openxmlformats.org/officeDocument/2006/relationships/ctrlProp" Target="../ctrlProps/ctrlProp169.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109" Type="http://schemas.openxmlformats.org/officeDocument/2006/relationships/ctrlProp" Target="../ctrlProps/ctrlProp106.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97" Type="http://schemas.openxmlformats.org/officeDocument/2006/relationships/ctrlProp" Target="../ctrlProps/ctrlProp94.xml"/><Relationship Id="rId104" Type="http://schemas.openxmlformats.org/officeDocument/2006/relationships/ctrlProp" Target="../ctrlProps/ctrlProp101.xml"/><Relationship Id="rId120" Type="http://schemas.openxmlformats.org/officeDocument/2006/relationships/ctrlProp" Target="../ctrlProps/ctrlProp117.xml"/><Relationship Id="rId125" Type="http://schemas.openxmlformats.org/officeDocument/2006/relationships/ctrlProp" Target="../ctrlProps/ctrlProp122.xml"/><Relationship Id="rId141" Type="http://schemas.openxmlformats.org/officeDocument/2006/relationships/ctrlProp" Target="../ctrlProps/ctrlProp138.xml"/><Relationship Id="rId146" Type="http://schemas.openxmlformats.org/officeDocument/2006/relationships/ctrlProp" Target="../ctrlProps/ctrlProp143.xml"/><Relationship Id="rId167" Type="http://schemas.openxmlformats.org/officeDocument/2006/relationships/ctrlProp" Target="../ctrlProps/ctrlProp164.xml"/><Relationship Id="rId188" Type="http://schemas.openxmlformats.org/officeDocument/2006/relationships/ctrlProp" Target="../ctrlProps/ctrlProp185.xml"/><Relationship Id="rId7" Type="http://schemas.openxmlformats.org/officeDocument/2006/relationships/ctrlProp" Target="../ctrlProps/ctrlProp4.xml"/><Relationship Id="rId71" Type="http://schemas.openxmlformats.org/officeDocument/2006/relationships/ctrlProp" Target="../ctrlProps/ctrlProp68.xml"/><Relationship Id="rId92" Type="http://schemas.openxmlformats.org/officeDocument/2006/relationships/ctrlProp" Target="../ctrlProps/ctrlProp89.xml"/><Relationship Id="rId162" Type="http://schemas.openxmlformats.org/officeDocument/2006/relationships/ctrlProp" Target="../ctrlProps/ctrlProp159.xml"/><Relationship Id="rId183" Type="http://schemas.openxmlformats.org/officeDocument/2006/relationships/ctrlProp" Target="../ctrlProps/ctrlProp180.xml"/><Relationship Id="rId2" Type="http://schemas.openxmlformats.org/officeDocument/2006/relationships/drawing" Target="../drawings/drawing1.xml"/><Relationship Id="rId29" Type="http://schemas.openxmlformats.org/officeDocument/2006/relationships/ctrlProp" Target="../ctrlProps/ctrlProp26.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 Id="rId87" Type="http://schemas.openxmlformats.org/officeDocument/2006/relationships/ctrlProp" Target="../ctrlProps/ctrlProp84.xml"/><Relationship Id="rId110" Type="http://schemas.openxmlformats.org/officeDocument/2006/relationships/ctrlProp" Target="../ctrlProps/ctrlProp107.xml"/><Relationship Id="rId115" Type="http://schemas.openxmlformats.org/officeDocument/2006/relationships/ctrlProp" Target="../ctrlProps/ctrlProp112.xml"/><Relationship Id="rId131" Type="http://schemas.openxmlformats.org/officeDocument/2006/relationships/ctrlProp" Target="../ctrlProps/ctrlProp128.xml"/><Relationship Id="rId136" Type="http://schemas.openxmlformats.org/officeDocument/2006/relationships/ctrlProp" Target="../ctrlProps/ctrlProp133.xml"/><Relationship Id="rId157" Type="http://schemas.openxmlformats.org/officeDocument/2006/relationships/ctrlProp" Target="../ctrlProps/ctrlProp154.xml"/><Relationship Id="rId178" Type="http://schemas.openxmlformats.org/officeDocument/2006/relationships/ctrlProp" Target="../ctrlProps/ctrlProp175.xml"/><Relationship Id="rId61" Type="http://schemas.openxmlformats.org/officeDocument/2006/relationships/ctrlProp" Target="../ctrlProps/ctrlProp58.xml"/><Relationship Id="rId82" Type="http://schemas.openxmlformats.org/officeDocument/2006/relationships/ctrlProp" Target="../ctrlProps/ctrlProp79.xml"/><Relationship Id="rId152" Type="http://schemas.openxmlformats.org/officeDocument/2006/relationships/ctrlProp" Target="../ctrlProps/ctrlProp149.xml"/><Relationship Id="rId173" Type="http://schemas.openxmlformats.org/officeDocument/2006/relationships/ctrlProp" Target="../ctrlProps/ctrlProp170.xml"/><Relationship Id="rId19" Type="http://schemas.openxmlformats.org/officeDocument/2006/relationships/ctrlProp" Target="../ctrlProps/ctrlProp16.xml"/><Relationship Id="rId14" Type="http://schemas.openxmlformats.org/officeDocument/2006/relationships/ctrlProp" Target="../ctrlProps/ctrlProp11.xml"/><Relationship Id="rId30" Type="http://schemas.openxmlformats.org/officeDocument/2006/relationships/ctrlProp" Target="../ctrlProps/ctrlProp27.xml"/><Relationship Id="rId35" Type="http://schemas.openxmlformats.org/officeDocument/2006/relationships/ctrlProp" Target="../ctrlProps/ctrlProp32.xml"/><Relationship Id="rId56" Type="http://schemas.openxmlformats.org/officeDocument/2006/relationships/ctrlProp" Target="../ctrlProps/ctrlProp53.xml"/><Relationship Id="rId77" Type="http://schemas.openxmlformats.org/officeDocument/2006/relationships/ctrlProp" Target="../ctrlProps/ctrlProp74.xml"/><Relationship Id="rId100" Type="http://schemas.openxmlformats.org/officeDocument/2006/relationships/ctrlProp" Target="../ctrlProps/ctrlProp97.xml"/><Relationship Id="rId105" Type="http://schemas.openxmlformats.org/officeDocument/2006/relationships/ctrlProp" Target="../ctrlProps/ctrlProp102.xml"/><Relationship Id="rId126" Type="http://schemas.openxmlformats.org/officeDocument/2006/relationships/ctrlProp" Target="../ctrlProps/ctrlProp123.xml"/><Relationship Id="rId147" Type="http://schemas.openxmlformats.org/officeDocument/2006/relationships/ctrlProp" Target="../ctrlProps/ctrlProp144.xml"/><Relationship Id="rId168" Type="http://schemas.openxmlformats.org/officeDocument/2006/relationships/ctrlProp" Target="../ctrlProps/ctrlProp165.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93" Type="http://schemas.openxmlformats.org/officeDocument/2006/relationships/ctrlProp" Target="../ctrlProps/ctrlProp90.xml"/><Relationship Id="rId98" Type="http://schemas.openxmlformats.org/officeDocument/2006/relationships/ctrlProp" Target="../ctrlProps/ctrlProp95.xml"/><Relationship Id="rId121" Type="http://schemas.openxmlformats.org/officeDocument/2006/relationships/ctrlProp" Target="../ctrlProps/ctrlProp118.xml"/><Relationship Id="rId142" Type="http://schemas.openxmlformats.org/officeDocument/2006/relationships/ctrlProp" Target="../ctrlProps/ctrlProp139.xml"/><Relationship Id="rId163" Type="http://schemas.openxmlformats.org/officeDocument/2006/relationships/ctrlProp" Target="../ctrlProps/ctrlProp160.xml"/><Relationship Id="rId184" Type="http://schemas.openxmlformats.org/officeDocument/2006/relationships/ctrlProp" Target="../ctrlProps/ctrlProp181.xml"/><Relationship Id="rId189" Type="http://schemas.openxmlformats.org/officeDocument/2006/relationships/ctrlProp" Target="../ctrlProps/ctrlProp186.xml"/><Relationship Id="rId3" Type="http://schemas.openxmlformats.org/officeDocument/2006/relationships/vmlDrawing" Target="../drawings/vmlDrawing1.vml"/><Relationship Id="rId25" Type="http://schemas.openxmlformats.org/officeDocument/2006/relationships/ctrlProp" Target="../ctrlProps/ctrlProp22.xml"/><Relationship Id="rId46" Type="http://schemas.openxmlformats.org/officeDocument/2006/relationships/ctrlProp" Target="../ctrlProps/ctrlProp43.xml"/><Relationship Id="rId67" Type="http://schemas.openxmlformats.org/officeDocument/2006/relationships/ctrlProp" Target="../ctrlProps/ctrlProp64.xml"/><Relationship Id="rId116" Type="http://schemas.openxmlformats.org/officeDocument/2006/relationships/ctrlProp" Target="../ctrlProps/ctrlProp113.xml"/><Relationship Id="rId137" Type="http://schemas.openxmlformats.org/officeDocument/2006/relationships/ctrlProp" Target="../ctrlProps/ctrlProp134.xml"/><Relationship Id="rId158" Type="http://schemas.openxmlformats.org/officeDocument/2006/relationships/ctrlProp" Target="../ctrlProps/ctrlProp155.xml"/><Relationship Id="rId20" Type="http://schemas.openxmlformats.org/officeDocument/2006/relationships/ctrlProp" Target="../ctrlProps/ctrlProp17.xml"/><Relationship Id="rId41" Type="http://schemas.openxmlformats.org/officeDocument/2006/relationships/ctrlProp" Target="../ctrlProps/ctrlProp38.xml"/><Relationship Id="rId62" Type="http://schemas.openxmlformats.org/officeDocument/2006/relationships/ctrlProp" Target="../ctrlProps/ctrlProp59.xml"/><Relationship Id="rId83" Type="http://schemas.openxmlformats.org/officeDocument/2006/relationships/ctrlProp" Target="../ctrlProps/ctrlProp80.xml"/><Relationship Id="rId88" Type="http://schemas.openxmlformats.org/officeDocument/2006/relationships/ctrlProp" Target="../ctrlProps/ctrlProp85.xml"/><Relationship Id="rId111" Type="http://schemas.openxmlformats.org/officeDocument/2006/relationships/ctrlProp" Target="../ctrlProps/ctrlProp108.xml"/><Relationship Id="rId132" Type="http://schemas.openxmlformats.org/officeDocument/2006/relationships/ctrlProp" Target="../ctrlProps/ctrlProp129.xml"/><Relationship Id="rId153" Type="http://schemas.openxmlformats.org/officeDocument/2006/relationships/ctrlProp" Target="../ctrlProps/ctrlProp150.xml"/><Relationship Id="rId174" Type="http://schemas.openxmlformats.org/officeDocument/2006/relationships/ctrlProp" Target="../ctrlProps/ctrlProp171.xml"/><Relationship Id="rId179" Type="http://schemas.openxmlformats.org/officeDocument/2006/relationships/ctrlProp" Target="../ctrlProps/ctrlProp176.xml"/><Relationship Id="rId190" Type="http://schemas.openxmlformats.org/officeDocument/2006/relationships/ctrlProp" Target="../ctrlProps/ctrlProp187.xml"/><Relationship Id="rId15" Type="http://schemas.openxmlformats.org/officeDocument/2006/relationships/ctrlProp" Target="../ctrlProps/ctrlProp12.xml"/><Relationship Id="rId36" Type="http://schemas.openxmlformats.org/officeDocument/2006/relationships/ctrlProp" Target="../ctrlProps/ctrlProp33.xml"/><Relationship Id="rId57" Type="http://schemas.openxmlformats.org/officeDocument/2006/relationships/ctrlProp" Target="../ctrlProps/ctrlProp54.xml"/><Relationship Id="rId106" Type="http://schemas.openxmlformats.org/officeDocument/2006/relationships/ctrlProp" Target="../ctrlProps/ctrlProp103.xml"/><Relationship Id="rId127" Type="http://schemas.openxmlformats.org/officeDocument/2006/relationships/ctrlProp" Target="../ctrlProps/ctrlProp124.xml"/><Relationship Id="rId10" Type="http://schemas.openxmlformats.org/officeDocument/2006/relationships/ctrlProp" Target="../ctrlProps/ctrlProp7.xml"/><Relationship Id="rId31" Type="http://schemas.openxmlformats.org/officeDocument/2006/relationships/ctrlProp" Target="../ctrlProps/ctrlProp28.xml"/><Relationship Id="rId52" Type="http://schemas.openxmlformats.org/officeDocument/2006/relationships/ctrlProp" Target="../ctrlProps/ctrlProp49.xml"/><Relationship Id="rId73" Type="http://schemas.openxmlformats.org/officeDocument/2006/relationships/ctrlProp" Target="../ctrlProps/ctrlProp70.xml"/><Relationship Id="rId78" Type="http://schemas.openxmlformats.org/officeDocument/2006/relationships/ctrlProp" Target="../ctrlProps/ctrlProp75.xml"/><Relationship Id="rId94" Type="http://schemas.openxmlformats.org/officeDocument/2006/relationships/ctrlProp" Target="../ctrlProps/ctrlProp91.xml"/><Relationship Id="rId99" Type="http://schemas.openxmlformats.org/officeDocument/2006/relationships/ctrlProp" Target="../ctrlProps/ctrlProp96.xml"/><Relationship Id="rId101" Type="http://schemas.openxmlformats.org/officeDocument/2006/relationships/ctrlProp" Target="../ctrlProps/ctrlProp98.xml"/><Relationship Id="rId122" Type="http://schemas.openxmlformats.org/officeDocument/2006/relationships/ctrlProp" Target="../ctrlProps/ctrlProp119.xml"/><Relationship Id="rId143" Type="http://schemas.openxmlformats.org/officeDocument/2006/relationships/ctrlProp" Target="../ctrlProps/ctrlProp140.xml"/><Relationship Id="rId148" Type="http://schemas.openxmlformats.org/officeDocument/2006/relationships/ctrlProp" Target="../ctrlProps/ctrlProp145.xml"/><Relationship Id="rId164" Type="http://schemas.openxmlformats.org/officeDocument/2006/relationships/ctrlProp" Target="../ctrlProps/ctrlProp161.xml"/><Relationship Id="rId169" Type="http://schemas.openxmlformats.org/officeDocument/2006/relationships/ctrlProp" Target="../ctrlProps/ctrlProp166.xml"/><Relationship Id="rId185" Type="http://schemas.openxmlformats.org/officeDocument/2006/relationships/ctrlProp" Target="../ctrlProps/ctrlProp182.xml"/><Relationship Id="rId4" Type="http://schemas.openxmlformats.org/officeDocument/2006/relationships/ctrlProp" Target="../ctrlProps/ctrlProp1.xml"/><Relationship Id="rId9" Type="http://schemas.openxmlformats.org/officeDocument/2006/relationships/ctrlProp" Target="../ctrlProps/ctrlProp6.xml"/><Relationship Id="rId180" Type="http://schemas.openxmlformats.org/officeDocument/2006/relationships/ctrlProp" Target="../ctrlProps/ctrlProp177.xml"/><Relationship Id="rId26" Type="http://schemas.openxmlformats.org/officeDocument/2006/relationships/ctrlProp" Target="../ctrlProps/ctrlProp23.xml"/><Relationship Id="rId47" Type="http://schemas.openxmlformats.org/officeDocument/2006/relationships/ctrlProp" Target="../ctrlProps/ctrlProp44.xml"/><Relationship Id="rId68" Type="http://schemas.openxmlformats.org/officeDocument/2006/relationships/ctrlProp" Target="../ctrlProps/ctrlProp65.xml"/><Relationship Id="rId89" Type="http://schemas.openxmlformats.org/officeDocument/2006/relationships/ctrlProp" Target="../ctrlProps/ctrlProp86.xml"/><Relationship Id="rId112" Type="http://schemas.openxmlformats.org/officeDocument/2006/relationships/ctrlProp" Target="../ctrlProps/ctrlProp109.xml"/><Relationship Id="rId133" Type="http://schemas.openxmlformats.org/officeDocument/2006/relationships/ctrlProp" Target="../ctrlProps/ctrlProp130.xml"/><Relationship Id="rId154" Type="http://schemas.openxmlformats.org/officeDocument/2006/relationships/ctrlProp" Target="../ctrlProps/ctrlProp151.xml"/><Relationship Id="rId175" Type="http://schemas.openxmlformats.org/officeDocument/2006/relationships/ctrlProp" Target="../ctrlProps/ctrlProp172.xml"/><Relationship Id="rId16" Type="http://schemas.openxmlformats.org/officeDocument/2006/relationships/ctrlProp" Target="../ctrlProps/ctrlProp13.xml"/><Relationship Id="rId37" Type="http://schemas.openxmlformats.org/officeDocument/2006/relationships/ctrlProp" Target="../ctrlProps/ctrlProp34.xml"/><Relationship Id="rId58" Type="http://schemas.openxmlformats.org/officeDocument/2006/relationships/ctrlProp" Target="../ctrlProps/ctrlProp55.xml"/><Relationship Id="rId79" Type="http://schemas.openxmlformats.org/officeDocument/2006/relationships/ctrlProp" Target="../ctrlProps/ctrlProp76.xml"/><Relationship Id="rId102" Type="http://schemas.openxmlformats.org/officeDocument/2006/relationships/ctrlProp" Target="../ctrlProps/ctrlProp99.xml"/><Relationship Id="rId123" Type="http://schemas.openxmlformats.org/officeDocument/2006/relationships/ctrlProp" Target="../ctrlProps/ctrlProp120.xml"/><Relationship Id="rId144" Type="http://schemas.openxmlformats.org/officeDocument/2006/relationships/ctrlProp" Target="../ctrlProps/ctrlProp141.xml"/><Relationship Id="rId90" Type="http://schemas.openxmlformats.org/officeDocument/2006/relationships/ctrlProp" Target="../ctrlProps/ctrlProp87.xml"/><Relationship Id="rId165" Type="http://schemas.openxmlformats.org/officeDocument/2006/relationships/ctrlProp" Target="../ctrlProps/ctrlProp162.xml"/><Relationship Id="rId186" Type="http://schemas.openxmlformats.org/officeDocument/2006/relationships/ctrlProp" Target="../ctrlProps/ctrlProp183.xml"/><Relationship Id="rId27" Type="http://schemas.openxmlformats.org/officeDocument/2006/relationships/ctrlProp" Target="../ctrlProps/ctrlProp24.xml"/><Relationship Id="rId48" Type="http://schemas.openxmlformats.org/officeDocument/2006/relationships/ctrlProp" Target="../ctrlProps/ctrlProp45.xml"/><Relationship Id="rId69" Type="http://schemas.openxmlformats.org/officeDocument/2006/relationships/ctrlProp" Target="../ctrlProps/ctrlProp66.xml"/><Relationship Id="rId113" Type="http://schemas.openxmlformats.org/officeDocument/2006/relationships/ctrlProp" Target="../ctrlProps/ctrlProp110.xml"/><Relationship Id="rId134" Type="http://schemas.openxmlformats.org/officeDocument/2006/relationships/ctrlProp" Target="../ctrlProps/ctrlProp131.xml"/><Relationship Id="rId80" Type="http://schemas.openxmlformats.org/officeDocument/2006/relationships/ctrlProp" Target="../ctrlProps/ctrlProp77.xml"/><Relationship Id="rId155" Type="http://schemas.openxmlformats.org/officeDocument/2006/relationships/ctrlProp" Target="../ctrlProps/ctrlProp152.xml"/><Relationship Id="rId176" Type="http://schemas.openxmlformats.org/officeDocument/2006/relationships/ctrlProp" Target="../ctrlProps/ctrlProp173.xml"/><Relationship Id="rId17" Type="http://schemas.openxmlformats.org/officeDocument/2006/relationships/ctrlProp" Target="../ctrlProps/ctrlProp14.xml"/><Relationship Id="rId38" Type="http://schemas.openxmlformats.org/officeDocument/2006/relationships/ctrlProp" Target="../ctrlProps/ctrlProp35.xml"/><Relationship Id="rId59" Type="http://schemas.openxmlformats.org/officeDocument/2006/relationships/ctrlProp" Target="../ctrlProps/ctrlProp56.xml"/><Relationship Id="rId103" Type="http://schemas.openxmlformats.org/officeDocument/2006/relationships/ctrlProp" Target="../ctrlProps/ctrlProp100.xml"/><Relationship Id="rId124" Type="http://schemas.openxmlformats.org/officeDocument/2006/relationships/ctrlProp" Target="../ctrlProps/ctrlProp121.xml"/><Relationship Id="rId70" Type="http://schemas.openxmlformats.org/officeDocument/2006/relationships/ctrlProp" Target="../ctrlProps/ctrlProp67.xml"/><Relationship Id="rId91" Type="http://schemas.openxmlformats.org/officeDocument/2006/relationships/ctrlProp" Target="../ctrlProps/ctrlProp88.xml"/><Relationship Id="rId145" Type="http://schemas.openxmlformats.org/officeDocument/2006/relationships/ctrlProp" Target="../ctrlProps/ctrlProp142.xml"/><Relationship Id="rId166" Type="http://schemas.openxmlformats.org/officeDocument/2006/relationships/ctrlProp" Target="../ctrlProps/ctrlProp163.xml"/><Relationship Id="rId187" Type="http://schemas.openxmlformats.org/officeDocument/2006/relationships/ctrlProp" Target="../ctrlProps/ctrlProp184.xml"/><Relationship Id="rId1" Type="http://schemas.openxmlformats.org/officeDocument/2006/relationships/printerSettings" Target="../printerSettings/printerSettings1.bin"/><Relationship Id="rId28" Type="http://schemas.openxmlformats.org/officeDocument/2006/relationships/ctrlProp" Target="../ctrlProps/ctrlProp25.xml"/><Relationship Id="rId49" Type="http://schemas.openxmlformats.org/officeDocument/2006/relationships/ctrlProp" Target="../ctrlProps/ctrlProp46.xml"/><Relationship Id="rId114" Type="http://schemas.openxmlformats.org/officeDocument/2006/relationships/ctrlProp" Target="../ctrlProps/ctrlProp111.xml"/><Relationship Id="rId60" Type="http://schemas.openxmlformats.org/officeDocument/2006/relationships/ctrlProp" Target="../ctrlProps/ctrlProp57.xml"/><Relationship Id="rId81" Type="http://schemas.openxmlformats.org/officeDocument/2006/relationships/ctrlProp" Target="../ctrlProps/ctrlProp78.xml"/><Relationship Id="rId135" Type="http://schemas.openxmlformats.org/officeDocument/2006/relationships/ctrlProp" Target="../ctrlProps/ctrlProp132.xml"/><Relationship Id="rId156" Type="http://schemas.openxmlformats.org/officeDocument/2006/relationships/ctrlProp" Target="../ctrlProps/ctrlProp153.xml"/><Relationship Id="rId177" Type="http://schemas.openxmlformats.org/officeDocument/2006/relationships/ctrlProp" Target="../ctrlProps/ctrlProp174.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dimension ref="A1:AB267"/>
  <sheetViews>
    <sheetView tabSelected="1" topLeftCell="A116" zoomScaleNormal="100" workbookViewId="0">
      <selection activeCell="D85" sqref="D85"/>
    </sheetView>
  </sheetViews>
  <sheetFormatPr defaultColWidth="9.1796875" defaultRowHeight="12.5" x14ac:dyDescent="0.25"/>
  <cols>
    <col min="1" max="2" width="1.7265625" style="1" customWidth="1"/>
    <col min="3" max="3" width="56.453125" style="1" customWidth="1"/>
    <col min="4" max="4" width="25.81640625" style="1" customWidth="1"/>
    <col min="5" max="5" width="6.7265625" style="1" customWidth="1"/>
    <col min="6" max="6" width="25.81640625" style="1" customWidth="1"/>
    <col min="7" max="7" width="6.7265625" style="1" customWidth="1"/>
    <col min="8" max="8" width="25.81640625" style="1" customWidth="1"/>
    <col min="9" max="9" width="6.7265625" style="1" customWidth="1"/>
    <col min="10" max="10" width="1.7265625" style="1" customWidth="1"/>
    <col min="11" max="11" width="9.1796875" style="1"/>
    <col min="12" max="12" width="1.453125" style="31" customWidth="1"/>
    <col min="13" max="20" width="9.1796875" style="1"/>
    <col min="21" max="21" width="10.36328125" style="1" bestFit="1" customWidth="1"/>
    <col min="22" max="16384" width="9.1796875" style="1"/>
  </cols>
  <sheetData>
    <row r="1" spans="1:23" ht="13" thickBot="1" x14ac:dyDescent="0.3"/>
    <row r="2" spans="1:23" ht="12.75" customHeight="1" x14ac:dyDescent="0.25">
      <c r="B2" s="266"/>
      <c r="C2" s="268" t="s">
        <v>41</v>
      </c>
      <c r="D2" s="270" t="s">
        <v>5</v>
      </c>
      <c r="E2" s="271"/>
      <c r="F2" s="272" t="s">
        <v>3</v>
      </c>
      <c r="G2" s="273"/>
      <c r="H2" s="273"/>
      <c r="I2" s="273"/>
      <c r="J2" s="42"/>
    </row>
    <row r="3" spans="1:23" ht="38" thickBot="1" x14ac:dyDescent="0.3">
      <c r="B3" s="267"/>
      <c r="C3" s="269"/>
      <c r="D3" s="32" t="s">
        <v>6</v>
      </c>
      <c r="E3" s="163" t="s">
        <v>2</v>
      </c>
      <c r="F3" s="33" t="s">
        <v>4</v>
      </c>
      <c r="G3" s="185" t="s">
        <v>2</v>
      </c>
      <c r="H3" s="33" t="s">
        <v>7</v>
      </c>
      <c r="I3" s="43" t="s">
        <v>2</v>
      </c>
      <c r="J3" s="44"/>
      <c r="L3" s="38"/>
    </row>
    <row r="4" spans="1:23" ht="13" x14ac:dyDescent="0.2">
      <c r="B4" s="35"/>
      <c r="C4" s="51" t="s">
        <v>93</v>
      </c>
      <c r="D4" s="36"/>
      <c r="E4" s="166"/>
      <c r="F4" s="37"/>
      <c r="G4" s="186"/>
      <c r="H4" s="37"/>
      <c r="I4" s="52"/>
      <c r="J4" s="53"/>
      <c r="L4" s="41"/>
    </row>
    <row r="5" spans="1:23" ht="15.5" x14ac:dyDescent="0.2">
      <c r="B5" s="49"/>
      <c r="C5" s="215" t="s">
        <v>43</v>
      </c>
      <c r="D5" s="154">
        <v>0.22500000000000001</v>
      </c>
      <c r="E5" s="103"/>
      <c r="F5" s="156">
        <v>0.22500000000000001</v>
      </c>
      <c r="G5" s="214"/>
      <c r="H5" s="154">
        <v>0.22500000000000001</v>
      </c>
      <c r="I5" s="9"/>
      <c r="J5" s="50"/>
      <c r="L5" s="41"/>
    </row>
    <row r="6" spans="1:23" ht="15.5" x14ac:dyDescent="0.2">
      <c r="B6" s="49"/>
      <c r="C6" s="102" t="s">
        <v>89</v>
      </c>
      <c r="D6" s="7">
        <v>3.32</v>
      </c>
      <c r="E6" s="196"/>
      <c r="F6" s="7">
        <v>3.32</v>
      </c>
      <c r="G6" s="197"/>
      <c r="H6" s="7">
        <v>3.32</v>
      </c>
      <c r="I6" s="9"/>
      <c r="J6" s="50"/>
      <c r="L6" s="41"/>
    </row>
    <row r="7" spans="1:23" ht="16" x14ac:dyDescent="0.2">
      <c r="B7" s="30"/>
      <c r="C7" s="200" t="s">
        <v>47</v>
      </c>
      <c r="D7" s="7">
        <v>39.33</v>
      </c>
      <c r="E7" s="196"/>
      <c r="F7" s="198">
        <v>38.5</v>
      </c>
      <c r="G7" s="197"/>
      <c r="H7" s="198">
        <v>40.15</v>
      </c>
      <c r="I7" s="9"/>
      <c r="J7" s="50"/>
      <c r="L7" s="41"/>
    </row>
    <row r="8" spans="1:23" ht="15.5" x14ac:dyDescent="0.2">
      <c r="B8" s="30"/>
      <c r="C8" s="102" t="s">
        <v>86</v>
      </c>
      <c r="D8" s="198">
        <v>302.8</v>
      </c>
      <c r="E8" s="196"/>
      <c r="F8" s="198">
        <v>607</v>
      </c>
      <c r="G8" s="197"/>
      <c r="H8" s="198">
        <v>911.2</v>
      </c>
      <c r="I8" s="9"/>
      <c r="J8" s="50"/>
      <c r="L8" s="41"/>
    </row>
    <row r="9" spans="1:23" ht="15.5" x14ac:dyDescent="0.2">
      <c r="B9" s="30"/>
      <c r="C9" s="102" t="s">
        <v>71</v>
      </c>
      <c r="D9" s="7">
        <v>0.91</v>
      </c>
      <c r="E9" s="196"/>
      <c r="F9" s="118">
        <v>0.46</v>
      </c>
      <c r="G9" s="197"/>
      <c r="H9" s="118">
        <v>1.86</v>
      </c>
      <c r="I9" s="9"/>
      <c r="J9" s="50"/>
      <c r="L9" s="41"/>
    </row>
    <row r="10" spans="1:23" ht="15.5" x14ac:dyDescent="0.2">
      <c r="B10" s="30"/>
      <c r="C10" s="102" t="s">
        <v>72</v>
      </c>
      <c r="D10" s="7">
        <v>25.5</v>
      </c>
      <c r="E10" s="196"/>
      <c r="F10" s="118">
        <v>18.75</v>
      </c>
      <c r="G10" s="197"/>
      <c r="H10" s="118">
        <v>75</v>
      </c>
      <c r="I10" s="9"/>
      <c r="J10" s="50"/>
      <c r="L10" s="41"/>
    </row>
    <row r="11" spans="1:23" x14ac:dyDescent="0.2">
      <c r="B11" s="30"/>
      <c r="C11" s="102" t="s">
        <v>84</v>
      </c>
      <c r="D11" s="7">
        <v>385.25</v>
      </c>
      <c r="E11" s="196"/>
      <c r="F11" s="118">
        <v>373.32</v>
      </c>
      <c r="G11" s="197"/>
      <c r="H11" s="118">
        <v>397.18</v>
      </c>
      <c r="I11" s="9"/>
      <c r="J11" s="50"/>
      <c r="L11" s="41"/>
    </row>
    <row r="12" spans="1:23" ht="15.5" x14ac:dyDescent="0.2">
      <c r="B12" s="30"/>
      <c r="C12" s="102" t="s">
        <v>73</v>
      </c>
      <c r="D12" s="7">
        <v>1516.42</v>
      </c>
      <c r="E12" s="196"/>
      <c r="F12" s="7">
        <v>1516.42</v>
      </c>
      <c r="G12" s="197"/>
      <c r="H12" s="7">
        <v>1516.42</v>
      </c>
      <c r="I12" s="9"/>
      <c r="J12" s="50"/>
      <c r="L12" s="41"/>
    </row>
    <row r="13" spans="1:23" ht="15.5" x14ac:dyDescent="0.25">
      <c r="A13" s="132"/>
      <c r="C13" s="102" t="s">
        <v>74</v>
      </c>
      <c r="D13" s="7">
        <v>417.46</v>
      </c>
      <c r="E13" s="196"/>
      <c r="F13" s="7">
        <v>417.46</v>
      </c>
      <c r="G13" s="197"/>
      <c r="H13" s="7">
        <v>417.46</v>
      </c>
      <c r="I13" s="9"/>
      <c r="J13" s="50"/>
      <c r="T13" s="221"/>
      <c r="U13" s="221"/>
      <c r="V13" s="221"/>
      <c r="W13" s="221"/>
    </row>
    <row r="14" spans="1:23" ht="16.5" thickBot="1" x14ac:dyDescent="0.45">
      <c r="B14" s="30"/>
      <c r="C14" s="102" t="s">
        <v>75</v>
      </c>
      <c r="D14" s="7">
        <v>1983.37</v>
      </c>
      <c r="E14" s="196"/>
      <c r="F14" s="7">
        <v>1983.37</v>
      </c>
      <c r="G14" s="197"/>
      <c r="H14" s="7">
        <v>1983.37</v>
      </c>
      <c r="I14" s="9"/>
      <c r="J14" s="50"/>
      <c r="L14" s="41"/>
      <c r="T14" s="221"/>
      <c r="U14" s="264"/>
      <c r="V14" s="221"/>
      <c r="W14" s="221"/>
    </row>
    <row r="15" spans="1:23" ht="13.5" customHeight="1" x14ac:dyDescent="0.2">
      <c r="B15" s="45"/>
      <c r="C15" s="46" t="s">
        <v>90</v>
      </c>
      <c r="D15" s="34"/>
      <c r="E15" s="166"/>
      <c r="F15" s="37"/>
      <c r="G15" s="186"/>
      <c r="H15" s="37"/>
      <c r="I15" s="52"/>
      <c r="J15" s="53"/>
      <c r="L15" s="54"/>
      <c r="M15" s="4"/>
      <c r="O15" s="40"/>
      <c r="T15" s="221"/>
      <c r="U15" s="265"/>
      <c r="V15" s="221"/>
      <c r="W15" s="221"/>
    </row>
    <row r="16" spans="1:23" ht="13.5" customHeight="1" x14ac:dyDescent="0.2">
      <c r="B16" s="30"/>
      <c r="C16" s="102" t="s">
        <v>92</v>
      </c>
      <c r="D16" s="211">
        <v>0.34</v>
      </c>
      <c r="E16" s="207"/>
      <c r="F16" s="208">
        <v>0.11</v>
      </c>
      <c r="G16" s="209"/>
      <c r="H16" s="208">
        <v>0.5</v>
      </c>
      <c r="I16" s="210"/>
      <c r="J16" s="218"/>
      <c r="L16" s="54"/>
      <c r="M16" s="4"/>
      <c r="O16" s="40"/>
      <c r="T16" s="221"/>
      <c r="U16" s="265"/>
      <c r="V16" s="221"/>
      <c r="W16" s="221"/>
    </row>
    <row r="17" spans="2:23" ht="15.5" x14ac:dyDescent="0.2">
      <c r="B17" s="30"/>
      <c r="C17" s="102" t="s">
        <v>91</v>
      </c>
      <c r="D17" s="211">
        <v>0.33800000000000002</v>
      </c>
      <c r="E17" s="207"/>
      <c r="F17" s="208">
        <v>4.1000000000000002E-2</v>
      </c>
      <c r="G17" s="209"/>
      <c r="H17" s="208">
        <v>0.63500000000000001</v>
      </c>
      <c r="I17" s="210"/>
      <c r="J17" s="50"/>
      <c r="L17" s="54"/>
      <c r="M17" s="4"/>
      <c r="O17" s="40"/>
      <c r="T17" s="221"/>
      <c r="U17" s="265"/>
      <c r="V17" s="221"/>
      <c r="W17" s="221"/>
    </row>
    <row r="18" spans="2:23" ht="16" thickBot="1" x14ac:dyDescent="0.25">
      <c r="B18" s="203"/>
      <c r="C18" s="216" t="s">
        <v>94</v>
      </c>
      <c r="D18" s="208">
        <v>0.6</v>
      </c>
      <c r="E18" s="207"/>
      <c r="F18" s="208">
        <v>0.4</v>
      </c>
      <c r="G18" s="209"/>
      <c r="H18" s="208">
        <v>0.8</v>
      </c>
      <c r="I18" s="210"/>
      <c r="J18" s="206"/>
      <c r="L18" s="54"/>
      <c r="M18" s="4"/>
      <c r="O18" s="40"/>
      <c r="T18" s="221"/>
      <c r="U18" s="265"/>
      <c r="V18" s="221"/>
      <c r="W18" s="221"/>
    </row>
    <row r="19" spans="2:23" ht="13" x14ac:dyDescent="0.2">
      <c r="B19" s="201"/>
      <c r="C19" s="46" t="s">
        <v>95</v>
      </c>
      <c r="D19" s="217"/>
      <c r="E19" s="166"/>
      <c r="F19" s="204"/>
      <c r="G19" s="186"/>
      <c r="H19" s="205"/>
      <c r="I19" s="52"/>
      <c r="J19" s="202"/>
      <c r="L19" s="54"/>
      <c r="M19" s="4"/>
      <c r="O19" s="40"/>
      <c r="T19" s="221"/>
      <c r="U19" s="265"/>
      <c r="V19" s="221"/>
      <c r="W19" s="221"/>
    </row>
    <row r="20" spans="2:23" x14ac:dyDescent="0.2">
      <c r="B20" s="30"/>
      <c r="C20" s="102" t="s">
        <v>96</v>
      </c>
      <c r="D20" s="208">
        <v>0.61799999999999999</v>
      </c>
      <c r="E20" s="207"/>
      <c r="F20" s="208">
        <v>0.39</v>
      </c>
      <c r="G20" s="209"/>
      <c r="H20" s="208">
        <v>0.84499999999999997</v>
      </c>
      <c r="I20" s="210"/>
      <c r="J20" s="50"/>
      <c r="L20" s="54"/>
      <c r="M20" s="4"/>
      <c r="O20" s="40"/>
      <c r="T20" s="221"/>
      <c r="U20" s="265"/>
      <c r="V20" s="221"/>
      <c r="W20" s="221"/>
    </row>
    <row r="21" spans="2:23" ht="15" thickBot="1" x14ac:dyDescent="0.25">
      <c r="B21" s="203"/>
      <c r="C21" s="102" t="s">
        <v>97</v>
      </c>
      <c r="D21" s="208">
        <v>0.06</v>
      </c>
      <c r="E21" s="207"/>
      <c r="F21" s="208">
        <v>3.9E-2</v>
      </c>
      <c r="G21" s="209"/>
      <c r="H21" s="208">
        <v>0.08</v>
      </c>
      <c r="I21" s="210"/>
      <c r="J21" s="206"/>
      <c r="L21" s="54"/>
      <c r="M21" s="4"/>
      <c r="O21" s="40"/>
      <c r="T21" s="221"/>
      <c r="U21" s="265"/>
      <c r="V21" s="221"/>
      <c r="W21" s="221"/>
    </row>
    <row r="22" spans="2:23" ht="13.5" customHeight="1" x14ac:dyDescent="0.2">
      <c r="B22" s="201"/>
      <c r="C22" s="46" t="s">
        <v>1</v>
      </c>
      <c r="D22" s="217"/>
      <c r="E22" s="166"/>
      <c r="F22" s="204"/>
      <c r="G22" s="186"/>
      <c r="H22" s="205"/>
      <c r="I22" s="52"/>
      <c r="J22" s="202"/>
      <c r="L22" s="54"/>
      <c r="M22" s="4"/>
      <c r="O22" s="40"/>
      <c r="T22" s="221"/>
      <c r="U22" s="265"/>
      <c r="V22" s="221"/>
      <c r="W22" s="221"/>
    </row>
    <row r="23" spans="2:23" ht="13" x14ac:dyDescent="0.25">
      <c r="B23" s="55"/>
      <c r="C23" s="56" t="s">
        <v>38</v>
      </c>
      <c r="D23" s="57"/>
      <c r="E23" s="167"/>
      <c r="F23" s="164"/>
      <c r="G23" s="167"/>
      <c r="H23" s="164"/>
      <c r="I23" s="58"/>
      <c r="J23" s="59"/>
      <c r="T23" s="221"/>
      <c r="U23" s="265"/>
      <c r="V23" s="221"/>
      <c r="W23" s="221"/>
    </row>
    <row r="24" spans="2:23" ht="9" customHeight="1" x14ac:dyDescent="0.2">
      <c r="B24" s="60"/>
      <c r="C24" s="61" t="s">
        <v>31</v>
      </c>
      <c r="D24" s="62"/>
      <c r="E24" s="168"/>
      <c r="F24" s="63"/>
      <c r="G24" s="187"/>
      <c r="H24" s="63"/>
      <c r="I24" s="64"/>
      <c r="J24" s="65"/>
      <c r="L24" s="54"/>
      <c r="M24" s="4"/>
      <c r="O24" s="40"/>
      <c r="T24" s="221"/>
      <c r="U24" s="265"/>
      <c r="V24" s="221"/>
      <c r="W24" s="221"/>
    </row>
    <row r="25" spans="2:23" ht="21.75" customHeight="1" x14ac:dyDescent="0.2">
      <c r="B25" s="67"/>
      <c r="C25" s="237" t="s">
        <v>82</v>
      </c>
      <c r="D25" s="156">
        <v>2</v>
      </c>
      <c r="E25" s="165"/>
      <c r="F25" s="238">
        <v>2</v>
      </c>
      <c r="G25" s="171"/>
      <c r="H25" s="239">
        <v>2</v>
      </c>
      <c r="I25" s="8"/>
      <c r="J25" s="68"/>
      <c r="L25" s="39"/>
      <c r="M25" s="4"/>
      <c r="O25" s="40"/>
    </row>
    <row r="26" spans="2:23" ht="20.25" customHeight="1" x14ac:dyDescent="0.2">
      <c r="B26" s="69"/>
      <c r="C26" s="48" t="s">
        <v>9</v>
      </c>
      <c r="D26" s="198">
        <v>2</v>
      </c>
      <c r="E26" s="165"/>
      <c r="F26" s="198"/>
      <c r="G26" s="171"/>
      <c r="H26" s="199"/>
      <c r="I26" s="9"/>
      <c r="J26" s="66"/>
      <c r="L26" s="153" t="s">
        <v>45</v>
      </c>
      <c r="M26" s="4">
        <v>1</v>
      </c>
    </row>
    <row r="27" spans="2:23" ht="20.25" customHeight="1" x14ac:dyDescent="0.2">
      <c r="B27" s="69"/>
      <c r="C27" s="102" t="s">
        <v>62</v>
      </c>
      <c r="D27" s="118" t="s">
        <v>63</v>
      </c>
      <c r="E27" s="165"/>
      <c r="F27" s="118"/>
      <c r="G27" s="171"/>
      <c r="H27" s="118"/>
      <c r="I27" s="9"/>
      <c r="J27" s="66"/>
      <c r="L27" s="153" t="s">
        <v>44</v>
      </c>
      <c r="M27" s="4">
        <v>2</v>
      </c>
    </row>
    <row r="28" spans="2:23" ht="20.25" customHeight="1" x14ac:dyDescent="0.2">
      <c r="B28" s="69"/>
      <c r="C28" s="48" t="str">
        <f>IF(D27="Average height and age","Average tree height (m)","Yield class")</f>
        <v>Yield class</v>
      </c>
      <c r="D28" s="125">
        <v>8</v>
      </c>
      <c r="E28" s="165"/>
      <c r="F28" s="118">
        <v>4</v>
      </c>
      <c r="G28" s="171"/>
      <c r="H28" s="118">
        <v>12</v>
      </c>
      <c r="I28" s="9"/>
      <c r="J28" s="66"/>
      <c r="M28" s="4"/>
    </row>
    <row r="29" spans="2:23" ht="20.25" customHeight="1" x14ac:dyDescent="0.2">
      <c r="B29" s="69"/>
      <c r="C29" s="48" t="str">
        <f>IF(D27="Average height and age","Stand age (yr)","")</f>
        <v/>
      </c>
      <c r="D29" s="198"/>
      <c r="E29" s="165"/>
      <c r="F29" s="118"/>
      <c r="G29" s="171"/>
      <c r="H29" s="118"/>
      <c r="I29" s="9"/>
      <c r="J29" s="66"/>
      <c r="M29" s="4"/>
    </row>
    <row r="30" spans="2:23" ht="20.25" customHeight="1" x14ac:dyDescent="0.2">
      <c r="B30" s="69"/>
      <c r="C30" s="48" t="s">
        <v>83</v>
      </c>
      <c r="D30" s="198">
        <v>0.4</v>
      </c>
      <c r="E30" s="165"/>
      <c r="F30" s="198">
        <v>0.4</v>
      </c>
      <c r="G30" s="171"/>
      <c r="H30" s="198">
        <v>0.4</v>
      </c>
      <c r="I30" s="9"/>
      <c r="J30" s="66"/>
      <c r="M30" s="4"/>
    </row>
    <row r="31" spans="2:23" ht="20.25" customHeight="1" x14ac:dyDescent="0.2">
      <c r="B31" s="69"/>
      <c r="C31" s="102" t="s">
        <v>65</v>
      </c>
      <c r="D31" s="156">
        <v>2</v>
      </c>
      <c r="E31" s="165"/>
      <c r="F31" s="11"/>
      <c r="G31" s="171"/>
      <c r="H31" s="11"/>
      <c r="I31" s="9"/>
      <c r="J31" s="66"/>
      <c r="M31" s="4"/>
    </row>
    <row r="32" spans="2:23" ht="20" customHeight="1" x14ac:dyDescent="0.2">
      <c r="B32" s="69"/>
      <c r="C32" s="48" t="str">
        <f>IF(D31=1,"Length of rotation (yr) (50 yr default)","")</f>
        <v/>
      </c>
      <c r="D32" s="157"/>
      <c r="E32" s="169"/>
      <c r="F32" s="155"/>
      <c r="G32" s="188"/>
      <c r="H32" s="10"/>
      <c r="I32" s="9"/>
      <c r="J32" s="66"/>
      <c r="M32" s="4"/>
    </row>
    <row r="33" spans="2:28" ht="20" customHeight="1" x14ac:dyDescent="0.2">
      <c r="B33" s="69"/>
      <c r="C33" s="102" t="s">
        <v>70</v>
      </c>
      <c r="D33" s="11">
        <v>1</v>
      </c>
      <c r="E33" s="171"/>
      <c r="F33" s="11"/>
      <c r="G33" s="171"/>
      <c r="H33" s="11"/>
      <c r="I33" s="9"/>
      <c r="J33" s="66"/>
      <c r="M33" s="4"/>
    </row>
    <row r="34" spans="2:28" ht="20" customHeight="1" x14ac:dyDescent="0.2">
      <c r="B34" s="69"/>
      <c r="C34" s="102" t="str">
        <f>IF($D$33=1, "Distance to paper mill (km)", "")</f>
        <v>Distance to paper mill (km)</v>
      </c>
      <c r="D34" s="10">
        <v>50</v>
      </c>
      <c r="E34" s="169"/>
      <c r="F34" s="10">
        <v>50</v>
      </c>
      <c r="G34" s="188"/>
      <c r="H34" s="10">
        <v>50</v>
      </c>
      <c r="I34" s="9"/>
      <c r="J34" s="66"/>
      <c r="M34" s="4"/>
    </row>
    <row r="35" spans="2:28" ht="20" customHeight="1" x14ac:dyDescent="0.2">
      <c r="B35" s="69"/>
      <c r="C35" s="102" t="str">
        <f>IF($D$33=1, "Distance to wood panel mill (km)", "")</f>
        <v>Distance to wood panel mill (km)</v>
      </c>
      <c r="D35" s="10">
        <v>50</v>
      </c>
      <c r="E35" s="169"/>
      <c r="F35" s="10">
        <v>50</v>
      </c>
      <c r="G35" s="188"/>
      <c r="H35" s="10">
        <v>50</v>
      </c>
      <c r="I35" s="9"/>
      <c r="J35" s="66"/>
      <c r="M35" s="4"/>
    </row>
    <row r="36" spans="2:28" ht="20" customHeight="1" x14ac:dyDescent="0.2">
      <c r="B36" s="69"/>
      <c r="C36" s="102" t="str">
        <f>IF($D$33=1, "Distance to saw mill (km)", "")</f>
        <v>Distance to saw mill (km)</v>
      </c>
      <c r="D36" s="10">
        <v>50</v>
      </c>
      <c r="E36" s="169"/>
      <c r="F36" s="10">
        <v>50</v>
      </c>
      <c r="G36" s="188"/>
      <c r="H36" s="10">
        <v>50</v>
      </c>
      <c r="I36" s="9"/>
      <c r="J36" s="66"/>
      <c r="M36" s="4"/>
    </row>
    <row r="37" spans="2:28" ht="20" customHeight="1" x14ac:dyDescent="0.2">
      <c r="B37" s="69"/>
      <c r="C37" s="102" t="str">
        <f>IF($D$33=2, "Timber left in situ mulched?", "")</f>
        <v/>
      </c>
      <c r="D37" s="10">
        <v>2</v>
      </c>
      <c r="E37" s="169"/>
      <c r="F37" s="10"/>
      <c r="G37" s="188"/>
      <c r="H37" s="10"/>
      <c r="I37" s="9"/>
      <c r="J37" s="66"/>
      <c r="M37" s="4"/>
    </row>
    <row r="38" spans="2:28" ht="19.5" customHeight="1" x14ac:dyDescent="0.2">
      <c r="B38" s="69"/>
      <c r="C38" s="102" t="str">
        <f>IF($D$33=1, "Distance to biofuel plant (km)", "")</f>
        <v>Distance to biofuel plant (km)</v>
      </c>
      <c r="D38" s="10">
        <v>50</v>
      </c>
      <c r="E38" s="171"/>
      <c r="F38" s="10">
        <v>50</v>
      </c>
      <c r="G38" s="171"/>
      <c r="H38" s="10">
        <v>50</v>
      </c>
      <c r="I38" s="9"/>
      <c r="J38" s="66"/>
      <c r="L38" s="70" t="s">
        <v>39</v>
      </c>
      <c r="M38" s="4"/>
    </row>
    <row r="39" spans="2:28" ht="19.5" customHeight="1" x14ac:dyDescent="0.2">
      <c r="B39" s="69"/>
      <c r="C39" s="102" t="str">
        <f>IF($D$33=1, "Efficiency of the biomass power plant", "")</f>
        <v>Efficiency of the biomass power plant</v>
      </c>
      <c r="D39" s="154">
        <v>0.35199999999999998</v>
      </c>
      <c r="E39" s="171"/>
      <c r="F39" s="154">
        <v>0.35199999999999998</v>
      </c>
      <c r="G39" s="171"/>
      <c r="H39" s="154">
        <v>0.35199999999999998</v>
      </c>
      <c r="I39" s="9"/>
      <c r="J39" s="66"/>
      <c r="L39" s="70" t="s">
        <v>40</v>
      </c>
      <c r="M39" s="4"/>
    </row>
    <row r="40" spans="2:28" ht="19.5" customHeight="1" x14ac:dyDescent="0.2">
      <c r="B40" s="150"/>
      <c r="C40" s="47" t="s">
        <v>46</v>
      </c>
      <c r="D40" s="240"/>
      <c r="E40" s="241"/>
      <c r="F40" s="242"/>
      <c r="G40" s="185"/>
      <c r="H40" s="242"/>
      <c r="I40" s="243"/>
      <c r="J40" s="66"/>
      <c r="L40" s="70"/>
      <c r="M40" s="4"/>
    </row>
    <row r="41" spans="2:28" ht="19.5" customHeight="1" x14ac:dyDescent="0.25">
      <c r="B41" s="71"/>
      <c r="C41" s="127" t="s">
        <v>64</v>
      </c>
      <c r="D41" s="6">
        <v>50</v>
      </c>
      <c r="E41" s="165"/>
      <c r="F41" s="10">
        <v>50</v>
      </c>
      <c r="G41" s="171"/>
      <c r="H41" s="10">
        <v>50</v>
      </c>
      <c r="I41" s="9"/>
      <c r="J41" s="66"/>
      <c r="L41" s="1"/>
      <c r="M41" s="70"/>
    </row>
    <row r="42" spans="2:28" ht="12" customHeight="1" x14ac:dyDescent="0.2">
      <c r="B42" s="71"/>
      <c r="C42" s="127" t="s">
        <v>66</v>
      </c>
      <c r="D42" s="6">
        <v>1</v>
      </c>
      <c r="E42" s="165"/>
      <c r="F42" s="10">
        <v>1</v>
      </c>
      <c r="G42" s="171"/>
      <c r="H42" s="10">
        <v>1</v>
      </c>
      <c r="I42" s="9"/>
      <c r="J42" s="66"/>
      <c r="M42" s="4"/>
    </row>
    <row r="43" spans="2:28" ht="14.5" x14ac:dyDescent="0.2">
      <c r="B43" s="71"/>
      <c r="C43" s="72" t="s">
        <v>11</v>
      </c>
      <c r="D43" s="12">
        <v>3.61</v>
      </c>
      <c r="E43" s="165"/>
      <c r="F43" s="12">
        <v>3.61</v>
      </c>
      <c r="G43" s="171"/>
      <c r="H43" s="12">
        <v>3.61</v>
      </c>
      <c r="I43" s="9"/>
      <c r="J43" s="66"/>
      <c r="M43" s="4"/>
    </row>
    <row r="44" spans="2:28" x14ac:dyDescent="0.2">
      <c r="B44" s="151"/>
      <c r="C44" s="244" t="s">
        <v>12</v>
      </c>
      <c r="D44" s="245">
        <v>0.5</v>
      </c>
      <c r="E44" s="165"/>
      <c r="F44" s="246">
        <v>0.5</v>
      </c>
      <c r="G44" s="171"/>
      <c r="H44" s="246">
        <v>0.5</v>
      </c>
      <c r="I44" s="247"/>
      <c r="J44" s="152"/>
      <c r="M44" s="4"/>
    </row>
    <row r="45" spans="2:28" ht="13" x14ac:dyDescent="0.2">
      <c r="B45" s="73"/>
      <c r="C45" s="47" t="s">
        <v>68</v>
      </c>
      <c r="D45" s="6"/>
      <c r="E45" s="165"/>
      <c r="F45" s="10"/>
      <c r="G45" s="171"/>
      <c r="H45" s="10"/>
      <c r="I45" s="9"/>
      <c r="J45" s="66"/>
      <c r="M45" s="4"/>
      <c r="U45" s="106" t="s">
        <v>13</v>
      </c>
      <c r="V45" s="107" t="s">
        <v>56</v>
      </c>
      <c r="X45" s="113" t="s">
        <v>60</v>
      </c>
      <c r="Y45" s="113" t="s">
        <v>48</v>
      </c>
      <c r="Z45" s="113" t="s">
        <v>57</v>
      </c>
      <c r="AA45" s="113" t="s">
        <v>58</v>
      </c>
      <c r="AB45" s="106" t="s">
        <v>59</v>
      </c>
    </row>
    <row r="46" spans="2:28" ht="25" x14ac:dyDescent="0.2">
      <c r="B46" s="73"/>
      <c r="C46" s="161" t="s">
        <v>61</v>
      </c>
      <c r="D46" s="115">
        <v>10</v>
      </c>
      <c r="E46" s="116"/>
      <c r="F46" s="115">
        <v>10</v>
      </c>
      <c r="G46" s="117"/>
      <c r="H46" s="115">
        <v>10</v>
      </c>
      <c r="I46" s="9"/>
      <c r="J46" s="66"/>
      <c r="M46" s="4"/>
      <c r="U46" s="104" t="s">
        <v>49</v>
      </c>
      <c r="V46" s="5">
        <v>0</v>
      </c>
      <c r="X46" s="2">
        <v>0</v>
      </c>
      <c r="Y46" s="2">
        <f t="shared" ref="Y46:Y56" si="0">IF(X46&lt;$D$47,X46,$D$47)</f>
        <v>0</v>
      </c>
      <c r="Z46" s="2">
        <f t="shared" ref="Z46:Z56" si="1">$V$47+($V$46-$V$47)*EXP(-(-LN(1-$V$49)/POWER($D$47,$V$50))*POWER(Y46,$V$50))</f>
        <v>0</v>
      </c>
      <c r="AA46" s="2">
        <f t="shared" ref="AA46:AA56" si="2">$V$47+($V$46-$V$47)*EXP(-(-LN(1-$V$49)/POWER($D$47,$V$51))*POWER(Y46,$V$51))</f>
        <v>0</v>
      </c>
      <c r="AB46" s="162">
        <f t="shared" ref="AB46:AB56" si="3">$V$47+($V$46-$V$47)*EXP(-(-LN(1-$V$49)/POWER($D$47,$V$52))*POWER(Y46,$V$52))</f>
        <v>0</v>
      </c>
    </row>
    <row r="47" spans="2:28" ht="12" customHeight="1" x14ac:dyDescent="0.2">
      <c r="B47" s="73"/>
      <c r="C47" s="161" t="s">
        <v>88</v>
      </c>
      <c r="D47" s="6">
        <v>50</v>
      </c>
      <c r="E47" s="103"/>
      <c r="F47" s="6">
        <v>50</v>
      </c>
      <c r="G47" s="8"/>
      <c r="H47" s="6">
        <v>50</v>
      </c>
      <c r="I47" s="9"/>
      <c r="J47" s="66"/>
      <c r="L47" s="70" t="s">
        <v>44</v>
      </c>
      <c r="M47" s="4"/>
      <c r="U47" s="105" t="s">
        <v>50</v>
      </c>
      <c r="V47" s="5">
        <v>1</v>
      </c>
      <c r="X47" s="2">
        <v>1</v>
      </c>
      <c r="Y47" s="2">
        <f t="shared" si="0"/>
        <v>1</v>
      </c>
      <c r="Z47" s="2">
        <f t="shared" si="1"/>
        <v>0.1290364100439193</v>
      </c>
      <c r="AA47" s="2">
        <f t="shared" si="2"/>
        <v>3.9068531065444834E-4</v>
      </c>
      <c r="AB47" s="3">
        <f t="shared" si="3"/>
        <v>2.2104816643775393E-8</v>
      </c>
    </row>
    <row r="48" spans="2:28" ht="12" customHeight="1" x14ac:dyDescent="0.2">
      <c r="B48" s="73"/>
      <c r="C48" s="161" t="s">
        <v>87</v>
      </c>
      <c r="D48" s="208">
        <v>3</v>
      </c>
      <c r="E48" s="212"/>
      <c r="F48" s="208">
        <v>3</v>
      </c>
      <c r="G48" s="213"/>
      <c r="H48" s="208">
        <v>3</v>
      </c>
      <c r="I48" s="9"/>
      <c r="J48" s="66"/>
      <c r="L48" s="70" t="s">
        <v>45</v>
      </c>
      <c r="M48" s="4"/>
      <c r="U48" s="105" t="s">
        <v>51</v>
      </c>
      <c r="V48" s="5">
        <v>1</v>
      </c>
      <c r="X48" s="2">
        <v>2</v>
      </c>
      <c r="Y48" s="2">
        <f t="shared" si="0"/>
        <v>2</v>
      </c>
      <c r="Z48" s="2">
        <f t="shared" si="1"/>
        <v>0.24142242497081623</v>
      </c>
      <c r="AA48" s="2">
        <f t="shared" si="2"/>
        <v>2.2080403737839704E-3</v>
      </c>
      <c r="AB48" s="3">
        <f t="shared" si="3"/>
        <v>7.0735389035014862E-7</v>
      </c>
    </row>
    <row r="49" spans="2:28" x14ac:dyDescent="0.2">
      <c r="B49" s="73"/>
      <c r="C49" s="161" t="s">
        <v>69</v>
      </c>
      <c r="D49" s="7">
        <v>0.5</v>
      </c>
      <c r="E49" s="158"/>
      <c r="F49" s="7">
        <v>0.5</v>
      </c>
      <c r="G49" s="159"/>
      <c r="H49" s="7">
        <v>0.5</v>
      </c>
      <c r="I49" s="9"/>
      <c r="J49" s="66"/>
      <c r="L49" s="1"/>
      <c r="M49" s="4"/>
      <c r="U49" s="105" t="s">
        <v>52</v>
      </c>
      <c r="V49" s="5">
        <v>0.999</v>
      </c>
      <c r="X49" s="2">
        <v>3</v>
      </c>
      <c r="Y49" s="2">
        <f t="shared" si="0"/>
        <v>3</v>
      </c>
      <c r="Z49" s="2">
        <f t="shared" si="1"/>
        <v>0.339306551992404</v>
      </c>
      <c r="AA49" s="2">
        <f t="shared" si="2"/>
        <v>6.0728564632405169E-3</v>
      </c>
      <c r="AB49" s="3">
        <f t="shared" si="3"/>
        <v>5.3714560785955712E-6</v>
      </c>
    </row>
    <row r="50" spans="2:28" x14ac:dyDescent="0.2">
      <c r="B50" s="73"/>
      <c r="C50" s="161" t="s">
        <v>67</v>
      </c>
      <c r="D50" s="7">
        <v>0.05</v>
      </c>
      <c r="E50" s="158"/>
      <c r="F50" s="7">
        <v>0.01</v>
      </c>
      <c r="G50" s="159"/>
      <c r="H50" s="7">
        <v>0.1</v>
      </c>
      <c r="I50" s="9"/>
      <c r="J50" s="66"/>
      <c r="L50" s="1"/>
      <c r="M50" s="4"/>
      <c r="U50" s="108" t="s">
        <v>53</v>
      </c>
      <c r="V50" s="109">
        <v>1</v>
      </c>
      <c r="X50" s="2">
        <v>4</v>
      </c>
      <c r="Y50" s="2">
        <f t="shared" si="0"/>
        <v>4</v>
      </c>
      <c r="Z50" s="2">
        <f t="shared" si="1"/>
        <v>0.42456006266284307</v>
      </c>
      <c r="AA50" s="2">
        <f t="shared" si="2"/>
        <v>1.2426517915056889E-2</v>
      </c>
      <c r="AB50" s="3">
        <f t="shared" si="3"/>
        <v>2.2635076320942638E-5</v>
      </c>
    </row>
    <row r="51" spans="2:28" x14ac:dyDescent="0.2">
      <c r="B51" s="73"/>
      <c r="C51" s="47" t="s">
        <v>76</v>
      </c>
      <c r="D51" s="7"/>
      <c r="E51" s="158"/>
      <c r="F51" s="198"/>
      <c r="G51" s="159"/>
      <c r="H51" s="198"/>
      <c r="I51" s="9"/>
      <c r="J51" s="66"/>
      <c r="L51" s="1"/>
      <c r="M51" s="4"/>
      <c r="U51" s="108" t="s">
        <v>54</v>
      </c>
      <c r="V51" s="109">
        <v>2.5</v>
      </c>
      <c r="X51" s="2">
        <v>5</v>
      </c>
      <c r="Y51" s="2">
        <f t="shared" si="0"/>
        <v>5</v>
      </c>
      <c r="Z51" s="2">
        <f t="shared" si="1"/>
        <v>0.49881276637272765</v>
      </c>
      <c r="AA51" s="2">
        <f t="shared" si="2"/>
        <v>2.1607382578832435E-2</v>
      </c>
      <c r="AB51" s="3">
        <f t="shared" si="3"/>
        <v>6.9075166990617554E-5</v>
      </c>
    </row>
    <row r="52" spans="2:28" x14ac:dyDescent="0.2">
      <c r="B52" s="73"/>
      <c r="C52" s="161" t="s">
        <v>77</v>
      </c>
      <c r="D52" s="11">
        <v>1</v>
      </c>
      <c r="E52" s="171"/>
      <c r="F52" s="11"/>
      <c r="G52" s="171"/>
      <c r="H52" s="11"/>
      <c r="I52" s="9"/>
      <c r="J52" s="66"/>
      <c r="L52" s="1"/>
      <c r="M52" s="4"/>
      <c r="U52" s="110" t="s">
        <v>55</v>
      </c>
      <c r="V52" s="111">
        <v>5</v>
      </c>
      <c r="X52" s="2">
        <v>6</v>
      </c>
      <c r="Y52" s="2">
        <f t="shared" si="0"/>
        <v>6</v>
      </c>
      <c r="Z52" s="2">
        <f t="shared" si="1"/>
        <v>0.56348416775983401</v>
      </c>
      <c r="AA52" s="2">
        <f t="shared" si="2"/>
        <v>3.387108312819298E-2</v>
      </c>
      <c r="AB52" s="3">
        <f t="shared" si="3"/>
        <v>1.7187228442427926E-4</v>
      </c>
    </row>
    <row r="53" spans="2:28" x14ac:dyDescent="0.2">
      <c r="B53" s="73"/>
      <c r="C53" s="161" t="s">
        <v>78</v>
      </c>
      <c r="D53" s="11">
        <v>1</v>
      </c>
      <c r="E53" s="171"/>
      <c r="F53" s="11"/>
      <c r="G53" s="171"/>
      <c r="H53" s="11"/>
      <c r="I53" s="9"/>
      <c r="J53" s="66"/>
      <c r="L53" s="1"/>
      <c r="M53" s="4"/>
      <c r="X53" s="2">
        <v>7</v>
      </c>
      <c r="Y53" s="2">
        <f t="shared" si="0"/>
        <v>7</v>
      </c>
      <c r="Z53" s="2">
        <f t="shared" si="1"/>
        <v>0.61981060367943874</v>
      </c>
      <c r="AA53" s="2">
        <f t="shared" si="2"/>
        <v>4.9397275753695125E-2</v>
      </c>
      <c r="AB53" s="3">
        <f t="shared" si="3"/>
        <v>3.7144665412003341E-4</v>
      </c>
    </row>
    <row r="54" spans="2:28" x14ac:dyDescent="0.2">
      <c r="B54" s="73"/>
      <c r="C54" s="161" t="s">
        <v>85</v>
      </c>
      <c r="D54" s="11">
        <v>1</v>
      </c>
      <c r="E54" s="171"/>
      <c r="F54" s="11"/>
      <c r="G54" s="171"/>
      <c r="H54" s="11"/>
      <c r="I54" s="9"/>
      <c r="J54" s="66"/>
      <c r="L54" s="1"/>
      <c r="M54" s="4"/>
      <c r="X54" s="2">
        <v>9</v>
      </c>
      <c r="Y54" s="2">
        <f t="shared" si="0"/>
        <v>9</v>
      </c>
      <c r="Z54" s="2">
        <f t="shared" si="1"/>
        <v>0.71159684968733927</v>
      </c>
      <c r="AA54" s="2">
        <f t="shared" si="2"/>
        <v>9.0586216013680221E-2</v>
      </c>
      <c r="AB54" s="3">
        <f t="shared" si="3"/>
        <v>1.3044158418094032E-3</v>
      </c>
    </row>
    <row r="55" spans="2:28" x14ac:dyDescent="0.2">
      <c r="B55" s="73"/>
      <c r="C55" s="161" t="s">
        <v>79</v>
      </c>
      <c r="D55" s="11">
        <v>2</v>
      </c>
      <c r="E55" s="171"/>
      <c r="F55" s="11"/>
      <c r="G55" s="171"/>
      <c r="H55" s="11"/>
      <c r="I55" s="9"/>
      <c r="J55" s="66"/>
      <c r="L55" s="1"/>
      <c r="M55" s="4"/>
      <c r="X55" s="2">
        <v>11</v>
      </c>
      <c r="Y55" s="2">
        <f t="shared" si="0"/>
        <v>11</v>
      </c>
      <c r="Z55" s="2">
        <f t="shared" si="1"/>
        <v>0.78122383760504466</v>
      </c>
      <c r="AA55" s="2">
        <f t="shared" si="2"/>
        <v>0.14513967165580799</v>
      </c>
      <c r="AB55" s="3">
        <f t="shared" si="3"/>
        <v>3.5536735681920284E-3</v>
      </c>
    </row>
    <row r="56" spans="2:28" x14ac:dyDescent="0.2">
      <c r="B56" s="73"/>
      <c r="C56" s="161" t="s">
        <v>80</v>
      </c>
      <c r="D56" s="11">
        <v>2</v>
      </c>
      <c r="E56" s="171"/>
      <c r="F56" s="11"/>
      <c r="G56" s="171"/>
      <c r="H56" s="11"/>
      <c r="I56" s="9"/>
      <c r="J56" s="66"/>
      <c r="L56" s="1"/>
      <c r="M56" s="4"/>
      <c r="X56" s="2">
        <v>12</v>
      </c>
      <c r="Y56" s="2">
        <f t="shared" si="0"/>
        <v>12</v>
      </c>
      <c r="Z56" s="2">
        <f t="shared" si="1"/>
        <v>0.80945392820367523</v>
      </c>
      <c r="AA56" s="2">
        <f t="shared" si="2"/>
        <v>0.17710270545299744</v>
      </c>
      <c r="AB56" s="3">
        <f t="shared" si="3"/>
        <v>5.485286372002629E-3</v>
      </c>
    </row>
    <row r="57" spans="2:28" x14ac:dyDescent="0.2">
      <c r="B57" s="73"/>
      <c r="C57" s="161" t="s">
        <v>81</v>
      </c>
      <c r="D57" s="11">
        <v>2</v>
      </c>
      <c r="E57" s="171"/>
      <c r="F57" s="11"/>
      <c r="G57" s="171"/>
      <c r="H57" s="11"/>
      <c r="I57" s="9"/>
      <c r="J57" s="66"/>
      <c r="L57" s="1"/>
      <c r="M57" s="4"/>
      <c r="X57" s="2">
        <v>13</v>
      </c>
      <c r="Y57" s="2">
        <f t="shared" ref="Y57:Y63" si="4">IF(X57&lt;$D$47,X57,$D$47)</f>
        <v>13</v>
      </c>
      <c r="Z57" s="2">
        <f t="shared" ref="Z57:Z63" si="5">$V$47+($V$46-$V$47)*EXP(-(-LN(1-$V$49)/POWER($D$47,$V$50))*POWER(Y57,$V$50))</f>
        <v>0.83404130925624387</v>
      </c>
      <c r="AA57" s="2">
        <f t="shared" ref="AA57:AA63" si="6">$V$47+($V$46-$V$47)*EXP(-(-LN(1-$V$49)/POWER($D$47,$V$51))*POWER(Y57,$V$51))</f>
        <v>0.2118808427624056</v>
      </c>
      <c r="AB57" s="3">
        <f t="shared" ref="AB57:AB63" si="7">$V$47+($V$46-$V$47)*EXP(-(-LN(1-$V$49)/POWER($D$47,$V$52))*POWER(Y57,$V$52))</f>
        <v>8.1737753221678977E-3</v>
      </c>
    </row>
    <row r="58" spans="2:28" x14ac:dyDescent="0.2">
      <c r="B58" s="74"/>
      <c r="C58" s="75"/>
      <c r="D58" s="13"/>
      <c r="E58" s="173"/>
      <c r="F58" s="172"/>
      <c r="G58" s="189"/>
      <c r="H58" s="172"/>
      <c r="I58" s="14"/>
      <c r="J58" s="76"/>
      <c r="L58" s="1"/>
      <c r="M58" s="4"/>
      <c r="X58" s="2">
        <v>14</v>
      </c>
      <c r="Y58" s="2">
        <f t="shared" si="4"/>
        <v>14</v>
      </c>
      <c r="Z58" s="2">
        <f t="shared" si="5"/>
        <v>0.85545602292540723</v>
      </c>
      <c r="AA58" s="2">
        <f t="shared" si="6"/>
        <v>0.24916612484925771</v>
      </c>
      <c r="AB58" s="3">
        <f t="shared" si="7"/>
        <v>1.1818112028105343E-2</v>
      </c>
    </row>
    <row r="59" spans="2:28" ht="13" x14ac:dyDescent="0.2">
      <c r="B59" s="77"/>
      <c r="C59" s="78" t="s">
        <v>32</v>
      </c>
      <c r="D59" s="15"/>
      <c r="E59" s="174"/>
      <c r="F59" s="16"/>
      <c r="G59" s="190"/>
      <c r="H59" s="16"/>
      <c r="I59" s="17"/>
      <c r="J59" s="79"/>
      <c r="L59" s="1"/>
      <c r="M59" s="4"/>
      <c r="X59" s="2">
        <v>15</v>
      </c>
      <c r="Y59" s="2">
        <f t="shared" si="4"/>
        <v>15</v>
      </c>
      <c r="Z59" s="2">
        <f t="shared" si="5"/>
        <v>0.87410745882058327</v>
      </c>
      <c r="AA59" s="2">
        <f t="shared" si="6"/>
        <v>0.28859828229016504</v>
      </c>
      <c r="AB59" s="3">
        <f t="shared" si="7"/>
        <v>1.6645748005519212E-2</v>
      </c>
    </row>
    <row r="60" spans="2:28" x14ac:dyDescent="0.2">
      <c r="B60" s="81"/>
      <c r="C60" s="237" t="s">
        <v>82</v>
      </c>
      <c r="D60" s="156">
        <v>2</v>
      </c>
      <c r="E60" s="165"/>
      <c r="F60" s="238">
        <v>2</v>
      </c>
      <c r="G60" s="171"/>
      <c r="H60" s="239">
        <v>2</v>
      </c>
      <c r="I60" s="8"/>
      <c r="J60" s="79"/>
      <c r="L60" s="1"/>
      <c r="M60" s="4"/>
      <c r="X60" s="2">
        <v>16</v>
      </c>
      <c r="Y60" s="2">
        <f t="shared" si="4"/>
        <v>16</v>
      </c>
      <c r="Z60" s="2">
        <f t="shared" si="5"/>
        <v>0.89035218038568142</v>
      </c>
      <c r="AA60" s="2">
        <f t="shared" si="6"/>
        <v>0.32977374367537338</v>
      </c>
      <c r="AB60" s="3">
        <f t="shared" si="7"/>
        <v>2.2912020646323361E-2</v>
      </c>
    </row>
    <row r="61" spans="2:28" x14ac:dyDescent="0.2">
      <c r="B61" s="82"/>
      <c r="C61" s="48" t="s">
        <v>9</v>
      </c>
      <c r="D61" s="7">
        <v>2</v>
      </c>
      <c r="E61" s="165"/>
      <c r="F61" s="118"/>
      <c r="G61" s="171"/>
      <c r="H61" s="199"/>
      <c r="I61" s="9"/>
      <c r="J61" s="80"/>
      <c r="L61" s="1"/>
      <c r="M61" s="4"/>
      <c r="X61" s="2">
        <v>17</v>
      </c>
      <c r="Y61" s="2">
        <f t="shared" si="4"/>
        <v>17</v>
      </c>
      <c r="Z61" s="2">
        <f t="shared" si="5"/>
        <v>0.90450074139785641</v>
      </c>
      <c r="AA61" s="2">
        <f t="shared" si="6"/>
        <v>0.37225597414923339</v>
      </c>
      <c r="AB61" s="3">
        <f t="shared" si="7"/>
        <v>3.0898261197787602E-2</v>
      </c>
    </row>
    <row r="62" spans="2:28" x14ac:dyDescent="0.2">
      <c r="B62" s="124"/>
      <c r="C62" s="102" t="s">
        <v>62</v>
      </c>
      <c r="D62" s="118" t="s">
        <v>63</v>
      </c>
      <c r="E62" s="165"/>
      <c r="F62" s="118"/>
      <c r="G62" s="171"/>
      <c r="H62" s="118"/>
      <c r="I62" s="9"/>
      <c r="J62" s="123"/>
      <c r="L62" s="1"/>
      <c r="M62" s="4"/>
      <c r="X62" s="2">
        <v>18</v>
      </c>
      <c r="Y62" s="2">
        <f t="shared" si="4"/>
        <v>18</v>
      </c>
      <c r="Z62" s="2">
        <f t="shared" si="5"/>
        <v>0.91682362288973285</v>
      </c>
      <c r="AA62" s="2">
        <f t="shared" si="6"/>
        <v>0.41558682244261425</v>
      </c>
      <c r="AB62" s="3">
        <f t="shared" si="7"/>
        <v>4.0908267788234309E-2</v>
      </c>
    </row>
    <row r="63" spans="2:28" x14ac:dyDescent="0.2">
      <c r="B63" s="124"/>
      <c r="C63" s="48" t="str">
        <f>IF(D62="Average height and age","Average tree height (m)","Yield class")</f>
        <v>Yield class</v>
      </c>
      <c r="D63" s="125">
        <v>8</v>
      </c>
      <c r="E63" s="165"/>
      <c r="F63" s="118">
        <v>4</v>
      </c>
      <c r="G63" s="171"/>
      <c r="H63" s="118">
        <v>12</v>
      </c>
      <c r="I63" s="9"/>
      <c r="J63" s="123"/>
      <c r="L63" s="1"/>
      <c r="M63" s="4"/>
      <c r="X63" s="2">
        <v>19</v>
      </c>
      <c r="Y63" s="2">
        <f t="shared" si="4"/>
        <v>19</v>
      </c>
      <c r="Z63" s="2">
        <f t="shared" si="5"/>
        <v>0.92755640399250094</v>
      </c>
      <c r="AA63" s="2">
        <f t="shared" si="6"/>
        <v>0.45929848629782655</v>
      </c>
      <c r="AB63" s="3">
        <f t="shared" si="7"/>
        <v>5.326278369249926E-2</v>
      </c>
    </row>
    <row r="64" spans="2:28" ht="9" customHeight="1" x14ac:dyDescent="0.2">
      <c r="B64" s="124"/>
      <c r="C64" s="48" t="str">
        <f>IF(D62="Average height and age","Stand age (yr)","")</f>
        <v/>
      </c>
      <c r="D64" s="198"/>
      <c r="E64" s="165"/>
      <c r="F64" s="198"/>
      <c r="G64" s="171"/>
      <c r="H64" s="118"/>
      <c r="I64" s="9"/>
      <c r="J64" s="123"/>
      <c r="M64" s="4"/>
      <c r="X64" s="2">
        <v>20</v>
      </c>
      <c r="Y64" s="2">
        <f>IF(X64&lt;$D$47,X64,$D$47)</f>
        <v>20</v>
      </c>
      <c r="Z64" s="2">
        <f>$V$47+($V$46-$V$47)*EXP(-(-LN(1-$V$49)/POWER($D$47,$V$50))*POWER(Y64,$V$50))</f>
        <v>0.9369042655519807</v>
      </c>
      <c r="AA64" s="2">
        <f>$V$47+($V$46-$V$47)*EXP(-(-LN(1-$V$49)/POWER($D$47,$V$51))*POWER(Y64,$V$51))</f>
        <v>0.502925659907554</v>
      </c>
      <c r="AB64" s="3">
        <f>$V$47+($V$46-$V$47)*EXP(-(-LN(1-$V$49)/POWER($D$47,$V$52))*POWER(Y64,$V$52))</f>
        <v>6.8291623542396596E-2</v>
      </c>
    </row>
    <row r="65" spans="1:28" ht="9" customHeight="1" x14ac:dyDescent="0.2">
      <c r="B65" s="124"/>
      <c r="C65" s="48" t="s">
        <v>83</v>
      </c>
      <c r="D65" s="198">
        <v>0.4</v>
      </c>
      <c r="E65" s="165"/>
      <c r="F65" s="198">
        <v>0.4</v>
      </c>
      <c r="G65" s="171"/>
      <c r="H65" s="198">
        <v>0.4</v>
      </c>
      <c r="I65" s="9"/>
      <c r="J65" s="123"/>
      <c r="L65" s="54"/>
      <c r="M65" s="4"/>
      <c r="O65" s="40"/>
      <c r="X65" s="2">
        <v>21</v>
      </c>
      <c r="Y65" s="2">
        <f>IF(X65&lt;$D$47,X65,$D$47)</f>
        <v>21</v>
      </c>
      <c r="Z65" s="2">
        <f>$V$47+($V$46-$V$47)*EXP(-(-LN(1-$V$49)/POWER($D$47,$V$50))*POWER(Y65,$V$50))</f>
        <v>0.94504591261423754</v>
      </c>
      <c r="AA65" s="2">
        <f>$V$47+($V$46-$V$47)*EXP(-(-LN(1-$V$49)/POWER($D$47,$V$51))*POWER(Y65,$V$51))</f>
        <v>0.54601740578214697</v>
      </c>
      <c r="AB65" s="3">
        <f>$V$47+($V$46-$V$47)*EXP(-(-LN(1-$V$49)/POWER($D$47,$V$52))*POWER(Y65,$V$52))</f>
        <v>8.6323130752672173E-2</v>
      </c>
    </row>
    <row r="66" spans="1:28" x14ac:dyDescent="0.2">
      <c r="B66" s="82"/>
      <c r="C66" s="48" t="s">
        <v>65</v>
      </c>
      <c r="D66" s="11">
        <v>2</v>
      </c>
      <c r="E66" s="165"/>
      <c r="F66" s="156"/>
      <c r="G66" s="171"/>
      <c r="H66" s="11"/>
      <c r="I66" s="9"/>
      <c r="J66" s="123"/>
      <c r="L66" s="54"/>
      <c r="M66" s="4"/>
      <c r="O66" s="40"/>
      <c r="X66" s="2">
        <v>22</v>
      </c>
      <c r="Y66" s="2">
        <f>IF(X66&lt;$D$47,X66,$D$47)</f>
        <v>22</v>
      </c>
      <c r="Z66" s="2">
        <f>$V$47+($V$46-$V$47)*EXP(-(-LN(1-$V$49)/POWER($D$47,$V$50))*POWER(Y66,$V$50))</f>
        <v>0.95213699076773617</v>
      </c>
      <c r="AA66" s="2">
        <f>$V$47+($V$46-$V$47)*EXP(-(-LN(1-$V$49)/POWER($D$47,$V$51))*POWER(Y66,$V$51))</f>
        <v>0.58814829868006924</v>
      </c>
      <c r="AB66" s="3">
        <f>$V$47+($V$46-$V$47)*EXP(-(-LN(1-$V$49)/POWER($D$47,$V$52))*POWER(Y66,$V$52))</f>
        <v>0.10767074244579511</v>
      </c>
    </row>
    <row r="67" spans="1:28" ht="13.5" customHeight="1" x14ac:dyDescent="0.2">
      <c r="A67" s="132"/>
      <c r="B67" s="131"/>
      <c r="C67" s="48" t="str">
        <f>IF(D66=1,"Length of rotation (yr) (50 yr default)","")</f>
        <v/>
      </c>
      <c r="D67" s="10"/>
      <c r="E67" s="169"/>
      <c r="F67" s="10"/>
      <c r="G67" s="188"/>
      <c r="H67" s="10"/>
      <c r="I67" s="9"/>
      <c r="J67" s="80"/>
      <c r="L67" s="39"/>
      <c r="M67" s="4"/>
      <c r="O67" s="40"/>
      <c r="X67" s="2">
        <v>23</v>
      </c>
      <c r="Y67" s="2">
        <f>IF(X67&lt;$D$47,X67,$D$47)</f>
        <v>23</v>
      </c>
      <c r="Z67" s="2">
        <f>$V$47+($V$46-$V$47)*EXP(-(-LN(1-$V$49)/POWER($D$47,$V$50))*POWER(Y67,$V$50))</f>
        <v>0.95831306165296648</v>
      </c>
      <c r="AA67" s="2">
        <f>$V$47+($V$46-$V$47)*EXP(-(-LN(1-$V$49)/POWER($D$47,$V$51))*POWER(Y67,$V$51))</f>
        <v>0.62892842066016752</v>
      </c>
      <c r="AB67" s="3">
        <f>$V$47+($V$46-$V$47)*EXP(-(-LN(1-$V$49)/POWER($D$47,$V$52))*POWER(Y67,$V$52))</f>
        <v>0.13261659831478967</v>
      </c>
    </row>
    <row r="68" spans="1:28" ht="13.5" customHeight="1" x14ac:dyDescent="0.2">
      <c r="A68" s="132"/>
      <c r="B68" s="131"/>
      <c r="C68" s="102" t="s">
        <v>70</v>
      </c>
      <c r="D68" s="11">
        <v>2</v>
      </c>
      <c r="E68" s="165"/>
      <c r="F68" s="11"/>
      <c r="G68" s="171"/>
      <c r="H68" s="11"/>
      <c r="I68" s="9"/>
      <c r="J68" s="80"/>
      <c r="L68" s="39"/>
      <c r="M68" s="4"/>
      <c r="O68" s="40"/>
      <c r="X68" s="2">
        <v>24</v>
      </c>
      <c r="Y68" s="2">
        <f t="shared" ref="Y68:Y73" si="8">IF(X68&lt;$D$47,X68,$D$47)</f>
        <v>24</v>
      </c>
      <c r="Z68" s="2">
        <f t="shared" ref="Z68:Z73" si="9">$V$47+($V$46-$V$47)*EXP(-(-LN(1-$V$49)/POWER($D$47,$V$50))*POWER(Y68,$V$50))</f>
        <v>0.96369219452298982</v>
      </c>
      <c r="AA68" s="2">
        <f t="shared" ref="AA68:AA73" si="10">$V$47+($V$46-$V$47)*EXP(-(-LN(1-$V$49)/POWER($D$47,$V$51))*POWER(Y68,$V$51))</f>
        <v>0.66801184199679575</v>
      </c>
      <c r="AB68" s="3">
        <f t="shared" ref="AB68:AB73" si="11">$V$47+($V$46-$V$47)*EXP(-(-LN(1-$V$49)/POWER($D$47,$V$52))*POWER(Y68,$V$52))</f>
        <v>0.16139236976216209</v>
      </c>
    </row>
    <row r="69" spans="1:28" ht="13.5" customHeight="1" x14ac:dyDescent="0.2">
      <c r="B69" s="128"/>
      <c r="C69" s="102" t="str">
        <f>IF($D$68=1, "Distance to paper mill (km)", "")</f>
        <v/>
      </c>
      <c r="D69" s="10"/>
      <c r="E69" s="169"/>
      <c r="F69" s="10"/>
      <c r="G69" s="188"/>
      <c r="H69" s="10"/>
      <c r="I69" s="9"/>
      <c r="J69" s="80"/>
      <c r="L69" s="39"/>
      <c r="M69" s="4"/>
      <c r="O69" s="40"/>
      <c r="X69" s="2">
        <v>25</v>
      </c>
      <c r="Y69" s="2">
        <f t="shared" si="8"/>
        <v>25</v>
      </c>
      <c r="Z69" s="2">
        <f t="shared" si="9"/>
        <v>0.96837722339831622</v>
      </c>
      <c r="AA69" s="2">
        <f t="shared" si="10"/>
        <v>0.70510329902060831</v>
      </c>
      <c r="AB69" s="3">
        <f t="shared" si="11"/>
        <v>0.19415781223851813</v>
      </c>
    </row>
    <row r="70" spans="1:28" ht="22.5" customHeight="1" x14ac:dyDescent="0.2">
      <c r="A70" s="132"/>
      <c r="B70" s="131"/>
      <c r="C70" s="102" t="str">
        <f>IF($D$68=1, "Distance to wood panel mill (km)", "")</f>
        <v/>
      </c>
      <c r="D70" s="10"/>
      <c r="E70" s="169"/>
      <c r="F70" s="10"/>
      <c r="G70" s="188"/>
      <c r="H70" s="10"/>
      <c r="I70" s="9"/>
      <c r="J70" s="80"/>
      <c r="L70" s="39"/>
      <c r="M70" s="4"/>
      <c r="O70" s="40"/>
      <c r="X70" s="2">
        <v>26</v>
      </c>
      <c r="Y70" s="2">
        <f t="shared" si="8"/>
        <v>26</v>
      </c>
      <c r="Z70" s="2">
        <f t="shared" si="9"/>
        <v>0.97245771296661832</v>
      </c>
      <c r="AA70" s="2">
        <f t="shared" si="10"/>
        <v>0.73996287183624077</v>
      </c>
      <c r="AB70" s="3">
        <f t="shared" si="11"/>
        <v>0.23097795355929318</v>
      </c>
    </row>
    <row r="71" spans="1:28" ht="22.5" customHeight="1" x14ac:dyDescent="0.2">
      <c r="A71" s="132"/>
      <c r="B71" s="131"/>
      <c r="C71" s="102" t="str">
        <f>IF($D$68=1, "Distance to saw mill (km)", "")</f>
        <v/>
      </c>
      <c r="D71" s="10"/>
      <c r="E71" s="169"/>
      <c r="F71" s="10"/>
      <c r="G71" s="188"/>
      <c r="H71" s="10"/>
      <c r="I71" s="9"/>
      <c r="J71" s="80"/>
      <c r="L71" s="39"/>
      <c r="M71" s="4"/>
      <c r="O71" s="40"/>
      <c r="X71" s="2">
        <v>27</v>
      </c>
      <c r="Y71" s="2">
        <f t="shared" si="8"/>
        <v>27</v>
      </c>
      <c r="Z71" s="2">
        <f t="shared" si="9"/>
        <v>0.97601167080980511</v>
      </c>
      <c r="AA71" s="2">
        <f t="shared" si="10"/>
        <v>0.77240856616549414</v>
      </c>
      <c r="AB71" s="3">
        <f t="shared" si="11"/>
        <v>0.27180030482823692</v>
      </c>
    </row>
    <row r="72" spans="1:28" ht="20.25" customHeight="1" x14ac:dyDescent="0.2">
      <c r="A72" s="132"/>
      <c r="B72" s="131"/>
      <c r="C72" s="102" t="str">
        <f>IF($D$68=2, "Timber left in situ mulched?", "")</f>
        <v>Timber left in situ mulched?</v>
      </c>
      <c r="D72" s="10">
        <v>2</v>
      </c>
      <c r="E72" s="169"/>
      <c r="F72" s="10"/>
      <c r="G72" s="188"/>
      <c r="H72" s="10"/>
      <c r="I72" s="9"/>
      <c r="J72" s="80"/>
      <c r="M72" s="4"/>
      <c r="X72" s="2">
        <v>28</v>
      </c>
      <c r="Y72" s="2">
        <f t="shared" si="8"/>
        <v>28</v>
      </c>
      <c r="Z72" s="2">
        <f t="shared" si="9"/>
        <v>0.97910703869145954</v>
      </c>
      <c r="AA72" s="2">
        <f t="shared" si="10"/>
        <v>0.8023168075083541</v>
      </c>
      <c r="AB72" s="3">
        <f t="shared" si="11"/>
        <v>0.31643397787364336</v>
      </c>
    </row>
    <row r="73" spans="1:28" ht="20.25" customHeight="1" x14ac:dyDescent="0.2">
      <c r="B73" s="83"/>
      <c r="C73" s="102" t="str">
        <f>IF($D$68=1, "Distance to biofuel plant (km)", "")</f>
        <v/>
      </c>
      <c r="D73" s="154"/>
      <c r="E73" s="171"/>
      <c r="F73" s="154"/>
      <c r="G73" s="171"/>
      <c r="H73" s="154"/>
      <c r="I73" s="9"/>
      <c r="J73" s="80"/>
      <c r="M73" s="4"/>
      <c r="X73" s="2">
        <v>29</v>
      </c>
      <c r="Y73" s="2">
        <f t="shared" si="8"/>
        <v>29</v>
      </c>
      <c r="Z73" s="2">
        <f t="shared" si="9"/>
        <v>0.98180299141390015</v>
      </c>
      <c r="AA73" s="2">
        <f t="shared" si="10"/>
        <v>0.82962095557805693</v>
      </c>
      <c r="AB73" s="3">
        <f t="shared" si="11"/>
        <v>0.36453304803355158</v>
      </c>
    </row>
    <row r="74" spans="1:28" ht="20.25" customHeight="1" x14ac:dyDescent="0.2">
      <c r="B74" s="83"/>
      <c r="C74" s="102" t="str">
        <f>IF($D$68=1, "Efficiency of the biomass power plant", "")</f>
        <v/>
      </c>
      <c r="D74" s="154"/>
      <c r="E74" s="171"/>
      <c r="F74" s="154"/>
      <c r="G74" s="171"/>
      <c r="H74" s="154"/>
      <c r="I74" s="9"/>
      <c r="J74" s="80"/>
      <c r="M74" s="4"/>
      <c r="X74" s="2">
        <v>30</v>
      </c>
      <c r="Y74" s="2">
        <f>IF(X74&lt;$D$47,X74,$D$47)</f>
        <v>30</v>
      </c>
      <c r="Z74" s="2">
        <f>$V$47+($V$46-$V$47)*EXP(-(-LN(1-$V$49)/POWER($D$47,$V$50))*POWER(Y74,$V$50))</f>
        <v>0.98415106807538888</v>
      </c>
      <c r="AA74" s="2">
        <f>$V$47+($V$46-$V$47)*EXP(-(-LN(1-$V$49)/POWER($D$47,$V$51))*POWER(Y74,$V$51))</f>
        <v>0.85430803621032092</v>
      </c>
      <c r="AB74" s="3">
        <f>$V$47+($V$46-$V$47)*EXP(-(-LN(1-$V$49)/POWER($D$47,$V$52))*POWER(Y74,$V$52))</f>
        <v>0.41558682244261402</v>
      </c>
    </row>
    <row r="75" spans="1:28" ht="20" customHeight="1" x14ac:dyDescent="0.2">
      <c r="B75" s="84"/>
      <c r="C75" s="47" t="s">
        <v>46</v>
      </c>
      <c r="D75" s="240"/>
      <c r="E75" s="241"/>
      <c r="F75" s="242"/>
      <c r="G75" s="185"/>
      <c r="H75" s="242"/>
      <c r="I75" s="243"/>
      <c r="J75" s="80"/>
      <c r="M75" s="4"/>
      <c r="X75" s="2">
        <v>31</v>
      </c>
      <c r="Y75" s="2">
        <f>IF(X75&lt;$D$47,X75,$D$47)</f>
        <v>31</v>
      </c>
      <c r="Z75" s="2">
        <f>$V$47+($V$46-$V$47)*EXP(-(-LN(1-$V$49)/POWER($D$47,$V$50))*POWER(Y75,$V$50))</f>
        <v>0.98619615735397115</v>
      </c>
      <c r="AA75" s="2">
        <f>$V$47+($V$46-$V$47)*EXP(-(-LN(1-$V$49)/POWER($D$47,$V$51))*POWER(Y75,$V$51))</f>
        <v>0.87641396131764537</v>
      </c>
      <c r="AB75" s="3">
        <f>$V$47+($V$46-$V$47)*EXP(-(-LN(1-$V$49)/POWER($D$47,$V$52))*POWER(Y75,$V$52))</f>
        <v>0.46891975076157477</v>
      </c>
    </row>
    <row r="76" spans="1:28" ht="20" customHeight="1" x14ac:dyDescent="0.2">
      <c r="B76" s="85"/>
      <c r="C76" s="127" t="s">
        <v>64</v>
      </c>
      <c r="D76" s="6">
        <v>50</v>
      </c>
      <c r="E76" s="165"/>
      <c r="F76" s="10">
        <v>50</v>
      </c>
      <c r="G76" s="171"/>
      <c r="H76" s="10">
        <v>50</v>
      </c>
      <c r="I76" s="9"/>
      <c r="J76" s="80"/>
      <c r="M76" s="4"/>
      <c r="X76" s="2">
        <v>32</v>
      </c>
      <c r="Y76" s="2">
        <f>IF(X76&lt;$D$47,X76,$D$47)</f>
        <v>32</v>
      </c>
      <c r="Z76" s="2">
        <f>$V$47+($V$46-$V$47)*EXP(-(-LN(1-$V$49)/POWER($D$47,$V$50))*POWER(Y76,$V$50))</f>
        <v>0.98797735565382583</v>
      </c>
      <c r="AA76" s="2">
        <f>$V$47+($V$46-$V$47)*EXP(-(-LN(1-$V$49)/POWER($D$47,$V$51))*POWER(Y76,$V$51))</f>
        <v>0.89601756099471075</v>
      </c>
      <c r="AB76" s="3">
        <f>$V$47+($V$46-$V$47)*EXP(-(-LN(1-$V$49)/POWER($D$47,$V$52))*POWER(Y76,$V$52))</f>
        <v>0.52370343131221975</v>
      </c>
    </row>
    <row r="77" spans="1:28" ht="19.5" customHeight="1" x14ac:dyDescent="0.2">
      <c r="B77" s="85"/>
      <c r="C77" s="127" t="s">
        <v>66</v>
      </c>
      <c r="D77" s="6">
        <v>1</v>
      </c>
      <c r="E77" s="165"/>
      <c r="F77" s="10">
        <v>1</v>
      </c>
      <c r="G77" s="171"/>
      <c r="H77" s="10">
        <v>1</v>
      </c>
      <c r="I77" s="9"/>
      <c r="J77" s="80"/>
      <c r="L77" s="70"/>
      <c r="M77" s="4"/>
      <c r="X77" s="2">
        <v>33</v>
      </c>
      <c r="Y77" s="2">
        <f t="shared" ref="Y77:Y89" si="12">IF(X77&lt;$D$47,X77,$D$47)</f>
        <v>33</v>
      </c>
      <c r="Z77" s="2">
        <f t="shared" ref="Z77:Z89" si="13">$V$47+($V$46-$V$47)*EXP(-(-LN(1-$V$49)/POWER($D$47,$V$50))*POWER(Y77,$V$50))</f>
        <v>0.98952871451949098</v>
      </c>
      <c r="AA77" s="2">
        <f t="shared" ref="AA77:AA89" si="14">$V$47+($V$46-$V$47)*EXP(-(-LN(1-$V$49)/POWER($D$47,$V$51))*POWER(Y77,$V$51))</f>
        <v>0.91323378327537441</v>
      </c>
      <c r="AB77" s="3">
        <f t="shared" ref="AB77:AB89" si="15">$V$47+($V$46-$V$47)*EXP(-(-LN(1-$V$49)/POWER($D$47,$V$52))*POWER(Y77,$V$52))</f>
        <v>0.57898242330021343</v>
      </c>
    </row>
    <row r="78" spans="1:28" ht="12" customHeight="1" x14ac:dyDescent="0.2">
      <c r="A78" s="132"/>
      <c r="B78" s="128"/>
      <c r="C78" s="72" t="s">
        <v>11</v>
      </c>
      <c r="D78" s="12">
        <v>3.61</v>
      </c>
      <c r="E78" s="165"/>
      <c r="F78" s="12">
        <v>3.61</v>
      </c>
      <c r="G78" s="171"/>
      <c r="H78" s="12">
        <v>3.61</v>
      </c>
      <c r="I78" s="9"/>
      <c r="J78" s="80"/>
      <c r="L78" s="70"/>
      <c r="M78" s="4"/>
      <c r="X78" s="2">
        <v>34</v>
      </c>
      <c r="Y78" s="2">
        <f t="shared" si="12"/>
        <v>34</v>
      </c>
      <c r="Z78" s="2">
        <f t="shared" si="13"/>
        <v>0.99087989160644085</v>
      </c>
      <c r="AA78" s="2">
        <f t="shared" si="14"/>
        <v>0.92820642575582757</v>
      </c>
      <c r="AB78" s="3">
        <f t="shared" si="15"/>
        <v>0.63371432892399926</v>
      </c>
    </row>
    <row r="79" spans="1:28" ht="12" customHeight="1" x14ac:dyDescent="0.2">
      <c r="A79" s="132"/>
      <c r="B79" s="84"/>
      <c r="C79" s="244" t="s">
        <v>12</v>
      </c>
      <c r="D79" s="12">
        <v>0.5</v>
      </c>
      <c r="E79" s="165"/>
      <c r="F79" s="12">
        <v>0.5</v>
      </c>
      <c r="G79" s="171"/>
      <c r="H79" s="12">
        <v>0.5</v>
      </c>
      <c r="I79" s="247"/>
      <c r="J79" s="80"/>
      <c r="L79" s="70"/>
      <c r="M79" s="4"/>
      <c r="X79" s="2">
        <v>35</v>
      </c>
      <c r="Y79" s="2">
        <f t="shared" si="12"/>
        <v>35</v>
      </c>
      <c r="Z79" s="2">
        <f t="shared" si="13"/>
        <v>0.99205671765275716</v>
      </c>
      <c r="AA79" s="2">
        <f t="shared" si="14"/>
        <v>0.94110075050063302</v>
      </c>
      <c r="AB79" s="3">
        <f t="shared" si="15"/>
        <v>0.68682289874110625</v>
      </c>
    </row>
    <row r="80" spans="1:28" ht="12" customHeight="1" x14ac:dyDescent="0.2">
      <c r="B80" s="160"/>
      <c r="C80" s="47" t="s">
        <v>68</v>
      </c>
      <c r="D80" s="157"/>
      <c r="E80" s="165"/>
      <c r="F80" s="10"/>
      <c r="G80" s="171"/>
      <c r="H80" s="10"/>
      <c r="I80" s="9"/>
      <c r="J80" s="136"/>
      <c r="L80" s="70"/>
      <c r="M80" s="4"/>
      <c r="X80" s="2">
        <v>36</v>
      </c>
      <c r="Y80" s="2">
        <f t="shared" si="12"/>
        <v>36</v>
      </c>
      <c r="Z80" s="2">
        <f t="shared" si="13"/>
        <v>0.99308169029081061</v>
      </c>
      <c r="AA80" s="2">
        <f t="shared" si="14"/>
        <v>0.95209630200705619</v>
      </c>
      <c r="AB80" s="3">
        <f t="shared" si="15"/>
        <v>0.73726089850189358</v>
      </c>
    </row>
    <row r="81" spans="1:28" ht="12" customHeight="1" x14ac:dyDescent="0.2">
      <c r="A81" s="132"/>
      <c r="B81" s="160"/>
      <c r="C81" s="161" t="s">
        <v>61</v>
      </c>
      <c r="D81" s="115">
        <v>10</v>
      </c>
      <c r="E81" s="116"/>
      <c r="F81" s="115">
        <v>10</v>
      </c>
      <c r="G81" s="117"/>
      <c r="H81" s="115">
        <v>10</v>
      </c>
      <c r="I81" s="9"/>
      <c r="J81" s="136"/>
      <c r="L81" s="70"/>
      <c r="M81" s="4"/>
      <c r="X81" s="2">
        <v>37</v>
      </c>
      <c r="Y81" s="2">
        <f t="shared" si="12"/>
        <v>37</v>
      </c>
      <c r="Z81" s="2">
        <f t="shared" si="13"/>
        <v>0.99397440413925642</v>
      </c>
      <c r="AA81" s="2">
        <f t="shared" si="14"/>
        <v>0.96138020135541458</v>
      </c>
      <c r="AB81" s="3">
        <f t="shared" si="15"/>
        <v>0.78407744388738621</v>
      </c>
    </row>
    <row r="82" spans="1:28" ht="12" customHeight="1" x14ac:dyDescent="0.2">
      <c r="A82" s="132"/>
      <c r="B82" s="160"/>
      <c r="C82" s="161" t="s">
        <v>88</v>
      </c>
      <c r="D82" s="6">
        <v>100</v>
      </c>
      <c r="E82" s="165"/>
      <c r="F82" s="10">
        <v>100</v>
      </c>
      <c r="G82" s="171"/>
      <c r="H82" s="10">
        <v>100</v>
      </c>
      <c r="I82" s="9"/>
      <c r="J82" s="136"/>
      <c r="L82" s="70"/>
      <c r="M82" s="4"/>
      <c r="X82" s="2">
        <v>38</v>
      </c>
      <c r="Y82" s="2">
        <f t="shared" si="12"/>
        <v>38</v>
      </c>
      <c r="Z82" s="2">
        <f t="shared" si="13"/>
        <v>0.99475192539750223</v>
      </c>
      <c r="AA82" s="2">
        <f t="shared" si="14"/>
        <v>0.9691411326117827</v>
      </c>
      <c r="AB82" s="3">
        <f t="shared" si="15"/>
        <v>0.82648285744174654</v>
      </c>
    </row>
    <row r="83" spans="1:28" ht="12" customHeight="1" x14ac:dyDescent="0.2">
      <c r="A83" s="132"/>
      <c r="B83" s="138"/>
      <c r="C83" s="161" t="s">
        <v>87</v>
      </c>
      <c r="D83" s="6">
        <v>3</v>
      </c>
      <c r="E83" s="103"/>
      <c r="F83" s="6">
        <v>3</v>
      </c>
      <c r="G83" s="8"/>
      <c r="H83" s="6">
        <v>3</v>
      </c>
      <c r="I83" s="9"/>
      <c r="J83" s="136"/>
      <c r="L83" s="70"/>
      <c r="M83" s="4"/>
      <c r="X83" s="2">
        <v>39</v>
      </c>
      <c r="Y83" s="2">
        <f t="shared" si="12"/>
        <v>39</v>
      </c>
      <c r="Z83" s="2">
        <f t="shared" si="13"/>
        <v>0.99542911810385126</v>
      </c>
      <c r="AA83" s="2">
        <f t="shared" si="14"/>
        <v>0.97556417497427961</v>
      </c>
      <c r="AB83" s="3">
        <f t="shared" si="15"/>
        <v>0.86390327028919134</v>
      </c>
    </row>
    <row r="84" spans="1:28" ht="14.25" customHeight="1" x14ac:dyDescent="0.2">
      <c r="B84" s="160"/>
      <c r="C84" s="161" t="s">
        <v>69</v>
      </c>
      <c r="D84" s="7">
        <v>0.5</v>
      </c>
      <c r="E84" s="158"/>
      <c r="F84" s="7">
        <v>0.5</v>
      </c>
      <c r="G84" s="159"/>
      <c r="H84" s="7">
        <v>0.5</v>
      </c>
      <c r="I84" s="9"/>
      <c r="J84" s="136"/>
      <c r="M84" s="4"/>
      <c r="X84" s="2">
        <v>40</v>
      </c>
      <c r="Y84" s="2">
        <f t="shared" si="12"/>
        <v>40</v>
      </c>
      <c r="Z84" s="2">
        <f t="shared" si="13"/>
        <v>0.99601892829446503</v>
      </c>
      <c r="AA84" s="2">
        <f t="shared" si="14"/>
        <v>0.98082657083717228</v>
      </c>
      <c r="AB84" s="3">
        <f t="shared" si="15"/>
        <v>0.89601756099471053</v>
      </c>
    </row>
    <row r="85" spans="1:28" ht="14.25" customHeight="1" x14ac:dyDescent="0.2">
      <c r="A85" s="132"/>
      <c r="B85" s="138"/>
      <c r="C85" s="161" t="s">
        <v>67</v>
      </c>
      <c r="D85" s="7">
        <v>0.05</v>
      </c>
      <c r="E85" s="158"/>
      <c r="F85" s="7">
        <v>0.01</v>
      </c>
      <c r="G85" s="159"/>
      <c r="H85" s="7">
        <v>0.1</v>
      </c>
      <c r="I85" s="9"/>
      <c r="J85" s="136"/>
      <c r="M85" s="4"/>
      <c r="X85" s="2">
        <v>41</v>
      </c>
      <c r="Y85" s="2">
        <f t="shared" si="12"/>
        <v>41</v>
      </c>
      <c r="Z85" s="2">
        <f t="shared" si="13"/>
        <v>0.99653263149547466</v>
      </c>
      <c r="AA85" s="2">
        <f t="shared" si="14"/>
        <v>0.98509446015102475</v>
      </c>
      <c r="AB85" s="3">
        <f t="shared" si="15"/>
        <v>0.92277098951020631</v>
      </c>
    </row>
    <row r="86" spans="1:28" ht="14.25" customHeight="1" x14ac:dyDescent="0.2">
      <c r="B86" s="160"/>
      <c r="C86" s="47" t="s">
        <v>76</v>
      </c>
      <c r="D86" s="7"/>
      <c r="E86" s="158"/>
      <c r="F86" s="198"/>
      <c r="G86" s="197"/>
      <c r="H86" s="118"/>
      <c r="I86" s="9"/>
      <c r="J86" s="136"/>
      <c r="M86" s="4"/>
      <c r="X86" s="2">
        <v>42</v>
      </c>
      <c r="Y86" s="2">
        <f t="shared" si="12"/>
        <v>42</v>
      </c>
      <c r="Z86" s="2">
        <f t="shared" si="13"/>
        <v>0.99698004827959796</v>
      </c>
      <c r="AA86" s="2">
        <f t="shared" si="14"/>
        <v>0.98852055864309485</v>
      </c>
      <c r="AB86" s="3">
        <f t="shared" si="15"/>
        <v>0.94436293999111653</v>
      </c>
    </row>
    <row r="87" spans="1:28" ht="14.25" customHeight="1" x14ac:dyDescent="0.2">
      <c r="B87" s="160"/>
      <c r="C87" s="161" t="s">
        <v>77</v>
      </c>
      <c r="D87" s="11">
        <v>1</v>
      </c>
      <c r="E87" s="171"/>
      <c r="F87" s="11"/>
      <c r="G87" s="171"/>
      <c r="H87" s="11"/>
      <c r="I87" s="9"/>
      <c r="J87" s="136"/>
      <c r="M87" s="4"/>
      <c r="X87" s="2">
        <v>43</v>
      </c>
      <c r="Y87" s="2">
        <f t="shared" si="12"/>
        <v>43</v>
      </c>
      <c r="Z87" s="2">
        <f t="shared" si="13"/>
        <v>0.99736973200810464</v>
      </c>
      <c r="AA87" s="2">
        <f t="shared" si="14"/>
        <v>0.99124271410354214</v>
      </c>
      <c r="AB87" s="3">
        <f t="shared" si="15"/>
        <v>0.96121007434763417</v>
      </c>
    </row>
    <row r="88" spans="1:28" ht="13" x14ac:dyDescent="0.2">
      <c r="A88" s="132"/>
      <c r="B88" s="138"/>
      <c r="C88" s="161" t="s">
        <v>78</v>
      </c>
      <c r="D88" s="11">
        <v>1</v>
      </c>
      <c r="E88" s="171"/>
      <c r="F88" s="11"/>
      <c r="G88" s="171"/>
      <c r="H88" s="11"/>
      <c r="I88" s="9"/>
      <c r="J88" s="136"/>
      <c r="M88" s="4"/>
      <c r="X88" s="2">
        <v>44</v>
      </c>
      <c r="Y88" s="2">
        <f t="shared" si="12"/>
        <v>44</v>
      </c>
      <c r="Z88" s="2">
        <f t="shared" si="13"/>
        <v>0.99770913234723224</v>
      </c>
      <c r="AA88" s="2">
        <f t="shared" si="14"/>
        <v>0.99338324245368448</v>
      </c>
      <c r="AB88" s="3">
        <f t="shared" si="15"/>
        <v>0.9738901576488701</v>
      </c>
    </row>
    <row r="89" spans="1:28" ht="13" x14ac:dyDescent="0.2">
      <c r="A89" s="132"/>
      <c r="B89" s="138"/>
      <c r="C89" s="161" t="s">
        <v>85</v>
      </c>
      <c r="D89" s="11">
        <v>1</v>
      </c>
      <c r="E89" s="171"/>
      <c r="F89" s="11"/>
      <c r="G89" s="171"/>
      <c r="H89" s="11"/>
      <c r="I89" s="9"/>
      <c r="J89" s="136"/>
      <c r="M89" s="4"/>
      <c r="X89" s="2">
        <v>45</v>
      </c>
      <c r="Y89" s="2">
        <f t="shared" si="12"/>
        <v>45</v>
      </c>
      <c r="Z89" s="2">
        <f t="shared" si="13"/>
        <v>0.99800473768503117</v>
      </c>
      <c r="AA89" s="2">
        <f t="shared" si="14"/>
        <v>0.99504892408153423</v>
      </c>
      <c r="AB89" s="3">
        <f t="shared" si="15"/>
        <v>0.98307494845487398</v>
      </c>
    </row>
    <row r="90" spans="1:28" ht="13" x14ac:dyDescent="0.2">
      <c r="A90" s="132"/>
      <c r="B90" s="138"/>
      <c r="C90" s="161" t="s">
        <v>79</v>
      </c>
      <c r="D90" s="11">
        <v>2</v>
      </c>
      <c r="E90" s="171"/>
      <c r="F90" s="11"/>
      <c r="G90" s="171"/>
      <c r="H90" s="11"/>
      <c r="I90" s="9"/>
      <c r="J90" s="136"/>
      <c r="M90" s="4"/>
      <c r="X90" s="2">
        <v>47</v>
      </c>
      <c r="Y90" s="2">
        <f>IF(X90&lt;$D$47,X90,$D$47)</f>
        <v>47</v>
      </c>
      <c r="Z90" s="2">
        <f>$V$47+($V$46-$V$47)*EXP(-(-LN(1-$V$49)/POWER($D$47,$V$50))*POWER(Y90,$V$50))</f>
        <v>0.99848643875156384</v>
      </c>
      <c r="AA90" s="2">
        <f>$V$47+($V$46-$V$47)*EXP(-(-LN(1-$V$49)/POWER($D$47,$V$51))*POWER(Y90,$V$51))</f>
        <v>0.99730874997545671</v>
      </c>
      <c r="AB90" s="3">
        <f>$V$47+($V$46-$V$47)*EXP(-(-LN(1-$V$49)/POWER($D$47,$V$52))*POWER(Y90,$V$52))</f>
        <v>0.99371525106854153</v>
      </c>
    </row>
    <row r="91" spans="1:28" ht="13" x14ac:dyDescent="0.2">
      <c r="A91" s="132"/>
      <c r="B91" s="138"/>
      <c r="C91" s="161" t="s">
        <v>80</v>
      </c>
      <c r="D91" s="11">
        <v>2</v>
      </c>
      <c r="E91" s="171"/>
      <c r="F91" s="11"/>
      <c r="G91" s="171"/>
      <c r="H91" s="11"/>
      <c r="I91" s="9"/>
      <c r="J91" s="136"/>
      <c r="M91" s="4"/>
      <c r="X91" s="2">
        <v>49</v>
      </c>
      <c r="Y91" s="2">
        <f>IF(X91&lt;$D$47,X91,$D$47)</f>
        <v>49</v>
      </c>
      <c r="Z91" s="2">
        <f>$V$47+($V$46-$V$47)*EXP(-(-LN(1-$V$49)/POWER($D$47,$V$50))*POWER(Y91,$V$50))</f>
        <v>0.99885184637850311</v>
      </c>
      <c r="AA91" s="2">
        <f>$V$47+($V$46-$V$47)*EXP(-(-LN(1-$V$49)/POWER($D$47,$V$51))*POWER(Y91,$V$51))</f>
        <v>0.99859473730011838</v>
      </c>
      <c r="AB91" s="3">
        <f>$V$47+($V$46-$V$47)*EXP(-(-LN(1-$V$49)/POWER($D$47,$V$52))*POWER(Y91,$V$52))</f>
        <v>0.99805805194152097</v>
      </c>
    </row>
    <row r="92" spans="1:28" ht="13" x14ac:dyDescent="0.2">
      <c r="A92" s="132"/>
      <c r="B92" s="138"/>
      <c r="C92" s="161" t="s">
        <v>81</v>
      </c>
      <c r="D92" s="11">
        <v>2</v>
      </c>
      <c r="E92" s="171"/>
      <c r="F92" s="11"/>
      <c r="G92" s="171"/>
      <c r="H92" s="11"/>
      <c r="I92" s="9"/>
      <c r="J92" s="136"/>
      <c r="M92" s="4"/>
      <c r="X92" s="112">
        <v>50</v>
      </c>
      <c r="Y92" s="114">
        <f>IF(X92&lt;$D$47,X92,$D$47)</f>
        <v>50</v>
      </c>
      <c r="Z92" s="112">
        <f>$V$47+($V$46-$V$47)*EXP(-(-LN(1-$V$49)/POWER($D$47,$V$50))*POWER(Y92,$V$50))</f>
        <v>0.999</v>
      </c>
      <c r="AA92" s="112">
        <f>$V$47+($V$46-$V$47)*EXP(-(-LN(1-$V$49)/POWER($D$47,$V$51))*POWER(Y92,$V$51))</f>
        <v>0.999</v>
      </c>
      <c r="AB92" s="114">
        <f>$V$47+($V$46-$V$47)*EXP(-(-LN(1-$V$49)/POWER($D$47,$V$52))*POWER(Y92,$V$52))</f>
        <v>0.999</v>
      </c>
    </row>
    <row r="93" spans="1:28" ht="12" customHeight="1" x14ac:dyDescent="0.2">
      <c r="B93" s="139"/>
      <c r="C93" s="133"/>
      <c r="D93" s="18"/>
      <c r="E93" s="176"/>
      <c r="F93" s="175"/>
      <c r="G93" s="191"/>
      <c r="H93" s="175"/>
      <c r="I93" s="19"/>
      <c r="J93" s="137"/>
      <c r="L93" s="70"/>
      <c r="M93" s="4"/>
    </row>
    <row r="94" spans="1:28" ht="12" customHeight="1" x14ac:dyDescent="0.2">
      <c r="B94" s="134"/>
      <c r="C94" s="135" t="s">
        <v>33</v>
      </c>
      <c r="D94" s="20"/>
      <c r="E94" s="177"/>
      <c r="F94" s="21"/>
      <c r="G94" s="192"/>
      <c r="H94" s="21"/>
      <c r="I94" s="22"/>
      <c r="J94" s="88"/>
      <c r="L94" s="70"/>
      <c r="M94" s="4"/>
    </row>
    <row r="95" spans="1:28" x14ac:dyDescent="0.2">
      <c r="B95" s="119"/>
      <c r="C95" s="237" t="s">
        <v>82</v>
      </c>
      <c r="D95" s="156"/>
      <c r="E95" s="165"/>
      <c r="F95" s="239"/>
      <c r="G95" s="171"/>
      <c r="H95" s="238"/>
      <c r="I95" s="8"/>
      <c r="J95" s="120"/>
      <c r="L95" s="1"/>
      <c r="M95" s="4"/>
    </row>
    <row r="96" spans="1:28" x14ac:dyDescent="0.2">
      <c r="B96" s="119"/>
      <c r="C96" s="48" t="s">
        <v>9</v>
      </c>
      <c r="D96" s="7"/>
      <c r="E96" s="165"/>
      <c r="F96" s="198"/>
      <c r="G96" s="171"/>
      <c r="H96" s="118"/>
      <c r="I96" s="9"/>
      <c r="J96" s="120"/>
      <c r="L96" s="1"/>
      <c r="M96" s="4"/>
    </row>
    <row r="97" spans="1:15" ht="9" customHeight="1" x14ac:dyDescent="0.2">
      <c r="A97" s="132"/>
      <c r="B97" s="119"/>
      <c r="C97" s="48" t="s">
        <v>62</v>
      </c>
      <c r="D97" s="118" t="s">
        <v>63</v>
      </c>
      <c r="E97" s="165"/>
      <c r="F97" s="118"/>
      <c r="G97" s="171"/>
      <c r="H97" s="118"/>
      <c r="I97" s="9"/>
      <c r="J97" s="120"/>
      <c r="M97" s="4"/>
    </row>
    <row r="98" spans="1:15" ht="9" customHeight="1" x14ac:dyDescent="0.2">
      <c r="A98" s="132"/>
      <c r="B98" s="119"/>
      <c r="C98" s="48" t="str">
        <f>IF(D97="Average height and age","Average tree height (m)","Yield class")</f>
        <v>Yield class</v>
      </c>
      <c r="D98" s="126"/>
      <c r="E98" s="165"/>
      <c r="F98" s="118"/>
      <c r="G98" s="171"/>
      <c r="H98" s="118"/>
      <c r="I98" s="9"/>
      <c r="J98" s="88"/>
      <c r="M98" s="4"/>
    </row>
    <row r="99" spans="1:15" x14ac:dyDescent="0.2">
      <c r="B99" s="129"/>
      <c r="C99" s="48" t="str">
        <f>IF(D97="Average height and age","Stand age (yr)","")</f>
        <v/>
      </c>
      <c r="D99" s="198"/>
      <c r="E99" s="165"/>
      <c r="F99" s="198"/>
      <c r="G99" s="171"/>
      <c r="H99" s="118"/>
      <c r="I99" s="9"/>
      <c r="J99" s="88"/>
      <c r="M99" s="4"/>
    </row>
    <row r="100" spans="1:15" x14ac:dyDescent="0.2">
      <c r="B100" s="129"/>
      <c r="C100" s="48" t="s">
        <v>83</v>
      </c>
      <c r="D100" s="198"/>
      <c r="E100" s="165"/>
      <c r="F100" s="118"/>
      <c r="G100" s="171"/>
      <c r="H100" s="118"/>
      <c r="I100" s="9"/>
      <c r="J100" s="88"/>
      <c r="M100" s="4"/>
    </row>
    <row r="101" spans="1:15" x14ac:dyDescent="0.2">
      <c r="B101" s="119"/>
      <c r="C101" s="48" t="s">
        <v>65</v>
      </c>
      <c r="D101" s="11">
        <v>1</v>
      </c>
      <c r="E101" s="165"/>
      <c r="F101" s="156"/>
      <c r="G101" s="171"/>
      <c r="H101" s="11"/>
      <c r="I101" s="9"/>
      <c r="J101" s="120"/>
      <c r="M101" s="4"/>
    </row>
    <row r="102" spans="1:15" x14ac:dyDescent="0.2">
      <c r="A102" s="132"/>
      <c r="B102" s="119"/>
      <c r="C102" s="48" t="str">
        <f>IF(D101=1,"Length of rotation (yr) (50 yr default)","")</f>
        <v>Length of rotation (yr) (50 yr default)</v>
      </c>
      <c r="D102" s="157"/>
      <c r="E102" s="169"/>
      <c r="F102" s="155"/>
      <c r="G102" s="188"/>
      <c r="H102" s="155"/>
      <c r="I102" s="9"/>
      <c r="J102" s="120"/>
      <c r="M102" s="4"/>
    </row>
    <row r="103" spans="1:15" x14ac:dyDescent="0.2">
      <c r="B103" s="119"/>
      <c r="C103" s="102" t="s">
        <v>70</v>
      </c>
      <c r="D103" s="11">
        <v>1</v>
      </c>
      <c r="E103" s="165"/>
      <c r="F103" s="11"/>
      <c r="G103" s="171"/>
      <c r="H103" s="11"/>
      <c r="I103" s="9"/>
      <c r="J103" s="120"/>
      <c r="M103" s="4"/>
    </row>
    <row r="104" spans="1:15" x14ac:dyDescent="0.2">
      <c r="A104" s="132"/>
      <c r="B104" s="119"/>
      <c r="C104" s="102" t="str">
        <f>IF($D$103=1, "Distance to paper mill (km)", "")</f>
        <v>Distance to paper mill (km)</v>
      </c>
      <c r="D104" s="155"/>
      <c r="E104" s="169"/>
      <c r="F104" s="155"/>
      <c r="G104" s="188"/>
      <c r="H104" s="155"/>
      <c r="I104" s="9"/>
      <c r="J104" s="120"/>
      <c r="M104" s="4"/>
    </row>
    <row r="105" spans="1:15" x14ac:dyDescent="0.2">
      <c r="B105" s="119"/>
      <c r="C105" s="102" t="str">
        <f>IF($D$103=1, "Distance to wood panel mill (km)", "")</f>
        <v>Distance to wood panel mill (km)</v>
      </c>
      <c r="D105" s="155"/>
      <c r="E105" s="169"/>
      <c r="F105" s="155"/>
      <c r="G105" s="188"/>
      <c r="H105" s="155"/>
      <c r="I105" s="9"/>
      <c r="J105" s="120"/>
      <c r="M105" s="4"/>
    </row>
    <row r="106" spans="1:15" x14ac:dyDescent="0.2">
      <c r="B106" s="119"/>
      <c r="C106" s="102" t="str">
        <f>IF($D$103=1, "Distance to saw mill (km)", "")</f>
        <v>Distance to saw mill (km)</v>
      </c>
      <c r="D106" s="155"/>
      <c r="E106" s="169"/>
      <c r="F106" s="155"/>
      <c r="G106" s="188"/>
      <c r="H106" s="155"/>
      <c r="I106" s="9"/>
      <c r="J106" s="120"/>
      <c r="M106" s="4"/>
    </row>
    <row r="107" spans="1:15" x14ac:dyDescent="0.2">
      <c r="A107" s="132"/>
      <c r="B107" s="119"/>
      <c r="C107" s="102" t="str">
        <f>IF($D$103=2, "Timber left in situ mulched?", "")</f>
        <v/>
      </c>
      <c r="D107" s="10">
        <v>2</v>
      </c>
      <c r="E107" s="169"/>
      <c r="F107" s="10"/>
      <c r="G107" s="188"/>
      <c r="H107" s="10"/>
      <c r="I107" s="9"/>
      <c r="J107" s="120"/>
      <c r="M107" s="4"/>
    </row>
    <row r="108" spans="1:15" x14ac:dyDescent="0.2">
      <c r="A108" s="132"/>
      <c r="B108" s="90"/>
      <c r="C108" s="102" t="str">
        <f>IF($D$103=1, "Distance to biofuel plant (km)", "")</f>
        <v>Distance to biofuel plant (km)</v>
      </c>
      <c r="D108" s="154"/>
      <c r="E108" s="171"/>
      <c r="F108" s="154"/>
      <c r="G108" s="171"/>
      <c r="H108" s="154"/>
      <c r="I108" s="9"/>
      <c r="J108" s="88"/>
      <c r="M108" s="4"/>
    </row>
    <row r="109" spans="1:15" x14ac:dyDescent="0.2">
      <c r="A109" s="132"/>
      <c r="B109" s="90"/>
      <c r="C109" s="102" t="str">
        <f>IF($D$103=1, "Efficiency of the biomass power plant", "")</f>
        <v>Efficiency of the biomass power plant</v>
      </c>
      <c r="D109" s="154"/>
      <c r="E109" s="171"/>
      <c r="F109" s="154"/>
      <c r="G109" s="171"/>
      <c r="H109" s="154"/>
      <c r="I109" s="9"/>
      <c r="J109" s="88"/>
      <c r="M109" s="4"/>
    </row>
    <row r="110" spans="1:15" x14ac:dyDescent="0.2">
      <c r="A110" s="132"/>
      <c r="B110" s="91"/>
      <c r="C110" s="47" t="s">
        <v>46</v>
      </c>
      <c r="D110" s="240"/>
      <c r="E110" s="241"/>
      <c r="F110" s="242"/>
      <c r="G110" s="185"/>
      <c r="H110" s="242"/>
      <c r="I110" s="243"/>
      <c r="J110" s="88"/>
      <c r="M110" s="4"/>
    </row>
    <row r="111" spans="1:15" x14ac:dyDescent="0.2">
      <c r="A111" s="132"/>
      <c r="B111" s="92"/>
      <c r="C111" s="127" t="s">
        <v>64</v>
      </c>
      <c r="D111" s="6"/>
      <c r="E111" s="165"/>
      <c r="F111" s="10"/>
      <c r="G111" s="171"/>
      <c r="H111" s="10"/>
      <c r="I111" s="9"/>
      <c r="J111" s="88"/>
      <c r="M111" s="4"/>
    </row>
    <row r="112" spans="1:15" x14ac:dyDescent="0.2">
      <c r="B112" s="92"/>
      <c r="C112" s="127" t="s">
        <v>66</v>
      </c>
      <c r="D112" s="6"/>
      <c r="E112" s="165"/>
      <c r="F112" s="10"/>
      <c r="G112" s="171"/>
      <c r="H112" s="10"/>
      <c r="I112" s="9"/>
      <c r="J112" s="88"/>
      <c r="L112" s="54"/>
      <c r="M112" s="4"/>
      <c r="O112" s="40"/>
    </row>
    <row r="113" spans="2:15" ht="13.5" customHeight="1" x14ac:dyDescent="0.2">
      <c r="B113" s="129"/>
      <c r="C113" s="72" t="s">
        <v>11</v>
      </c>
      <c r="D113" s="12"/>
      <c r="E113" s="165"/>
      <c r="F113" s="170"/>
      <c r="G113" s="171"/>
      <c r="H113" s="170"/>
      <c r="I113" s="9"/>
      <c r="J113" s="88"/>
      <c r="L113" s="39"/>
      <c r="M113" s="4"/>
      <c r="O113" s="40"/>
    </row>
    <row r="114" spans="2:15" ht="13.5" customHeight="1" x14ac:dyDescent="0.2">
      <c r="B114" s="91"/>
      <c r="C114" s="244" t="s">
        <v>12</v>
      </c>
      <c r="D114" s="245"/>
      <c r="E114" s="165"/>
      <c r="F114" s="246"/>
      <c r="G114" s="171"/>
      <c r="H114" s="246"/>
      <c r="I114" s="247"/>
      <c r="J114" s="88"/>
      <c r="L114" s="39"/>
      <c r="M114" s="4"/>
      <c r="O114" s="40"/>
    </row>
    <row r="115" spans="2:15" ht="13.5" customHeight="1" x14ac:dyDescent="0.2">
      <c r="B115" s="143"/>
      <c r="C115" s="47" t="s">
        <v>68</v>
      </c>
      <c r="D115" s="6"/>
      <c r="E115" s="165"/>
      <c r="F115" s="10"/>
      <c r="G115" s="171"/>
      <c r="H115" s="10"/>
      <c r="I115" s="9"/>
      <c r="J115" s="140"/>
      <c r="L115" s="39"/>
      <c r="M115" s="4"/>
      <c r="O115" s="40"/>
    </row>
    <row r="116" spans="2:15" ht="21.75" customHeight="1" x14ac:dyDescent="0.2">
      <c r="B116" s="143"/>
      <c r="C116" s="161" t="s">
        <v>61</v>
      </c>
      <c r="D116" s="115"/>
      <c r="E116" s="116"/>
      <c r="F116" s="115"/>
      <c r="G116" s="117"/>
      <c r="H116" s="115"/>
      <c r="I116" s="9"/>
      <c r="J116" s="140"/>
      <c r="L116" s="39"/>
      <c r="M116" s="4"/>
      <c r="O116" s="40"/>
    </row>
    <row r="117" spans="2:15" ht="20.25" customHeight="1" x14ac:dyDescent="0.2">
      <c r="B117" s="143"/>
      <c r="C117" s="161" t="s">
        <v>88</v>
      </c>
      <c r="D117" s="6"/>
      <c r="E117" s="103"/>
      <c r="F117" s="6"/>
      <c r="G117" s="8"/>
      <c r="H117" s="6"/>
      <c r="I117" s="9"/>
      <c r="J117" s="140"/>
      <c r="M117" s="4"/>
    </row>
    <row r="118" spans="2:15" ht="20.25" customHeight="1" x14ac:dyDescent="0.2">
      <c r="B118" s="143"/>
      <c r="C118" s="161" t="s">
        <v>87</v>
      </c>
      <c r="D118" s="6"/>
      <c r="E118" s="103"/>
      <c r="F118" s="6"/>
      <c r="G118" s="8"/>
      <c r="H118" s="6"/>
      <c r="I118" s="9"/>
      <c r="J118" s="140"/>
      <c r="M118" s="4"/>
    </row>
    <row r="119" spans="2:15" ht="20.25" customHeight="1" x14ac:dyDescent="0.2">
      <c r="B119" s="143"/>
      <c r="C119" s="161" t="s">
        <v>69</v>
      </c>
      <c r="D119" s="6"/>
      <c r="E119" s="103"/>
      <c r="F119" s="6"/>
      <c r="G119" s="8"/>
      <c r="H119" s="6"/>
      <c r="I119" s="9"/>
      <c r="J119" s="140"/>
      <c r="M119" s="4"/>
    </row>
    <row r="120" spans="2:15" ht="20.25" customHeight="1" x14ac:dyDescent="0.2">
      <c r="B120" s="143"/>
      <c r="C120" s="161" t="s">
        <v>67</v>
      </c>
      <c r="D120" s="7"/>
      <c r="E120" s="158"/>
      <c r="F120" s="7"/>
      <c r="G120" s="159"/>
      <c r="H120" s="7"/>
      <c r="I120" s="9"/>
      <c r="J120" s="140"/>
      <c r="M120" s="4"/>
    </row>
    <row r="121" spans="2:15" ht="20" customHeight="1" x14ac:dyDescent="0.2">
      <c r="B121" s="143"/>
      <c r="C121" s="47" t="s">
        <v>76</v>
      </c>
      <c r="D121" s="7"/>
      <c r="E121" s="196"/>
      <c r="F121" s="118"/>
      <c r="G121" s="159"/>
      <c r="H121" s="198"/>
      <c r="I121" s="9"/>
      <c r="J121" s="140"/>
      <c r="M121" s="4"/>
    </row>
    <row r="122" spans="2:15" ht="19.5" customHeight="1" x14ac:dyDescent="0.2">
      <c r="B122" s="143"/>
      <c r="C122" s="161" t="s">
        <v>77</v>
      </c>
      <c r="D122" s="11">
        <v>2</v>
      </c>
      <c r="E122" s="171"/>
      <c r="F122" s="11"/>
      <c r="G122" s="171"/>
      <c r="H122" s="11"/>
      <c r="I122" s="9"/>
      <c r="J122" s="140"/>
      <c r="L122" s="70"/>
      <c r="M122" s="4"/>
    </row>
    <row r="123" spans="2:15" ht="12" customHeight="1" x14ac:dyDescent="0.2">
      <c r="B123" s="143"/>
      <c r="C123" s="161" t="s">
        <v>78</v>
      </c>
      <c r="D123" s="11">
        <v>2</v>
      </c>
      <c r="E123" s="171"/>
      <c r="F123" s="11"/>
      <c r="G123" s="171"/>
      <c r="H123" s="11"/>
      <c r="I123" s="9"/>
      <c r="J123" s="140"/>
      <c r="L123" s="70"/>
      <c r="M123" s="4"/>
    </row>
    <row r="124" spans="2:15" ht="12" customHeight="1" x14ac:dyDescent="0.2">
      <c r="B124" s="143"/>
      <c r="C124" s="161" t="s">
        <v>85</v>
      </c>
      <c r="D124" s="11">
        <v>2</v>
      </c>
      <c r="E124" s="171"/>
      <c r="F124" s="11"/>
      <c r="G124" s="171"/>
      <c r="H124" s="11"/>
      <c r="I124" s="9"/>
      <c r="J124" s="140"/>
      <c r="L124" s="70"/>
      <c r="M124" s="4"/>
    </row>
    <row r="125" spans="2:15" ht="20.25" customHeight="1" x14ac:dyDescent="0.2">
      <c r="B125" s="143"/>
      <c r="C125" s="161" t="s">
        <v>79</v>
      </c>
      <c r="D125" s="11">
        <v>2</v>
      </c>
      <c r="E125" s="171"/>
      <c r="F125" s="11"/>
      <c r="G125" s="171"/>
      <c r="H125" s="11"/>
      <c r="I125" s="9"/>
      <c r="J125" s="140"/>
      <c r="M125" s="4"/>
    </row>
    <row r="126" spans="2:15" ht="20" customHeight="1" x14ac:dyDescent="0.2">
      <c r="B126" s="143"/>
      <c r="C126" s="161" t="s">
        <v>80</v>
      </c>
      <c r="D126" s="11">
        <v>2</v>
      </c>
      <c r="E126" s="171"/>
      <c r="F126" s="11"/>
      <c r="G126" s="171"/>
      <c r="H126" s="11"/>
      <c r="I126" s="9"/>
      <c r="J126" s="140"/>
      <c r="M126" s="4"/>
    </row>
    <row r="127" spans="2:15" ht="20" customHeight="1" x14ac:dyDescent="0.2">
      <c r="B127" s="143"/>
      <c r="C127" s="161" t="s">
        <v>81</v>
      </c>
      <c r="D127" s="11">
        <v>2</v>
      </c>
      <c r="E127" s="171"/>
      <c r="F127" s="11"/>
      <c r="G127" s="171"/>
      <c r="H127" s="11"/>
      <c r="I127" s="9"/>
      <c r="J127" s="140"/>
      <c r="M127" s="4"/>
    </row>
    <row r="128" spans="2:15" ht="20" customHeight="1" x14ac:dyDescent="0.2">
      <c r="B128" s="142"/>
      <c r="C128" s="93"/>
      <c r="D128" s="23"/>
      <c r="E128" s="179"/>
      <c r="F128" s="178"/>
      <c r="G128" s="193"/>
      <c r="H128" s="178"/>
      <c r="I128" s="24"/>
      <c r="J128" s="141"/>
      <c r="M128" s="4"/>
    </row>
    <row r="129" spans="2:13" ht="20" customHeight="1" x14ac:dyDescent="0.2">
      <c r="B129" s="95"/>
      <c r="C129" s="94" t="s">
        <v>34</v>
      </c>
      <c r="D129" s="25"/>
      <c r="E129" s="180"/>
      <c r="F129" s="26"/>
      <c r="G129" s="194"/>
      <c r="H129" s="26"/>
      <c r="I129" s="27"/>
      <c r="J129" s="96"/>
      <c r="M129" s="4"/>
    </row>
    <row r="130" spans="2:13" ht="20" customHeight="1" x14ac:dyDescent="0.2">
      <c r="B130" s="122"/>
      <c r="C130" s="248" t="s">
        <v>82</v>
      </c>
      <c r="D130" s="156"/>
      <c r="E130" s="165"/>
      <c r="F130" s="238"/>
      <c r="G130" s="171"/>
      <c r="H130" s="238"/>
      <c r="I130" s="8"/>
      <c r="J130" s="121"/>
      <c r="M130" s="4"/>
    </row>
    <row r="131" spans="2:13" ht="20" customHeight="1" x14ac:dyDescent="0.2">
      <c r="B131" s="122"/>
      <c r="C131" s="48" t="s">
        <v>9</v>
      </c>
      <c r="D131" s="7"/>
      <c r="E131" s="165"/>
      <c r="F131" s="118"/>
      <c r="G131" s="171"/>
      <c r="H131" s="118"/>
      <c r="I131" s="9"/>
      <c r="J131" s="121"/>
      <c r="M131" s="4"/>
    </row>
    <row r="132" spans="2:13" ht="14.25" customHeight="1" x14ac:dyDescent="0.2">
      <c r="B132" s="122"/>
      <c r="C132" s="48" t="s">
        <v>62</v>
      </c>
      <c r="D132" s="118" t="s">
        <v>63</v>
      </c>
      <c r="E132" s="165"/>
      <c r="F132" s="118"/>
      <c r="G132" s="171"/>
      <c r="H132" s="118"/>
      <c r="I132" s="9"/>
      <c r="J132" s="121"/>
      <c r="M132" s="4"/>
    </row>
    <row r="133" spans="2:13" ht="14.25" customHeight="1" x14ac:dyDescent="0.2">
      <c r="B133" s="97"/>
      <c r="C133" s="48" t="str">
        <f>IF(D132="Average height and age","Average tree height (m)","Yield class")</f>
        <v>Yield class</v>
      </c>
      <c r="D133" s="125"/>
      <c r="E133" s="165"/>
      <c r="F133" s="118"/>
      <c r="G133" s="171"/>
      <c r="H133" s="118"/>
      <c r="I133" s="9"/>
      <c r="J133" s="121"/>
      <c r="M133" s="4"/>
    </row>
    <row r="134" spans="2:13" ht="14.25" customHeight="1" x14ac:dyDescent="0.2">
      <c r="B134" s="130"/>
      <c r="C134" s="48" t="str">
        <f>IF(D132="Average height and age","Stand age (yr)","")</f>
        <v/>
      </c>
      <c r="D134" s="198"/>
      <c r="E134" s="165"/>
      <c r="F134" s="118"/>
      <c r="G134" s="171"/>
      <c r="H134" s="199"/>
      <c r="I134" s="9"/>
      <c r="J134" s="96"/>
      <c r="M134" s="4"/>
    </row>
    <row r="135" spans="2:13" ht="14.25" customHeight="1" x14ac:dyDescent="0.2">
      <c r="B135" s="130"/>
      <c r="C135" s="48" t="s">
        <v>83</v>
      </c>
      <c r="D135" s="198"/>
      <c r="E135" s="165"/>
      <c r="F135" s="118"/>
      <c r="G135" s="171"/>
      <c r="H135" s="199"/>
      <c r="I135" s="9"/>
      <c r="J135" s="96"/>
      <c r="M135" s="4"/>
    </row>
    <row r="136" spans="2:13" x14ac:dyDescent="0.2">
      <c r="B136" s="122"/>
      <c r="C136" s="48" t="s">
        <v>65</v>
      </c>
      <c r="D136" s="156">
        <v>1</v>
      </c>
      <c r="E136" s="165"/>
      <c r="F136" s="11"/>
      <c r="G136" s="171"/>
      <c r="H136" s="11"/>
      <c r="I136" s="9"/>
      <c r="J136" s="121"/>
      <c r="M136" s="4"/>
    </row>
    <row r="137" spans="2:13" x14ac:dyDescent="0.2">
      <c r="B137" s="122"/>
      <c r="C137" s="48" t="str">
        <f>IF(D136=1,"Length of rotation (yr) (50 yr default)","")</f>
        <v>Length of rotation (yr) (50 yr default)</v>
      </c>
      <c r="D137" s="157"/>
      <c r="E137" s="169"/>
      <c r="F137" s="155"/>
      <c r="G137" s="188"/>
      <c r="H137" s="155"/>
      <c r="I137" s="9"/>
      <c r="J137" s="121"/>
      <c r="M137" s="4"/>
    </row>
    <row r="138" spans="2:13" x14ac:dyDescent="0.2">
      <c r="B138" s="122"/>
      <c r="C138" s="102" t="s">
        <v>70</v>
      </c>
      <c r="D138" s="11">
        <v>1</v>
      </c>
      <c r="E138" s="165"/>
      <c r="F138" s="11"/>
      <c r="G138" s="171"/>
      <c r="H138" s="11"/>
      <c r="I138" s="9"/>
      <c r="J138" s="121"/>
      <c r="M138" s="4"/>
    </row>
    <row r="139" spans="2:13" x14ac:dyDescent="0.2">
      <c r="B139" s="122"/>
      <c r="C139" s="102" t="str">
        <f>IF($D$138=1, "Distance to paper mill (km)", "")</f>
        <v>Distance to paper mill (km)</v>
      </c>
      <c r="D139" s="155"/>
      <c r="E139" s="169"/>
      <c r="F139" s="155"/>
      <c r="G139" s="188"/>
      <c r="H139" s="155"/>
      <c r="I139" s="9"/>
      <c r="J139" s="121"/>
      <c r="M139" s="4"/>
    </row>
    <row r="140" spans="2:13" x14ac:dyDescent="0.2">
      <c r="B140" s="122"/>
      <c r="C140" s="102" t="str">
        <f>IF($D$138=1, "Distance to wood panel mill (km)", "")</f>
        <v>Distance to wood panel mill (km)</v>
      </c>
      <c r="D140" s="155"/>
      <c r="E140" s="169"/>
      <c r="F140" s="155"/>
      <c r="G140" s="188"/>
      <c r="H140" s="155"/>
      <c r="I140" s="9"/>
      <c r="J140" s="121"/>
      <c r="M140" s="4"/>
    </row>
    <row r="141" spans="2:13" ht="12" customHeight="1" x14ac:dyDescent="0.2">
      <c r="B141" s="122"/>
      <c r="C141" s="102" t="str">
        <f>IF($D$138=1, "Distance to saw mill (km)", "")</f>
        <v>Distance to saw mill (km)</v>
      </c>
      <c r="D141" s="157"/>
      <c r="E141" s="169"/>
      <c r="F141" s="155"/>
      <c r="G141" s="188"/>
      <c r="H141" s="155"/>
      <c r="I141" s="9"/>
      <c r="J141" s="121"/>
      <c r="L141" s="70"/>
      <c r="M141" s="4"/>
    </row>
    <row r="142" spans="2:13" ht="12" customHeight="1" x14ac:dyDescent="0.2">
      <c r="B142" s="122"/>
      <c r="C142" s="102" t="str">
        <f>IF($D$138=2, "Timber left in situ mulched?", "")</f>
        <v/>
      </c>
      <c r="D142" s="10">
        <v>2</v>
      </c>
      <c r="E142" s="169"/>
      <c r="F142" s="10"/>
      <c r="G142" s="188"/>
      <c r="H142" s="10"/>
      <c r="I142" s="9"/>
      <c r="J142" s="121"/>
      <c r="L142" s="70"/>
      <c r="M142" s="4"/>
    </row>
    <row r="143" spans="2:13" x14ac:dyDescent="0.2">
      <c r="B143" s="98"/>
      <c r="C143" s="48" t="str">
        <f>IF($D$138=1, "Distance to biofuel plant (km)", "")</f>
        <v>Distance to biofuel plant (km)</v>
      </c>
      <c r="D143" s="154"/>
      <c r="E143" s="171"/>
      <c r="F143" s="154"/>
      <c r="G143" s="171"/>
      <c r="H143" s="154"/>
      <c r="I143" s="9"/>
      <c r="J143" s="121"/>
      <c r="L143" s="1"/>
      <c r="M143" s="4"/>
    </row>
    <row r="144" spans="2:13" x14ac:dyDescent="0.2">
      <c r="B144" s="98"/>
      <c r="C144" s="48" t="str">
        <f>IF($D$138=1, "Efficiency of the biomass power plant", "")</f>
        <v>Efficiency of the biomass power plant</v>
      </c>
      <c r="D144" s="154"/>
      <c r="E144" s="171"/>
      <c r="F144" s="154"/>
      <c r="G144" s="171"/>
      <c r="H144" s="154"/>
      <c r="I144" s="9"/>
      <c r="J144" s="121"/>
      <c r="L144" s="1"/>
      <c r="M144" s="4"/>
    </row>
    <row r="145" spans="2:15" x14ac:dyDescent="0.2">
      <c r="B145" s="99"/>
      <c r="C145" s="47" t="s">
        <v>46</v>
      </c>
      <c r="D145" s="240"/>
      <c r="E145" s="241"/>
      <c r="F145" s="242"/>
      <c r="G145" s="185"/>
      <c r="H145" s="242"/>
      <c r="I145" s="243"/>
      <c r="J145" s="96"/>
      <c r="M145" s="4"/>
    </row>
    <row r="146" spans="2:15" x14ac:dyDescent="0.2">
      <c r="B146" s="100"/>
      <c r="C146" s="127" t="s">
        <v>64</v>
      </c>
      <c r="D146" s="6"/>
      <c r="E146" s="165"/>
      <c r="F146" s="10"/>
      <c r="G146" s="171"/>
      <c r="H146" s="10"/>
      <c r="I146" s="9"/>
      <c r="J146" s="96"/>
      <c r="M146" s="4"/>
    </row>
    <row r="147" spans="2:15" x14ac:dyDescent="0.2">
      <c r="B147" s="100"/>
      <c r="C147" s="127" t="s">
        <v>66</v>
      </c>
      <c r="D147" s="6"/>
      <c r="E147" s="165"/>
      <c r="F147" s="10"/>
      <c r="G147" s="171"/>
      <c r="H147" s="10"/>
      <c r="I147" s="9"/>
      <c r="J147" s="96"/>
      <c r="M147" s="4"/>
    </row>
    <row r="148" spans="2:15" ht="14.5" x14ac:dyDescent="0.2">
      <c r="B148" s="130"/>
      <c r="C148" s="72" t="s">
        <v>11</v>
      </c>
      <c r="D148" s="12"/>
      <c r="E148" s="165"/>
      <c r="F148" s="170"/>
      <c r="G148" s="171"/>
      <c r="H148" s="170"/>
      <c r="I148" s="9"/>
      <c r="J148" s="96"/>
      <c r="M148" s="4"/>
    </row>
    <row r="149" spans="2:15" x14ac:dyDescent="0.2">
      <c r="B149" s="99"/>
      <c r="C149" s="244" t="s">
        <v>12</v>
      </c>
      <c r="D149" s="245"/>
      <c r="E149" s="165"/>
      <c r="F149" s="246"/>
      <c r="G149" s="171"/>
      <c r="H149" s="246"/>
      <c r="I149" s="247"/>
      <c r="J149" s="96"/>
      <c r="M149" s="4"/>
    </row>
    <row r="150" spans="2:15" ht="13" x14ac:dyDescent="0.2">
      <c r="B150" s="146"/>
      <c r="C150" s="47" t="s">
        <v>68</v>
      </c>
      <c r="D150" s="6"/>
      <c r="E150" s="165"/>
      <c r="F150" s="10"/>
      <c r="G150" s="171"/>
      <c r="H150" s="10"/>
      <c r="I150" s="9"/>
      <c r="J150" s="144"/>
      <c r="M150" s="4"/>
    </row>
    <row r="151" spans="2:15" ht="25" x14ac:dyDescent="0.2">
      <c r="B151" s="146"/>
      <c r="C151" s="161" t="s">
        <v>61</v>
      </c>
      <c r="D151" s="115"/>
      <c r="E151" s="182"/>
      <c r="F151" s="181"/>
      <c r="G151" s="117"/>
      <c r="H151" s="115"/>
      <c r="I151" s="9"/>
      <c r="J151" s="144"/>
      <c r="M151" s="4"/>
    </row>
    <row r="152" spans="2:15" ht="13" x14ac:dyDescent="0.2">
      <c r="B152" s="146"/>
      <c r="C152" s="161" t="s">
        <v>88</v>
      </c>
      <c r="D152" s="6"/>
      <c r="E152" s="103"/>
      <c r="F152" s="6"/>
      <c r="G152" s="8"/>
      <c r="H152" s="6"/>
      <c r="I152" s="9"/>
      <c r="J152" s="144"/>
      <c r="M152" s="4"/>
    </row>
    <row r="153" spans="2:15" ht="13" x14ac:dyDescent="0.2">
      <c r="B153" s="146"/>
      <c r="C153" s="161" t="s">
        <v>87</v>
      </c>
      <c r="D153" s="6"/>
      <c r="E153" s="103"/>
      <c r="F153" s="6"/>
      <c r="G153" s="8"/>
      <c r="H153" s="6"/>
      <c r="I153" s="9"/>
      <c r="J153" s="144"/>
      <c r="M153" s="4"/>
    </row>
    <row r="154" spans="2:15" ht="13" x14ac:dyDescent="0.2">
      <c r="B154" s="146"/>
      <c r="C154" s="161" t="s">
        <v>69</v>
      </c>
      <c r="D154" s="6"/>
      <c r="E154" s="103"/>
      <c r="F154" s="6"/>
      <c r="G154" s="8"/>
      <c r="H154" s="6"/>
      <c r="I154" s="9"/>
      <c r="J154" s="144"/>
      <c r="M154" s="4"/>
    </row>
    <row r="155" spans="2:15" ht="13" x14ac:dyDescent="0.2">
      <c r="B155" s="146"/>
      <c r="C155" s="161" t="s">
        <v>67</v>
      </c>
      <c r="D155" s="7"/>
      <c r="E155" s="158"/>
      <c r="F155" s="7"/>
      <c r="G155" s="159"/>
      <c r="H155" s="7"/>
      <c r="I155" s="9"/>
      <c r="J155" s="144"/>
      <c r="M155" s="4"/>
    </row>
    <row r="156" spans="2:15" ht="13" x14ac:dyDescent="0.2">
      <c r="B156" s="146"/>
      <c r="C156" s="47" t="s">
        <v>76</v>
      </c>
      <c r="D156" s="7"/>
      <c r="E156" s="196"/>
      <c r="F156" s="118"/>
      <c r="G156" s="159"/>
      <c r="H156" s="198"/>
      <c r="I156" s="9"/>
      <c r="J156" s="144"/>
      <c r="M156" s="4"/>
    </row>
    <row r="157" spans="2:15" ht="13" x14ac:dyDescent="0.2">
      <c r="B157" s="146"/>
      <c r="C157" s="161" t="s">
        <v>77</v>
      </c>
      <c r="D157" s="11">
        <v>2</v>
      </c>
      <c r="E157" s="171"/>
      <c r="F157" s="11"/>
      <c r="G157" s="171"/>
      <c r="H157" s="11"/>
      <c r="I157" s="9"/>
      <c r="J157" s="144"/>
      <c r="M157" s="4"/>
    </row>
    <row r="158" spans="2:15" ht="13" x14ac:dyDescent="0.2">
      <c r="B158" s="146"/>
      <c r="C158" s="161" t="s">
        <v>78</v>
      </c>
      <c r="D158" s="11">
        <v>2</v>
      </c>
      <c r="E158" s="171"/>
      <c r="F158" s="11"/>
      <c r="G158" s="171"/>
      <c r="H158" s="11"/>
      <c r="I158" s="9"/>
      <c r="J158" s="144"/>
      <c r="M158" s="4"/>
    </row>
    <row r="159" spans="2:15" ht="13" x14ac:dyDescent="0.2">
      <c r="B159" s="146"/>
      <c r="C159" s="161" t="s">
        <v>85</v>
      </c>
      <c r="D159" s="11">
        <v>2</v>
      </c>
      <c r="E159" s="171"/>
      <c r="F159" s="11"/>
      <c r="G159" s="171"/>
      <c r="H159" s="11"/>
      <c r="I159" s="9"/>
      <c r="J159" s="144"/>
      <c r="M159" s="4"/>
    </row>
    <row r="160" spans="2:15" ht="13" x14ac:dyDescent="0.2">
      <c r="B160" s="146"/>
      <c r="C160" s="161" t="s">
        <v>79</v>
      </c>
      <c r="D160" s="11">
        <v>2</v>
      </c>
      <c r="E160" s="171"/>
      <c r="F160" s="11"/>
      <c r="G160" s="171"/>
      <c r="H160" s="11"/>
      <c r="I160" s="9"/>
      <c r="J160" s="144"/>
      <c r="L160" s="54"/>
      <c r="M160" s="4"/>
      <c r="O160" s="40"/>
    </row>
    <row r="161" spans="2:15" ht="13.5" customHeight="1" x14ac:dyDescent="0.2">
      <c r="B161" s="146"/>
      <c r="C161" s="161" t="s">
        <v>80</v>
      </c>
      <c r="D161" s="11">
        <v>2</v>
      </c>
      <c r="E161" s="171"/>
      <c r="F161" s="11"/>
      <c r="G161" s="171"/>
      <c r="H161" s="11"/>
      <c r="I161" s="9"/>
      <c r="J161" s="144"/>
      <c r="L161" s="39"/>
      <c r="M161" s="4"/>
      <c r="O161" s="40"/>
    </row>
    <row r="162" spans="2:15" ht="13.5" customHeight="1" x14ac:dyDescent="0.2">
      <c r="B162" s="146"/>
      <c r="C162" s="161" t="s">
        <v>81</v>
      </c>
      <c r="D162" s="11">
        <v>2</v>
      </c>
      <c r="E162" s="171"/>
      <c r="F162" s="11"/>
      <c r="G162" s="171"/>
      <c r="H162" s="11"/>
      <c r="I162" s="9"/>
      <c r="J162" s="144"/>
      <c r="L162" s="39"/>
      <c r="M162" s="4"/>
      <c r="O162" s="40"/>
    </row>
    <row r="163" spans="2:15" ht="13.5" customHeight="1" x14ac:dyDescent="0.2">
      <c r="B163" s="147"/>
      <c r="C163" s="101"/>
      <c r="D163" s="28"/>
      <c r="E163" s="184"/>
      <c r="F163" s="183"/>
      <c r="G163" s="195"/>
      <c r="H163" s="183"/>
      <c r="I163" s="29"/>
      <c r="J163" s="145"/>
      <c r="L163" s="39"/>
      <c r="M163" s="4"/>
      <c r="O163" s="40"/>
    </row>
    <row r="164" spans="2:15" ht="21.75" customHeight="1" x14ac:dyDescent="0.2">
      <c r="B164" s="87"/>
      <c r="C164" s="86" t="s">
        <v>35</v>
      </c>
      <c r="D164" s="20"/>
      <c r="E164" s="177"/>
      <c r="F164" s="21"/>
      <c r="G164" s="192"/>
      <c r="H164" s="21"/>
      <c r="I164" s="22"/>
      <c r="J164" s="88"/>
      <c r="L164" s="39"/>
      <c r="M164" s="4"/>
      <c r="O164" s="40"/>
    </row>
    <row r="165" spans="2:15" ht="20.25" customHeight="1" x14ac:dyDescent="0.2">
      <c r="B165" s="119"/>
      <c r="C165" s="237" t="s">
        <v>82</v>
      </c>
      <c r="D165" s="156"/>
      <c r="E165" s="165"/>
      <c r="F165" s="238"/>
      <c r="G165" s="171"/>
      <c r="H165" s="239"/>
      <c r="I165" s="8"/>
      <c r="J165" s="120"/>
      <c r="M165" s="4"/>
    </row>
    <row r="166" spans="2:15" ht="20.25" customHeight="1" x14ac:dyDescent="0.2">
      <c r="B166" s="119"/>
      <c r="C166" s="48" t="s">
        <v>9</v>
      </c>
      <c r="D166" s="7"/>
      <c r="E166" s="165"/>
      <c r="F166" s="118"/>
      <c r="G166" s="171"/>
      <c r="H166" s="198"/>
      <c r="I166" s="9"/>
      <c r="J166" s="120"/>
      <c r="M166" s="4"/>
    </row>
    <row r="167" spans="2:15" ht="20.25" customHeight="1" x14ac:dyDescent="0.2">
      <c r="B167" s="119"/>
      <c r="C167" s="48" t="s">
        <v>62</v>
      </c>
      <c r="D167" s="118" t="s">
        <v>63</v>
      </c>
      <c r="E167" s="165"/>
      <c r="F167" s="118"/>
      <c r="G167" s="171"/>
      <c r="H167" s="118"/>
      <c r="I167" s="9"/>
      <c r="J167" s="120"/>
      <c r="M167" s="4"/>
    </row>
    <row r="168" spans="2:15" ht="20.25" customHeight="1" x14ac:dyDescent="0.2">
      <c r="B168" s="89"/>
      <c r="C168" s="48" t="str">
        <f>IF(D167="Average height and age","Average tree height (m)","Yield class")</f>
        <v>Yield class</v>
      </c>
      <c r="D168" s="125"/>
      <c r="E168" s="165"/>
      <c r="F168" s="118"/>
      <c r="G168" s="171"/>
      <c r="H168" s="118"/>
      <c r="I168" s="9"/>
      <c r="J168" s="88"/>
      <c r="M168" s="4"/>
    </row>
    <row r="169" spans="2:15" ht="20" customHeight="1" x14ac:dyDescent="0.2">
      <c r="B169" s="129"/>
      <c r="C169" s="48" t="str">
        <f>IF(D167="Average height and age","Stand age (yr)","")</f>
        <v/>
      </c>
      <c r="D169" s="118"/>
      <c r="E169" s="165"/>
      <c r="F169" s="118"/>
      <c r="G169" s="171"/>
      <c r="H169" s="199"/>
      <c r="I169" s="9"/>
      <c r="J169" s="88"/>
      <c r="M169" s="4"/>
    </row>
    <row r="170" spans="2:15" ht="19.5" customHeight="1" x14ac:dyDescent="0.2">
      <c r="B170" s="129"/>
      <c r="C170" s="48" t="s">
        <v>83</v>
      </c>
      <c r="D170" s="118"/>
      <c r="E170" s="165"/>
      <c r="F170" s="118"/>
      <c r="G170" s="171"/>
      <c r="H170" s="198"/>
      <c r="I170" s="9"/>
      <c r="J170" s="88"/>
      <c r="L170" s="70"/>
      <c r="M170" s="4"/>
    </row>
    <row r="171" spans="2:15" ht="12" customHeight="1" x14ac:dyDescent="0.2">
      <c r="B171" s="119"/>
      <c r="C171" s="48" t="s">
        <v>65</v>
      </c>
      <c r="D171" s="156">
        <v>1</v>
      </c>
      <c r="E171" s="165"/>
      <c r="F171" s="11"/>
      <c r="G171" s="171"/>
      <c r="H171" s="11"/>
      <c r="I171" s="9"/>
      <c r="J171" s="120"/>
      <c r="L171" s="70"/>
      <c r="M171" s="4"/>
    </row>
    <row r="172" spans="2:15" ht="12" customHeight="1" x14ac:dyDescent="0.2">
      <c r="B172" s="119"/>
      <c r="C172" s="48" t="str">
        <f>IF(D171=1,"Length of rotation (yr) (50 yr default)","")</f>
        <v>Length of rotation (yr) (50 yr default)</v>
      </c>
      <c r="D172" s="157"/>
      <c r="E172" s="169"/>
      <c r="F172" s="10"/>
      <c r="G172" s="188"/>
      <c r="H172" s="10"/>
      <c r="I172" s="9"/>
      <c r="J172" s="120"/>
      <c r="L172" s="70"/>
      <c r="M172" s="4"/>
    </row>
    <row r="173" spans="2:15" ht="20.25" customHeight="1" x14ac:dyDescent="0.2">
      <c r="B173" s="119"/>
      <c r="C173" s="102" t="s">
        <v>70</v>
      </c>
      <c r="D173" s="156">
        <v>1</v>
      </c>
      <c r="E173" s="171"/>
      <c r="F173" s="11"/>
      <c r="G173" s="171"/>
      <c r="H173" s="11"/>
      <c r="I173" s="9"/>
      <c r="J173" s="120"/>
      <c r="M173" s="4"/>
    </row>
    <row r="174" spans="2:15" ht="20" customHeight="1" x14ac:dyDescent="0.2">
      <c r="B174" s="119"/>
      <c r="C174" s="102" t="str">
        <f>IF($D$173=1, "Distance to paper mill (km)", "")</f>
        <v>Distance to paper mill (km)</v>
      </c>
      <c r="D174" s="155"/>
      <c r="E174" s="169"/>
      <c r="F174" s="10"/>
      <c r="G174" s="188"/>
      <c r="H174" s="10"/>
      <c r="I174" s="9"/>
      <c r="J174" s="120"/>
      <c r="M174" s="4"/>
    </row>
    <row r="175" spans="2:15" ht="20" customHeight="1" x14ac:dyDescent="0.2">
      <c r="B175" s="119"/>
      <c r="C175" s="102" t="str">
        <f>IF($D$173=1, "Distance to wood panel mill (km)", "")</f>
        <v>Distance to wood panel mill (km)</v>
      </c>
      <c r="D175" s="155"/>
      <c r="E175" s="169"/>
      <c r="F175" s="10"/>
      <c r="G175" s="188"/>
      <c r="H175" s="10"/>
      <c r="I175" s="9"/>
      <c r="J175" s="120"/>
      <c r="M175" s="4"/>
    </row>
    <row r="176" spans="2:15" ht="20" customHeight="1" x14ac:dyDescent="0.2">
      <c r="B176" s="119"/>
      <c r="C176" s="102" t="str">
        <f>IF($D$173=1, "Distance to saw mill (km)", "")</f>
        <v>Distance to saw mill (km)</v>
      </c>
      <c r="D176" s="155"/>
      <c r="E176" s="169"/>
      <c r="F176" s="155"/>
      <c r="G176" s="188"/>
      <c r="H176" s="155"/>
      <c r="I176" s="9"/>
      <c r="J176" s="120"/>
      <c r="M176" s="4"/>
    </row>
    <row r="177" spans="1:13" ht="20" customHeight="1" x14ac:dyDescent="0.2">
      <c r="B177" s="119"/>
      <c r="C177" s="102" t="str">
        <f>IF($D$173=2, "Timber left in situ mulched?", "")</f>
        <v/>
      </c>
      <c r="D177" s="10">
        <v>2</v>
      </c>
      <c r="E177" s="169"/>
      <c r="F177" s="10"/>
      <c r="G177" s="188"/>
      <c r="H177" s="10"/>
      <c r="I177" s="9"/>
      <c r="J177" s="120"/>
      <c r="M177" s="4"/>
    </row>
    <row r="178" spans="1:13" ht="20" customHeight="1" x14ac:dyDescent="0.2">
      <c r="B178" s="90"/>
      <c r="C178" s="48" t="str">
        <f>IF($D$173=1, "Distance to biofuel plant (km)", "")</f>
        <v>Distance to biofuel plant (km)</v>
      </c>
      <c r="D178" s="154"/>
      <c r="E178" s="171"/>
      <c r="F178" s="154"/>
      <c r="G178" s="171"/>
      <c r="H178" s="154"/>
      <c r="I178" s="9"/>
      <c r="J178" s="88"/>
      <c r="M178" s="4"/>
    </row>
    <row r="179" spans="1:13" ht="20" customHeight="1" x14ac:dyDescent="0.2">
      <c r="B179" s="90"/>
      <c r="C179" s="48" t="str">
        <f>IF($D$173=1, "Efficiency of the biomass power plant", "")</f>
        <v>Efficiency of the biomass power plant</v>
      </c>
      <c r="D179" s="154"/>
      <c r="E179" s="171"/>
      <c r="F179" s="154"/>
      <c r="G179" s="171"/>
      <c r="H179" s="154"/>
      <c r="I179" s="9"/>
      <c r="J179" s="88"/>
      <c r="M179" s="4"/>
    </row>
    <row r="180" spans="1:13" ht="14.25" customHeight="1" x14ac:dyDescent="0.2">
      <c r="B180" s="91"/>
      <c r="C180" s="47" t="s">
        <v>46</v>
      </c>
      <c r="D180" s="240"/>
      <c r="E180" s="241"/>
      <c r="F180" s="242"/>
      <c r="G180" s="185"/>
      <c r="H180" s="242"/>
      <c r="I180" s="243"/>
      <c r="J180" s="88"/>
      <c r="M180" s="4"/>
    </row>
    <row r="181" spans="1:13" ht="14.25" customHeight="1" x14ac:dyDescent="0.2">
      <c r="B181" s="92"/>
      <c r="C181" s="127" t="s">
        <v>64</v>
      </c>
      <c r="D181" s="6"/>
      <c r="E181" s="165"/>
      <c r="F181" s="10"/>
      <c r="G181" s="171"/>
      <c r="H181" s="10"/>
      <c r="I181" s="9"/>
      <c r="J181" s="88"/>
      <c r="M181" s="4"/>
    </row>
    <row r="182" spans="1:13" ht="14.25" customHeight="1" x14ac:dyDescent="0.2">
      <c r="B182" s="92"/>
      <c r="C182" s="127" t="s">
        <v>66</v>
      </c>
      <c r="D182" s="6"/>
      <c r="E182" s="165"/>
      <c r="F182" s="10"/>
      <c r="G182" s="171"/>
      <c r="H182" s="10"/>
      <c r="I182" s="9"/>
      <c r="J182" s="88"/>
      <c r="M182" s="4"/>
    </row>
    <row r="183" spans="1:13" ht="14.25" customHeight="1" x14ac:dyDescent="0.2">
      <c r="B183" s="129"/>
      <c r="C183" s="72" t="s">
        <v>11</v>
      </c>
      <c r="D183" s="12"/>
      <c r="E183" s="165"/>
      <c r="F183" s="170"/>
      <c r="G183" s="171"/>
      <c r="H183" s="170"/>
      <c r="I183" s="9"/>
      <c r="J183" s="88"/>
      <c r="M183" s="4"/>
    </row>
    <row r="184" spans="1:13" x14ac:dyDescent="0.2">
      <c r="B184" s="91"/>
      <c r="C184" s="244" t="s">
        <v>12</v>
      </c>
      <c r="D184" s="245"/>
      <c r="E184" s="165"/>
      <c r="F184" s="246"/>
      <c r="G184" s="171"/>
      <c r="H184" s="246"/>
      <c r="I184" s="247"/>
      <c r="J184" s="88"/>
      <c r="M184" s="4"/>
    </row>
    <row r="185" spans="1:13" x14ac:dyDescent="0.2">
      <c r="A185" s="132"/>
      <c r="B185" s="149"/>
      <c r="C185" s="47" t="s">
        <v>68</v>
      </c>
      <c r="D185" s="6"/>
      <c r="E185" s="165"/>
      <c r="F185" s="10"/>
      <c r="G185" s="171"/>
      <c r="H185" s="10"/>
      <c r="I185" s="9"/>
      <c r="J185" s="148"/>
      <c r="M185" s="4"/>
    </row>
    <row r="186" spans="1:13" ht="25" x14ac:dyDescent="0.2">
      <c r="A186" s="132"/>
      <c r="B186" s="149"/>
      <c r="C186" s="161" t="s">
        <v>61</v>
      </c>
      <c r="D186" s="115"/>
      <c r="E186" s="182"/>
      <c r="F186" s="181"/>
      <c r="G186" s="117"/>
      <c r="H186" s="115"/>
      <c r="I186" s="9"/>
      <c r="J186" s="148"/>
      <c r="M186" s="4"/>
    </row>
    <row r="187" spans="1:13" x14ac:dyDescent="0.2">
      <c r="A187" s="132"/>
      <c r="B187" s="149"/>
      <c r="C187" s="161" t="s">
        <v>88</v>
      </c>
      <c r="D187" s="6"/>
      <c r="E187" s="103"/>
      <c r="F187" s="6"/>
      <c r="G187" s="8"/>
      <c r="H187" s="6"/>
      <c r="I187" s="9"/>
      <c r="J187" s="148"/>
      <c r="M187" s="4"/>
    </row>
    <row r="188" spans="1:13" x14ac:dyDescent="0.2">
      <c r="A188" s="132"/>
      <c r="B188" s="149"/>
      <c r="C188" s="161" t="s">
        <v>87</v>
      </c>
      <c r="D188" s="6"/>
      <c r="E188" s="103"/>
      <c r="F188" s="6"/>
      <c r="G188" s="8"/>
      <c r="H188" s="6"/>
      <c r="I188" s="9"/>
      <c r="J188" s="148"/>
      <c r="M188" s="4"/>
    </row>
    <row r="189" spans="1:13" ht="12" customHeight="1" x14ac:dyDescent="0.2">
      <c r="A189" s="132"/>
      <c r="B189" s="149"/>
      <c r="C189" s="161" t="s">
        <v>69</v>
      </c>
      <c r="D189" s="6"/>
      <c r="E189" s="103"/>
      <c r="F189" s="6"/>
      <c r="G189" s="8"/>
      <c r="H189" s="6"/>
      <c r="I189" s="9"/>
      <c r="J189" s="148"/>
      <c r="L189" s="70"/>
      <c r="M189" s="4"/>
    </row>
    <row r="190" spans="1:13" ht="12" customHeight="1" x14ac:dyDescent="0.2">
      <c r="B190" s="119"/>
      <c r="C190" s="161" t="s">
        <v>67</v>
      </c>
      <c r="D190" s="7"/>
      <c r="E190" s="158"/>
      <c r="F190" s="7"/>
      <c r="G190" s="159"/>
      <c r="H190" s="7"/>
      <c r="I190" s="9"/>
      <c r="J190" s="148"/>
      <c r="L190" s="70"/>
      <c r="M190" s="4"/>
    </row>
    <row r="191" spans="1:13" x14ac:dyDescent="0.2">
      <c r="B191" s="119"/>
      <c r="C191" s="47" t="s">
        <v>76</v>
      </c>
      <c r="D191" s="7"/>
      <c r="E191" s="196"/>
      <c r="F191" s="118"/>
      <c r="G191" s="159"/>
      <c r="H191" s="7"/>
      <c r="I191" s="9"/>
      <c r="J191" s="148"/>
      <c r="L191" s="1"/>
      <c r="M191" s="4"/>
    </row>
    <row r="192" spans="1:13" x14ac:dyDescent="0.2">
      <c r="B192" s="119"/>
      <c r="C192" s="161" t="s">
        <v>77</v>
      </c>
      <c r="D192" s="11">
        <v>2</v>
      </c>
      <c r="E192" s="171"/>
      <c r="F192" s="11"/>
      <c r="G192" s="171"/>
      <c r="H192" s="11"/>
      <c r="I192" s="9"/>
      <c r="J192" s="148"/>
      <c r="L192" s="1"/>
      <c r="M192" s="4"/>
    </row>
    <row r="193" spans="2:15" x14ac:dyDescent="0.2">
      <c r="B193" s="119"/>
      <c r="C193" s="161" t="s">
        <v>78</v>
      </c>
      <c r="D193" s="11">
        <v>2</v>
      </c>
      <c r="E193" s="171"/>
      <c r="F193" s="11"/>
      <c r="G193" s="171"/>
      <c r="H193" s="11"/>
      <c r="I193" s="9"/>
      <c r="J193" s="148"/>
      <c r="M193" s="4"/>
    </row>
    <row r="194" spans="2:15" x14ac:dyDescent="0.2">
      <c r="B194" s="119"/>
      <c r="C194" s="161" t="s">
        <v>85</v>
      </c>
      <c r="D194" s="11">
        <v>2</v>
      </c>
      <c r="E194" s="171"/>
      <c r="F194" s="11"/>
      <c r="G194" s="171"/>
      <c r="H194" s="11"/>
      <c r="I194" s="9"/>
      <c r="J194" s="148"/>
      <c r="M194" s="4"/>
    </row>
    <row r="195" spans="2:15" x14ac:dyDescent="0.2">
      <c r="B195" s="119"/>
      <c r="C195" s="161" t="s">
        <v>79</v>
      </c>
      <c r="D195" s="11">
        <v>2</v>
      </c>
      <c r="E195" s="171"/>
      <c r="F195" s="11"/>
      <c r="G195" s="171"/>
      <c r="H195" s="11"/>
      <c r="I195" s="9"/>
      <c r="J195" s="148"/>
      <c r="M195" s="4"/>
    </row>
    <row r="196" spans="2:15" x14ac:dyDescent="0.2">
      <c r="B196" s="119"/>
      <c r="C196" s="161" t="s">
        <v>80</v>
      </c>
      <c r="D196" s="11">
        <v>2</v>
      </c>
      <c r="E196" s="171"/>
      <c r="F196" s="11"/>
      <c r="G196" s="171"/>
      <c r="H196" s="11"/>
      <c r="I196" s="9"/>
      <c r="J196" s="148"/>
      <c r="M196" s="4"/>
    </row>
    <row r="197" spans="2:15" x14ac:dyDescent="0.2">
      <c r="B197" s="119"/>
      <c r="C197" s="161" t="s">
        <v>81</v>
      </c>
      <c r="D197" s="11">
        <v>2</v>
      </c>
      <c r="E197" s="171"/>
      <c r="F197" s="11"/>
      <c r="G197" s="171"/>
      <c r="H197" s="11"/>
      <c r="I197" s="9"/>
      <c r="J197" s="148"/>
      <c r="M197" s="4"/>
    </row>
    <row r="198" spans="2:15" ht="13" thickBot="1" x14ac:dyDescent="0.25">
      <c r="B198" s="228"/>
      <c r="C198" s="229"/>
      <c r="D198" s="230"/>
      <c r="E198" s="231"/>
      <c r="F198" s="232"/>
      <c r="G198" s="233"/>
      <c r="H198" s="234"/>
      <c r="I198" s="235"/>
      <c r="J198" s="236"/>
      <c r="M198" s="4"/>
    </row>
    <row r="199" spans="2:15" x14ac:dyDescent="0.2">
      <c r="B199" s="221"/>
      <c r="C199" s="221"/>
      <c r="D199" s="221"/>
      <c r="E199" s="221"/>
      <c r="F199" s="221"/>
      <c r="G199" s="221"/>
      <c r="H199" s="221"/>
      <c r="I199" s="221"/>
      <c r="J199" s="222"/>
      <c r="M199" s="4"/>
    </row>
    <row r="200" spans="2:15" x14ac:dyDescent="0.2">
      <c r="B200" s="221"/>
      <c r="C200" s="221"/>
      <c r="D200" s="221"/>
      <c r="E200" s="221"/>
      <c r="F200" s="221"/>
      <c r="G200" s="221"/>
      <c r="H200" s="223"/>
      <c r="I200" s="221"/>
      <c r="J200" s="221"/>
      <c r="M200" s="4"/>
    </row>
    <row r="201" spans="2:15" ht="13" x14ac:dyDescent="0.2">
      <c r="B201" s="221"/>
      <c r="C201" s="224"/>
      <c r="D201" s="225"/>
      <c r="E201" s="225"/>
      <c r="F201" s="225"/>
      <c r="G201" s="225"/>
      <c r="H201" s="222"/>
      <c r="I201" s="222"/>
      <c r="J201" s="226"/>
      <c r="M201" s="4"/>
    </row>
    <row r="202" spans="2:15" x14ac:dyDescent="0.2">
      <c r="B202" s="221"/>
      <c r="C202" s="276"/>
      <c r="D202" s="276"/>
      <c r="E202" s="276"/>
      <c r="F202" s="276"/>
      <c r="G202" s="276"/>
      <c r="H202" s="227"/>
      <c r="I202" s="221"/>
      <c r="J202" s="226"/>
      <c r="M202" s="4"/>
    </row>
    <row r="203" spans="2:15" x14ac:dyDescent="0.2">
      <c r="B203" s="221"/>
      <c r="C203" s="277"/>
      <c r="D203" s="277"/>
      <c r="E203" s="277"/>
      <c r="F203" s="277"/>
      <c r="G203" s="277"/>
      <c r="H203" s="274"/>
      <c r="I203" s="275"/>
      <c r="J203" s="221"/>
      <c r="M203" s="4"/>
    </row>
    <row r="204" spans="2:15" x14ac:dyDescent="0.2">
      <c r="B204" s="221"/>
      <c r="C204" s="221"/>
      <c r="D204" s="221"/>
      <c r="E204" s="221"/>
      <c r="F204" s="221"/>
      <c r="G204" s="221"/>
      <c r="H204" s="274"/>
      <c r="I204" s="275"/>
      <c r="J204" s="221"/>
      <c r="M204" s="4"/>
    </row>
    <row r="205" spans="2:15" x14ac:dyDescent="0.2">
      <c r="M205" s="4"/>
    </row>
    <row r="206" spans="2:15" x14ac:dyDescent="0.2">
      <c r="M206" s="4"/>
    </row>
    <row r="207" spans="2:15" x14ac:dyDescent="0.2">
      <c r="M207" s="4"/>
    </row>
    <row r="208" spans="2:15" x14ac:dyDescent="0.2">
      <c r="L208" s="54"/>
      <c r="M208" s="4"/>
      <c r="O208" s="40"/>
    </row>
    <row r="209" spans="12:15" ht="13.5" customHeight="1" x14ac:dyDescent="0.2">
      <c r="L209" s="39"/>
      <c r="M209" s="4"/>
      <c r="O209" s="40"/>
    </row>
    <row r="210" spans="12:15" ht="13.5" customHeight="1" x14ac:dyDescent="0.2">
      <c r="L210" s="39"/>
      <c r="M210" s="4"/>
      <c r="O210" s="40"/>
    </row>
    <row r="211" spans="12:15" ht="13.5" customHeight="1" x14ac:dyDescent="0.2">
      <c r="L211" s="39"/>
      <c r="M211" s="4"/>
      <c r="O211" s="40"/>
    </row>
    <row r="212" spans="12:15" ht="21.75" customHeight="1" x14ac:dyDescent="0.2">
      <c r="L212" s="39"/>
      <c r="M212" s="4"/>
      <c r="O212" s="40"/>
    </row>
    <row r="213" spans="12:15" ht="20.25" customHeight="1" x14ac:dyDescent="0.2">
      <c r="M213" s="4"/>
    </row>
    <row r="214" spans="12:15" ht="20.25" customHeight="1" x14ac:dyDescent="0.2">
      <c r="M214" s="4"/>
    </row>
    <row r="215" spans="12:15" ht="20.25" customHeight="1" x14ac:dyDescent="0.2">
      <c r="M215" s="4"/>
    </row>
    <row r="216" spans="12:15" ht="20.25" customHeight="1" x14ac:dyDescent="0.2">
      <c r="M216" s="4"/>
    </row>
    <row r="217" spans="12:15" ht="20" customHeight="1" x14ac:dyDescent="0.2">
      <c r="M217" s="4"/>
    </row>
    <row r="218" spans="12:15" ht="19.5" customHeight="1" x14ac:dyDescent="0.2">
      <c r="L218" s="70"/>
      <c r="M218" s="4"/>
    </row>
    <row r="219" spans="12:15" ht="12" customHeight="1" x14ac:dyDescent="0.2">
      <c r="L219" s="70"/>
      <c r="M219" s="4"/>
    </row>
    <row r="220" spans="12:15" ht="12" customHeight="1" x14ac:dyDescent="0.2">
      <c r="L220" s="70"/>
      <c r="M220" s="4"/>
    </row>
    <row r="221" spans="12:15" ht="20.25" customHeight="1" x14ac:dyDescent="0.2">
      <c r="M221" s="4"/>
    </row>
    <row r="222" spans="12:15" ht="20" customHeight="1" x14ac:dyDescent="0.2">
      <c r="M222" s="4"/>
    </row>
    <row r="223" spans="12:15" ht="20" customHeight="1" x14ac:dyDescent="0.2">
      <c r="M223" s="4"/>
    </row>
    <row r="224" spans="12:15" ht="20" customHeight="1" x14ac:dyDescent="0.2">
      <c r="M224" s="4"/>
    </row>
    <row r="225" spans="12:13" ht="20" customHeight="1" x14ac:dyDescent="0.2">
      <c r="M225" s="4"/>
    </row>
    <row r="226" spans="12:13" ht="20" customHeight="1" x14ac:dyDescent="0.2">
      <c r="M226" s="4"/>
    </row>
    <row r="227" spans="12:13" ht="20" customHeight="1" x14ac:dyDescent="0.2">
      <c r="M227" s="4"/>
    </row>
    <row r="228" spans="12:13" ht="14.25" customHeight="1" x14ac:dyDescent="0.2">
      <c r="M228" s="4"/>
    </row>
    <row r="229" spans="12:13" ht="14.25" customHeight="1" x14ac:dyDescent="0.2">
      <c r="M229" s="4"/>
    </row>
    <row r="230" spans="12:13" ht="14.25" customHeight="1" x14ac:dyDescent="0.2">
      <c r="M230" s="4"/>
    </row>
    <row r="231" spans="12:13" ht="14.25" customHeight="1" x14ac:dyDescent="0.2">
      <c r="M231" s="4"/>
    </row>
    <row r="232" spans="12:13" x14ac:dyDescent="0.2">
      <c r="M232" s="4"/>
    </row>
    <row r="233" spans="12:13" x14ac:dyDescent="0.2">
      <c r="M233" s="4"/>
    </row>
    <row r="234" spans="12:13" x14ac:dyDescent="0.2">
      <c r="M234" s="4"/>
    </row>
    <row r="235" spans="12:13" x14ac:dyDescent="0.2">
      <c r="M235" s="4"/>
    </row>
    <row r="236" spans="12:13" x14ac:dyDescent="0.2">
      <c r="M236" s="4"/>
    </row>
    <row r="237" spans="12:13" ht="12" customHeight="1" x14ac:dyDescent="0.2">
      <c r="L237" s="70"/>
      <c r="M237" s="4"/>
    </row>
    <row r="238" spans="12:13" ht="12" customHeight="1" x14ac:dyDescent="0.2">
      <c r="L238" s="70"/>
      <c r="M238" s="4"/>
    </row>
    <row r="239" spans="12:13" x14ac:dyDescent="0.2">
      <c r="L239" s="1"/>
      <c r="M239" s="4"/>
    </row>
    <row r="240" spans="12:13" x14ac:dyDescent="0.2">
      <c r="L240" s="1"/>
      <c r="M240" s="4"/>
    </row>
    <row r="241" spans="1:13" ht="9" customHeight="1" x14ac:dyDescent="0.2">
      <c r="M241" s="4"/>
    </row>
    <row r="242" spans="1:13" x14ac:dyDescent="0.25">
      <c r="A242" s="132"/>
    </row>
    <row r="243" spans="1:13" x14ac:dyDescent="0.25">
      <c r="A243" s="132"/>
    </row>
    <row r="244" spans="1:13" x14ac:dyDescent="0.25">
      <c r="A244" s="132"/>
    </row>
    <row r="247" spans="1:13" x14ac:dyDescent="0.25">
      <c r="A247" s="132"/>
    </row>
    <row r="256" spans="1:13" ht="12" customHeight="1" x14ac:dyDescent="0.2">
      <c r="M256" s="4"/>
    </row>
    <row r="257" spans="1:13" ht="12" customHeight="1" x14ac:dyDescent="0.2">
      <c r="A257" s="221"/>
      <c r="K257" s="221"/>
      <c r="M257" s="4"/>
    </row>
    <row r="258" spans="1:13" x14ac:dyDescent="0.2">
      <c r="A258" s="221"/>
      <c r="K258" s="221"/>
      <c r="M258" s="4"/>
    </row>
    <row r="259" spans="1:13" ht="28.5" customHeight="1" x14ac:dyDescent="0.2">
      <c r="A259" s="221"/>
      <c r="K259" s="221"/>
      <c r="M259" s="4"/>
    </row>
    <row r="260" spans="1:13" x14ac:dyDescent="0.2">
      <c r="A260" s="221"/>
      <c r="K260" s="221"/>
      <c r="M260" s="4"/>
    </row>
    <row r="261" spans="1:13" x14ac:dyDescent="0.2">
      <c r="A261" s="221"/>
      <c r="K261" s="221"/>
      <c r="M261" s="4"/>
    </row>
    <row r="262" spans="1:13" x14ac:dyDescent="0.2">
      <c r="A262" s="221"/>
      <c r="K262" s="221"/>
      <c r="M262" s="4"/>
    </row>
    <row r="265" spans="1:13" ht="12.75" customHeight="1" x14ac:dyDescent="0.25"/>
    <row r="266" spans="1:13" ht="19.5" customHeight="1" x14ac:dyDescent="0.25">
      <c r="K266"/>
    </row>
    <row r="267" spans="1:13" ht="25.5" customHeight="1" x14ac:dyDescent="0.25"/>
  </sheetData>
  <sheetProtection selectLockedCells="1"/>
  <protectedRanges>
    <protectedRange sqref="E5 G5" name="Range1_4_1_1_1"/>
    <protectedRange sqref="D5 F5 H5" name="Range1_4_1_1_1_1"/>
  </protectedRanges>
  <dataConsolidate/>
  <mergeCells count="8">
    <mergeCell ref="B2:B3"/>
    <mergeCell ref="C2:C3"/>
    <mergeCell ref="D2:E2"/>
    <mergeCell ref="F2:I2"/>
    <mergeCell ref="H204:I204"/>
    <mergeCell ref="C202:G202"/>
    <mergeCell ref="C203:G203"/>
    <mergeCell ref="H203:I203"/>
  </mergeCells>
  <phoneticPr fontId="0" type="noConversion"/>
  <dataValidations disablePrompts="1" count="1">
    <dataValidation type="list" allowBlank="1" showInputMessage="1" showErrorMessage="1" sqref="D27 D62 D97 D132 D167" xr:uid="{29258D04-B13D-4FAA-A7FE-DC56AA8C4EC9}">
      <formula1>"Yield Class,Average height and age"</formula1>
    </dataValidation>
  </dataValidation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765990" r:id="rId4" name="Drop Down 38">
              <controlPr defaultSize="0" autoLine="0" autoPict="0">
                <anchor moveWithCells="1">
                  <from>
                    <xdr:col>3</xdr:col>
                    <xdr:colOff>393700</xdr:colOff>
                    <xdr:row>25</xdr:row>
                    <xdr:rowOff>0</xdr:rowOff>
                  </from>
                  <to>
                    <xdr:col>3</xdr:col>
                    <xdr:colOff>1085850</xdr:colOff>
                    <xdr:row>25</xdr:row>
                    <xdr:rowOff>152400</xdr:rowOff>
                  </to>
                </anchor>
              </controlPr>
            </control>
          </mc:Choice>
        </mc:AlternateContent>
        <mc:AlternateContent xmlns:mc="http://schemas.openxmlformats.org/markup-compatibility/2006">
          <mc:Choice Requires="x14">
            <control shapeId="766962" r:id="rId5" name="Drop Down 1010">
              <controlPr defaultSize="0" autoLine="0" autoPict="0">
                <anchor moveWithCells="1">
                  <from>
                    <xdr:col>5</xdr:col>
                    <xdr:colOff>393700</xdr:colOff>
                    <xdr:row>25</xdr:row>
                    <xdr:rowOff>0</xdr:rowOff>
                  </from>
                  <to>
                    <xdr:col>5</xdr:col>
                    <xdr:colOff>1085850</xdr:colOff>
                    <xdr:row>25</xdr:row>
                    <xdr:rowOff>152400</xdr:rowOff>
                  </to>
                </anchor>
              </controlPr>
            </control>
          </mc:Choice>
        </mc:AlternateContent>
        <mc:AlternateContent xmlns:mc="http://schemas.openxmlformats.org/markup-compatibility/2006">
          <mc:Choice Requires="x14">
            <control shapeId="766963" r:id="rId6" name="Drop Down 1011">
              <controlPr defaultSize="0" autoLine="0" autoPict="0">
                <anchor moveWithCells="1">
                  <from>
                    <xdr:col>7</xdr:col>
                    <xdr:colOff>393700</xdr:colOff>
                    <xdr:row>25</xdr:row>
                    <xdr:rowOff>0</xdr:rowOff>
                  </from>
                  <to>
                    <xdr:col>7</xdr:col>
                    <xdr:colOff>1085850</xdr:colOff>
                    <xdr:row>25</xdr:row>
                    <xdr:rowOff>152400</xdr:rowOff>
                  </to>
                </anchor>
              </controlPr>
            </control>
          </mc:Choice>
        </mc:AlternateContent>
        <mc:AlternateContent xmlns:mc="http://schemas.openxmlformats.org/markup-compatibility/2006">
          <mc:Choice Requires="x14">
            <control shapeId="2606487" r:id="rId7" name="Drop Down 3479">
              <controlPr defaultSize="0" autoLine="0" autoPict="0">
                <anchor moveWithCells="1">
                  <from>
                    <xdr:col>3</xdr:col>
                    <xdr:colOff>393700</xdr:colOff>
                    <xdr:row>60</xdr:row>
                    <xdr:rowOff>0</xdr:rowOff>
                  </from>
                  <to>
                    <xdr:col>3</xdr:col>
                    <xdr:colOff>1085850</xdr:colOff>
                    <xdr:row>60</xdr:row>
                    <xdr:rowOff>152400</xdr:rowOff>
                  </to>
                </anchor>
              </controlPr>
            </control>
          </mc:Choice>
        </mc:AlternateContent>
        <mc:AlternateContent xmlns:mc="http://schemas.openxmlformats.org/markup-compatibility/2006">
          <mc:Choice Requires="x14">
            <control shapeId="2606492" r:id="rId8" name="Drop Down 3484">
              <controlPr defaultSize="0" autoLine="0" autoPict="0">
                <anchor moveWithCells="1">
                  <from>
                    <xdr:col>5</xdr:col>
                    <xdr:colOff>393700</xdr:colOff>
                    <xdr:row>60</xdr:row>
                    <xdr:rowOff>0</xdr:rowOff>
                  </from>
                  <to>
                    <xdr:col>5</xdr:col>
                    <xdr:colOff>1085850</xdr:colOff>
                    <xdr:row>60</xdr:row>
                    <xdr:rowOff>152400</xdr:rowOff>
                  </to>
                </anchor>
              </controlPr>
            </control>
          </mc:Choice>
        </mc:AlternateContent>
        <mc:AlternateContent xmlns:mc="http://schemas.openxmlformats.org/markup-compatibility/2006">
          <mc:Choice Requires="x14">
            <control shapeId="2606493" r:id="rId9" name="Drop Down 3485">
              <controlPr defaultSize="0" autoLine="0" autoPict="0">
                <anchor moveWithCells="1">
                  <from>
                    <xdr:col>7</xdr:col>
                    <xdr:colOff>393700</xdr:colOff>
                    <xdr:row>60</xdr:row>
                    <xdr:rowOff>0</xdr:rowOff>
                  </from>
                  <to>
                    <xdr:col>7</xdr:col>
                    <xdr:colOff>1085850</xdr:colOff>
                    <xdr:row>60</xdr:row>
                    <xdr:rowOff>152400</xdr:rowOff>
                  </to>
                </anchor>
              </controlPr>
            </control>
          </mc:Choice>
        </mc:AlternateContent>
        <mc:AlternateContent xmlns:mc="http://schemas.openxmlformats.org/markup-compatibility/2006">
          <mc:Choice Requires="x14">
            <control shapeId="2606499" r:id="rId10" name="Drop Down 3491">
              <controlPr defaultSize="0" autoLine="0" autoPict="0">
                <anchor moveWithCells="1">
                  <from>
                    <xdr:col>3</xdr:col>
                    <xdr:colOff>393700</xdr:colOff>
                    <xdr:row>95</xdr:row>
                    <xdr:rowOff>0</xdr:rowOff>
                  </from>
                  <to>
                    <xdr:col>3</xdr:col>
                    <xdr:colOff>1085850</xdr:colOff>
                    <xdr:row>95</xdr:row>
                    <xdr:rowOff>152400</xdr:rowOff>
                  </to>
                </anchor>
              </controlPr>
            </control>
          </mc:Choice>
        </mc:AlternateContent>
        <mc:AlternateContent xmlns:mc="http://schemas.openxmlformats.org/markup-compatibility/2006">
          <mc:Choice Requires="x14">
            <control shapeId="2606504" r:id="rId11" name="Drop Down 3496">
              <controlPr defaultSize="0" autoLine="0" autoPict="0">
                <anchor moveWithCells="1">
                  <from>
                    <xdr:col>5</xdr:col>
                    <xdr:colOff>393700</xdr:colOff>
                    <xdr:row>95</xdr:row>
                    <xdr:rowOff>0</xdr:rowOff>
                  </from>
                  <to>
                    <xdr:col>5</xdr:col>
                    <xdr:colOff>1085850</xdr:colOff>
                    <xdr:row>95</xdr:row>
                    <xdr:rowOff>152400</xdr:rowOff>
                  </to>
                </anchor>
              </controlPr>
            </control>
          </mc:Choice>
        </mc:AlternateContent>
        <mc:AlternateContent xmlns:mc="http://schemas.openxmlformats.org/markup-compatibility/2006">
          <mc:Choice Requires="x14">
            <control shapeId="2606505" r:id="rId12" name="Drop Down 3497">
              <controlPr defaultSize="0" autoLine="0" autoPict="0">
                <anchor moveWithCells="1">
                  <from>
                    <xdr:col>7</xdr:col>
                    <xdr:colOff>393700</xdr:colOff>
                    <xdr:row>95</xdr:row>
                    <xdr:rowOff>0</xdr:rowOff>
                  </from>
                  <to>
                    <xdr:col>7</xdr:col>
                    <xdr:colOff>1085850</xdr:colOff>
                    <xdr:row>95</xdr:row>
                    <xdr:rowOff>152400</xdr:rowOff>
                  </to>
                </anchor>
              </controlPr>
            </control>
          </mc:Choice>
        </mc:AlternateContent>
        <mc:AlternateContent xmlns:mc="http://schemas.openxmlformats.org/markup-compatibility/2006">
          <mc:Choice Requires="x14">
            <control shapeId="2606511" r:id="rId13" name="Drop Down 3503">
              <controlPr defaultSize="0" autoLine="0" autoPict="0">
                <anchor moveWithCells="1">
                  <from>
                    <xdr:col>3</xdr:col>
                    <xdr:colOff>393700</xdr:colOff>
                    <xdr:row>95</xdr:row>
                    <xdr:rowOff>0</xdr:rowOff>
                  </from>
                  <to>
                    <xdr:col>3</xdr:col>
                    <xdr:colOff>1085850</xdr:colOff>
                    <xdr:row>95</xdr:row>
                    <xdr:rowOff>152400</xdr:rowOff>
                  </to>
                </anchor>
              </controlPr>
            </control>
          </mc:Choice>
        </mc:AlternateContent>
        <mc:AlternateContent xmlns:mc="http://schemas.openxmlformats.org/markup-compatibility/2006">
          <mc:Choice Requires="x14">
            <control shapeId="2606516" r:id="rId14" name="Drop Down 3508">
              <controlPr defaultSize="0" autoLine="0" autoPict="0">
                <anchor moveWithCells="1">
                  <from>
                    <xdr:col>5</xdr:col>
                    <xdr:colOff>393700</xdr:colOff>
                    <xdr:row>95</xdr:row>
                    <xdr:rowOff>0</xdr:rowOff>
                  </from>
                  <to>
                    <xdr:col>5</xdr:col>
                    <xdr:colOff>1085850</xdr:colOff>
                    <xdr:row>95</xdr:row>
                    <xdr:rowOff>152400</xdr:rowOff>
                  </to>
                </anchor>
              </controlPr>
            </control>
          </mc:Choice>
        </mc:AlternateContent>
        <mc:AlternateContent xmlns:mc="http://schemas.openxmlformats.org/markup-compatibility/2006">
          <mc:Choice Requires="x14">
            <control shapeId="2606517" r:id="rId15" name="Drop Down 3509">
              <controlPr defaultSize="0" autoLine="0" autoPict="0">
                <anchor moveWithCells="1">
                  <from>
                    <xdr:col>7</xdr:col>
                    <xdr:colOff>393700</xdr:colOff>
                    <xdr:row>95</xdr:row>
                    <xdr:rowOff>0</xdr:rowOff>
                  </from>
                  <to>
                    <xdr:col>7</xdr:col>
                    <xdr:colOff>1085850</xdr:colOff>
                    <xdr:row>95</xdr:row>
                    <xdr:rowOff>152400</xdr:rowOff>
                  </to>
                </anchor>
              </controlPr>
            </control>
          </mc:Choice>
        </mc:AlternateContent>
        <mc:AlternateContent xmlns:mc="http://schemas.openxmlformats.org/markup-compatibility/2006">
          <mc:Choice Requires="x14">
            <control shapeId="2606523" r:id="rId16" name="Drop Down 3515">
              <controlPr defaultSize="0" autoLine="0" autoPict="0">
                <anchor moveWithCells="1">
                  <from>
                    <xdr:col>3</xdr:col>
                    <xdr:colOff>393700</xdr:colOff>
                    <xdr:row>130</xdr:row>
                    <xdr:rowOff>0</xdr:rowOff>
                  </from>
                  <to>
                    <xdr:col>3</xdr:col>
                    <xdr:colOff>1085850</xdr:colOff>
                    <xdr:row>130</xdr:row>
                    <xdr:rowOff>152400</xdr:rowOff>
                  </to>
                </anchor>
              </controlPr>
            </control>
          </mc:Choice>
        </mc:AlternateContent>
        <mc:AlternateContent xmlns:mc="http://schemas.openxmlformats.org/markup-compatibility/2006">
          <mc:Choice Requires="x14">
            <control shapeId="2606528" r:id="rId17" name="Drop Down 3520">
              <controlPr defaultSize="0" autoLine="0" autoPict="0">
                <anchor moveWithCells="1">
                  <from>
                    <xdr:col>5</xdr:col>
                    <xdr:colOff>393700</xdr:colOff>
                    <xdr:row>130</xdr:row>
                    <xdr:rowOff>0</xdr:rowOff>
                  </from>
                  <to>
                    <xdr:col>5</xdr:col>
                    <xdr:colOff>1085850</xdr:colOff>
                    <xdr:row>130</xdr:row>
                    <xdr:rowOff>152400</xdr:rowOff>
                  </to>
                </anchor>
              </controlPr>
            </control>
          </mc:Choice>
        </mc:AlternateContent>
        <mc:AlternateContent xmlns:mc="http://schemas.openxmlformats.org/markup-compatibility/2006">
          <mc:Choice Requires="x14">
            <control shapeId="2606529" r:id="rId18" name="Drop Down 3521">
              <controlPr defaultSize="0" autoLine="0" autoPict="0">
                <anchor moveWithCells="1">
                  <from>
                    <xdr:col>7</xdr:col>
                    <xdr:colOff>393700</xdr:colOff>
                    <xdr:row>130</xdr:row>
                    <xdr:rowOff>0</xdr:rowOff>
                  </from>
                  <to>
                    <xdr:col>7</xdr:col>
                    <xdr:colOff>1085850</xdr:colOff>
                    <xdr:row>130</xdr:row>
                    <xdr:rowOff>152400</xdr:rowOff>
                  </to>
                </anchor>
              </controlPr>
            </control>
          </mc:Choice>
        </mc:AlternateContent>
        <mc:AlternateContent xmlns:mc="http://schemas.openxmlformats.org/markup-compatibility/2006">
          <mc:Choice Requires="x14">
            <control shapeId="2606535" r:id="rId19" name="Drop Down 3527">
              <controlPr defaultSize="0" autoLine="0" autoPict="0">
                <anchor moveWithCells="1">
                  <from>
                    <xdr:col>3</xdr:col>
                    <xdr:colOff>393700</xdr:colOff>
                    <xdr:row>130</xdr:row>
                    <xdr:rowOff>0</xdr:rowOff>
                  </from>
                  <to>
                    <xdr:col>3</xdr:col>
                    <xdr:colOff>1085850</xdr:colOff>
                    <xdr:row>130</xdr:row>
                    <xdr:rowOff>152400</xdr:rowOff>
                  </to>
                </anchor>
              </controlPr>
            </control>
          </mc:Choice>
        </mc:AlternateContent>
        <mc:AlternateContent xmlns:mc="http://schemas.openxmlformats.org/markup-compatibility/2006">
          <mc:Choice Requires="x14">
            <control shapeId="2606540" r:id="rId20" name="Drop Down 3532">
              <controlPr defaultSize="0" autoLine="0" autoPict="0">
                <anchor moveWithCells="1">
                  <from>
                    <xdr:col>5</xdr:col>
                    <xdr:colOff>393700</xdr:colOff>
                    <xdr:row>130</xdr:row>
                    <xdr:rowOff>0</xdr:rowOff>
                  </from>
                  <to>
                    <xdr:col>5</xdr:col>
                    <xdr:colOff>1085850</xdr:colOff>
                    <xdr:row>130</xdr:row>
                    <xdr:rowOff>152400</xdr:rowOff>
                  </to>
                </anchor>
              </controlPr>
            </control>
          </mc:Choice>
        </mc:AlternateContent>
        <mc:AlternateContent xmlns:mc="http://schemas.openxmlformats.org/markup-compatibility/2006">
          <mc:Choice Requires="x14">
            <control shapeId="2606541" r:id="rId21" name="Drop Down 3533">
              <controlPr defaultSize="0" autoLine="0" autoPict="0">
                <anchor moveWithCells="1">
                  <from>
                    <xdr:col>7</xdr:col>
                    <xdr:colOff>393700</xdr:colOff>
                    <xdr:row>130</xdr:row>
                    <xdr:rowOff>0</xdr:rowOff>
                  </from>
                  <to>
                    <xdr:col>7</xdr:col>
                    <xdr:colOff>1085850</xdr:colOff>
                    <xdr:row>130</xdr:row>
                    <xdr:rowOff>152400</xdr:rowOff>
                  </to>
                </anchor>
              </controlPr>
            </control>
          </mc:Choice>
        </mc:AlternateContent>
        <mc:AlternateContent xmlns:mc="http://schemas.openxmlformats.org/markup-compatibility/2006">
          <mc:Choice Requires="x14">
            <control shapeId="2606547" r:id="rId22" name="Drop Down 3539">
              <controlPr defaultSize="0" autoLine="0" autoPict="0">
                <anchor moveWithCells="1">
                  <from>
                    <xdr:col>3</xdr:col>
                    <xdr:colOff>393700</xdr:colOff>
                    <xdr:row>165</xdr:row>
                    <xdr:rowOff>0</xdr:rowOff>
                  </from>
                  <to>
                    <xdr:col>3</xdr:col>
                    <xdr:colOff>1085850</xdr:colOff>
                    <xdr:row>165</xdr:row>
                    <xdr:rowOff>152400</xdr:rowOff>
                  </to>
                </anchor>
              </controlPr>
            </control>
          </mc:Choice>
        </mc:AlternateContent>
        <mc:AlternateContent xmlns:mc="http://schemas.openxmlformats.org/markup-compatibility/2006">
          <mc:Choice Requires="x14">
            <control shapeId="2606552" r:id="rId23" name="Drop Down 3544">
              <controlPr defaultSize="0" autoLine="0" autoPict="0">
                <anchor moveWithCells="1">
                  <from>
                    <xdr:col>5</xdr:col>
                    <xdr:colOff>393700</xdr:colOff>
                    <xdr:row>165</xdr:row>
                    <xdr:rowOff>0</xdr:rowOff>
                  </from>
                  <to>
                    <xdr:col>5</xdr:col>
                    <xdr:colOff>1085850</xdr:colOff>
                    <xdr:row>165</xdr:row>
                    <xdr:rowOff>152400</xdr:rowOff>
                  </to>
                </anchor>
              </controlPr>
            </control>
          </mc:Choice>
        </mc:AlternateContent>
        <mc:AlternateContent xmlns:mc="http://schemas.openxmlformats.org/markup-compatibility/2006">
          <mc:Choice Requires="x14">
            <control shapeId="2606553" r:id="rId24" name="Drop Down 3545">
              <controlPr defaultSize="0" autoLine="0" autoPict="0">
                <anchor moveWithCells="1">
                  <from>
                    <xdr:col>7</xdr:col>
                    <xdr:colOff>393700</xdr:colOff>
                    <xdr:row>165</xdr:row>
                    <xdr:rowOff>0</xdr:rowOff>
                  </from>
                  <to>
                    <xdr:col>7</xdr:col>
                    <xdr:colOff>1085850</xdr:colOff>
                    <xdr:row>165</xdr:row>
                    <xdr:rowOff>152400</xdr:rowOff>
                  </to>
                </anchor>
              </controlPr>
            </control>
          </mc:Choice>
        </mc:AlternateContent>
        <mc:AlternateContent xmlns:mc="http://schemas.openxmlformats.org/markup-compatibility/2006">
          <mc:Choice Requires="x14">
            <control shapeId="2606559" r:id="rId25" name="Drop Down 3551">
              <controlPr defaultSize="0" autoLine="0" autoPict="0">
                <anchor moveWithCells="1">
                  <from>
                    <xdr:col>3</xdr:col>
                    <xdr:colOff>393700</xdr:colOff>
                    <xdr:row>165</xdr:row>
                    <xdr:rowOff>0</xdr:rowOff>
                  </from>
                  <to>
                    <xdr:col>3</xdr:col>
                    <xdr:colOff>1085850</xdr:colOff>
                    <xdr:row>165</xdr:row>
                    <xdr:rowOff>152400</xdr:rowOff>
                  </to>
                </anchor>
              </controlPr>
            </control>
          </mc:Choice>
        </mc:AlternateContent>
        <mc:AlternateContent xmlns:mc="http://schemas.openxmlformats.org/markup-compatibility/2006">
          <mc:Choice Requires="x14">
            <control shapeId="2606564" r:id="rId26" name="Drop Down 3556">
              <controlPr defaultSize="0" autoLine="0" autoPict="0">
                <anchor moveWithCells="1">
                  <from>
                    <xdr:col>5</xdr:col>
                    <xdr:colOff>393700</xdr:colOff>
                    <xdr:row>165</xdr:row>
                    <xdr:rowOff>0</xdr:rowOff>
                  </from>
                  <to>
                    <xdr:col>5</xdr:col>
                    <xdr:colOff>1085850</xdr:colOff>
                    <xdr:row>165</xdr:row>
                    <xdr:rowOff>152400</xdr:rowOff>
                  </to>
                </anchor>
              </controlPr>
            </control>
          </mc:Choice>
        </mc:AlternateContent>
        <mc:AlternateContent xmlns:mc="http://schemas.openxmlformats.org/markup-compatibility/2006">
          <mc:Choice Requires="x14">
            <control shapeId="2606565" r:id="rId27" name="Drop Down 3557">
              <controlPr defaultSize="0" autoLine="0" autoPict="0">
                <anchor moveWithCells="1">
                  <from>
                    <xdr:col>7</xdr:col>
                    <xdr:colOff>393700</xdr:colOff>
                    <xdr:row>165</xdr:row>
                    <xdr:rowOff>0</xdr:rowOff>
                  </from>
                  <to>
                    <xdr:col>7</xdr:col>
                    <xdr:colOff>1085850</xdr:colOff>
                    <xdr:row>165</xdr:row>
                    <xdr:rowOff>152400</xdr:rowOff>
                  </to>
                </anchor>
              </controlPr>
            </control>
          </mc:Choice>
        </mc:AlternateContent>
        <mc:AlternateContent xmlns:mc="http://schemas.openxmlformats.org/markup-compatibility/2006">
          <mc:Choice Requires="x14">
            <control shapeId="2606587" r:id="rId28" name="Drop Down 3579">
              <controlPr defaultSize="0" autoLine="0" autoPict="0">
                <anchor moveWithCells="1">
                  <from>
                    <xdr:col>3</xdr:col>
                    <xdr:colOff>400050</xdr:colOff>
                    <xdr:row>30</xdr:row>
                    <xdr:rowOff>0</xdr:rowOff>
                  </from>
                  <to>
                    <xdr:col>3</xdr:col>
                    <xdr:colOff>1085850</xdr:colOff>
                    <xdr:row>30</xdr:row>
                    <xdr:rowOff>152400</xdr:rowOff>
                  </to>
                </anchor>
              </controlPr>
            </control>
          </mc:Choice>
        </mc:AlternateContent>
        <mc:AlternateContent xmlns:mc="http://schemas.openxmlformats.org/markup-compatibility/2006">
          <mc:Choice Requires="x14">
            <control shapeId="2606588" r:id="rId29" name="Drop Down 3580">
              <controlPr defaultSize="0" autoLine="0" autoPict="0">
                <anchor moveWithCells="1">
                  <from>
                    <xdr:col>3</xdr:col>
                    <xdr:colOff>400050</xdr:colOff>
                    <xdr:row>30</xdr:row>
                    <xdr:rowOff>0</xdr:rowOff>
                  </from>
                  <to>
                    <xdr:col>3</xdr:col>
                    <xdr:colOff>1085850</xdr:colOff>
                    <xdr:row>30</xdr:row>
                    <xdr:rowOff>152400</xdr:rowOff>
                  </to>
                </anchor>
              </controlPr>
            </control>
          </mc:Choice>
        </mc:AlternateContent>
        <mc:AlternateContent xmlns:mc="http://schemas.openxmlformats.org/markup-compatibility/2006">
          <mc:Choice Requires="x14">
            <control shapeId="2606593" r:id="rId30" name="Drop Down 3585">
              <controlPr defaultSize="0" autoLine="0" autoPict="0">
                <anchor moveWithCells="1">
                  <from>
                    <xdr:col>5</xdr:col>
                    <xdr:colOff>393700</xdr:colOff>
                    <xdr:row>30</xdr:row>
                    <xdr:rowOff>12700</xdr:rowOff>
                  </from>
                  <to>
                    <xdr:col>5</xdr:col>
                    <xdr:colOff>1085850</xdr:colOff>
                    <xdr:row>31</xdr:row>
                    <xdr:rowOff>0</xdr:rowOff>
                  </to>
                </anchor>
              </controlPr>
            </control>
          </mc:Choice>
        </mc:AlternateContent>
        <mc:AlternateContent xmlns:mc="http://schemas.openxmlformats.org/markup-compatibility/2006">
          <mc:Choice Requires="x14">
            <control shapeId="2606594" r:id="rId31" name="Drop Down 3586">
              <controlPr defaultSize="0" autoLine="0" autoPict="0">
                <anchor moveWithCells="1">
                  <from>
                    <xdr:col>7</xdr:col>
                    <xdr:colOff>393700</xdr:colOff>
                    <xdr:row>30</xdr:row>
                    <xdr:rowOff>12700</xdr:rowOff>
                  </from>
                  <to>
                    <xdr:col>7</xdr:col>
                    <xdr:colOff>1085850</xdr:colOff>
                    <xdr:row>31</xdr:row>
                    <xdr:rowOff>0</xdr:rowOff>
                  </to>
                </anchor>
              </controlPr>
            </control>
          </mc:Choice>
        </mc:AlternateContent>
        <mc:AlternateContent xmlns:mc="http://schemas.openxmlformats.org/markup-compatibility/2006">
          <mc:Choice Requires="x14">
            <control shapeId="2606596" r:id="rId32" name="Drop Down 3588">
              <controlPr defaultSize="0" autoLine="0" autoPict="0">
                <anchor moveWithCells="1">
                  <from>
                    <xdr:col>3</xdr:col>
                    <xdr:colOff>400050</xdr:colOff>
                    <xdr:row>65</xdr:row>
                    <xdr:rowOff>0</xdr:rowOff>
                  </from>
                  <to>
                    <xdr:col>3</xdr:col>
                    <xdr:colOff>1085850</xdr:colOff>
                    <xdr:row>65</xdr:row>
                    <xdr:rowOff>152400</xdr:rowOff>
                  </to>
                </anchor>
              </controlPr>
            </control>
          </mc:Choice>
        </mc:AlternateContent>
        <mc:AlternateContent xmlns:mc="http://schemas.openxmlformats.org/markup-compatibility/2006">
          <mc:Choice Requires="x14">
            <control shapeId="2606597" r:id="rId33" name="Drop Down 3589">
              <controlPr defaultSize="0" autoLine="0" autoPict="0">
                <anchor moveWithCells="1">
                  <from>
                    <xdr:col>3</xdr:col>
                    <xdr:colOff>400050</xdr:colOff>
                    <xdr:row>65</xdr:row>
                    <xdr:rowOff>0</xdr:rowOff>
                  </from>
                  <to>
                    <xdr:col>3</xdr:col>
                    <xdr:colOff>1085850</xdr:colOff>
                    <xdr:row>65</xdr:row>
                    <xdr:rowOff>152400</xdr:rowOff>
                  </to>
                </anchor>
              </controlPr>
            </control>
          </mc:Choice>
        </mc:AlternateContent>
        <mc:AlternateContent xmlns:mc="http://schemas.openxmlformats.org/markup-compatibility/2006">
          <mc:Choice Requires="x14">
            <control shapeId="2606598" r:id="rId34" name="Drop Down 3590">
              <controlPr defaultSize="0" autoLine="0" autoPict="0">
                <anchor moveWithCells="1">
                  <from>
                    <xdr:col>5</xdr:col>
                    <xdr:colOff>387350</xdr:colOff>
                    <xdr:row>65</xdr:row>
                    <xdr:rowOff>12700</xdr:rowOff>
                  </from>
                  <to>
                    <xdr:col>5</xdr:col>
                    <xdr:colOff>1085850</xdr:colOff>
                    <xdr:row>66</xdr:row>
                    <xdr:rowOff>88900</xdr:rowOff>
                  </to>
                </anchor>
              </controlPr>
            </control>
          </mc:Choice>
        </mc:AlternateContent>
        <mc:AlternateContent xmlns:mc="http://schemas.openxmlformats.org/markup-compatibility/2006">
          <mc:Choice Requires="x14">
            <control shapeId="2606599" r:id="rId35" name="Drop Down 3591">
              <controlPr defaultSize="0" autoLine="0" autoPict="0">
                <anchor moveWithCells="1">
                  <from>
                    <xdr:col>7</xdr:col>
                    <xdr:colOff>393700</xdr:colOff>
                    <xdr:row>65</xdr:row>
                    <xdr:rowOff>12700</xdr:rowOff>
                  </from>
                  <to>
                    <xdr:col>7</xdr:col>
                    <xdr:colOff>1085850</xdr:colOff>
                    <xdr:row>66</xdr:row>
                    <xdr:rowOff>88900</xdr:rowOff>
                  </to>
                </anchor>
              </controlPr>
            </control>
          </mc:Choice>
        </mc:AlternateContent>
        <mc:AlternateContent xmlns:mc="http://schemas.openxmlformats.org/markup-compatibility/2006">
          <mc:Choice Requires="x14">
            <control shapeId="2606601" r:id="rId36" name="Drop Down 3593">
              <controlPr defaultSize="0" autoLine="0" autoPict="0">
                <anchor moveWithCells="1">
                  <from>
                    <xdr:col>3</xdr:col>
                    <xdr:colOff>400050</xdr:colOff>
                    <xdr:row>100</xdr:row>
                    <xdr:rowOff>0</xdr:rowOff>
                  </from>
                  <to>
                    <xdr:col>3</xdr:col>
                    <xdr:colOff>1085850</xdr:colOff>
                    <xdr:row>101</xdr:row>
                    <xdr:rowOff>107950</xdr:rowOff>
                  </to>
                </anchor>
              </controlPr>
            </control>
          </mc:Choice>
        </mc:AlternateContent>
        <mc:AlternateContent xmlns:mc="http://schemas.openxmlformats.org/markup-compatibility/2006">
          <mc:Choice Requires="x14">
            <control shapeId="2606602" r:id="rId37" name="Drop Down 3594">
              <controlPr defaultSize="0" autoLine="0" autoPict="0">
                <anchor moveWithCells="1">
                  <from>
                    <xdr:col>3</xdr:col>
                    <xdr:colOff>400050</xdr:colOff>
                    <xdr:row>100</xdr:row>
                    <xdr:rowOff>0</xdr:rowOff>
                  </from>
                  <to>
                    <xdr:col>3</xdr:col>
                    <xdr:colOff>1085850</xdr:colOff>
                    <xdr:row>101</xdr:row>
                    <xdr:rowOff>107950</xdr:rowOff>
                  </to>
                </anchor>
              </controlPr>
            </control>
          </mc:Choice>
        </mc:AlternateContent>
        <mc:AlternateContent xmlns:mc="http://schemas.openxmlformats.org/markup-compatibility/2006">
          <mc:Choice Requires="x14">
            <control shapeId="2606603" r:id="rId38" name="Drop Down 3595">
              <controlPr defaultSize="0" autoLine="0" autoPict="0">
                <anchor moveWithCells="1">
                  <from>
                    <xdr:col>5</xdr:col>
                    <xdr:colOff>387350</xdr:colOff>
                    <xdr:row>100</xdr:row>
                    <xdr:rowOff>12700</xdr:rowOff>
                  </from>
                  <to>
                    <xdr:col>5</xdr:col>
                    <xdr:colOff>1085850</xdr:colOff>
                    <xdr:row>101</xdr:row>
                    <xdr:rowOff>107950</xdr:rowOff>
                  </to>
                </anchor>
              </controlPr>
            </control>
          </mc:Choice>
        </mc:AlternateContent>
        <mc:AlternateContent xmlns:mc="http://schemas.openxmlformats.org/markup-compatibility/2006">
          <mc:Choice Requires="x14">
            <control shapeId="2606604" r:id="rId39" name="Drop Down 3596">
              <controlPr defaultSize="0" autoLine="0" autoPict="0">
                <anchor moveWithCells="1">
                  <from>
                    <xdr:col>7</xdr:col>
                    <xdr:colOff>393700</xdr:colOff>
                    <xdr:row>100</xdr:row>
                    <xdr:rowOff>12700</xdr:rowOff>
                  </from>
                  <to>
                    <xdr:col>7</xdr:col>
                    <xdr:colOff>1085850</xdr:colOff>
                    <xdr:row>101</xdr:row>
                    <xdr:rowOff>107950</xdr:rowOff>
                  </to>
                </anchor>
              </controlPr>
            </control>
          </mc:Choice>
        </mc:AlternateContent>
        <mc:AlternateContent xmlns:mc="http://schemas.openxmlformats.org/markup-compatibility/2006">
          <mc:Choice Requires="x14">
            <control shapeId="2606605" r:id="rId40" name="Drop Down 3597">
              <controlPr defaultSize="0" autoLine="0" autoPict="0">
                <anchor moveWithCells="1">
                  <from>
                    <xdr:col>3</xdr:col>
                    <xdr:colOff>400050</xdr:colOff>
                    <xdr:row>135</xdr:row>
                    <xdr:rowOff>0</xdr:rowOff>
                  </from>
                  <to>
                    <xdr:col>3</xdr:col>
                    <xdr:colOff>1085850</xdr:colOff>
                    <xdr:row>136</xdr:row>
                    <xdr:rowOff>107950</xdr:rowOff>
                  </to>
                </anchor>
              </controlPr>
            </control>
          </mc:Choice>
        </mc:AlternateContent>
        <mc:AlternateContent xmlns:mc="http://schemas.openxmlformats.org/markup-compatibility/2006">
          <mc:Choice Requires="x14">
            <control shapeId="2606606" r:id="rId41" name="Drop Down 3598">
              <controlPr defaultSize="0" autoLine="0" autoPict="0">
                <anchor moveWithCells="1">
                  <from>
                    <xdr:col>3</xdr:col>
                    <xdr:colOff>400050</xdr:colOff>
                    <xdr:row>135</xdr:row>
                    <xdr:rowOff>0</xdr:rowOff>
                  </from>
                  <to>
                    <xdr:col>3</xdr:col>
                    <xdr:colOff>1085850</xdr:colOff>
                    <xdr:row>136</xdr:row>
                    <xdr:rowOff>107950</xdr:rowOff>
                  </to>
                </anchor>
              </controlPr>
            </control>
          </mc:Choice>
        </mc:AlternateContent>
        <mc:AlternateContent xmlns:mc="http://schemas.openxmlformats.org/markup-compatibility/2006">
          <mc:Choice Requires="x14">
            <control shapeId="2606607" r:id="rId42" name="Drop Down 3599">
              <controlPr defaultSize="0" autoLine="0" autoPict="0">
                <anchor moveWithCells="1">
                  <from>
                    <xdr:col>5</xdr:col>
                    <xdr:colOff>387350</xdr:colOff>
                    <xdr:row>135</xdr:row>
                    <xdr:rowOff>12700</xdr:rowOff>
                  </from>
                  <to>
                    <xdr:col>5</xdr:col>
                    <xdr:colOff>1085850</xdr:colOff>
                    <xdr:row>136</xdr:row>
                    <xdr:rowOff>107950</xdr:rowOff>
                  </to>
                </anchor>
              </controlPr>
            </control>
          </mc:Choice>
        </mc:AlternateContent>
        <mc:AlternateContent xmlns:mc="http://schemas.openxmlformats.org/markup-compatibility/2006">
          <mc:Choice Requires="x14">
            <control shapeId="2606608" r:id="rId43" name="Drop Down 3600">
              <controlPr defaultSize="0" autoLine="0" autoPict="0">
                <anchor moveWithCells="1">
                  <from>
                    <xdr:col>7</xdr:col>
                    <xdr:colOff>393700</xdr:colOff>
                    <xdr:row>135</xdr:row>
                    <xdr:rowOff>12700</xdr:rowOff>
                  </from>
                  <to>
                    <xdr:col>7</xdr:col>
                    <xdr:colOff>1085850</xdr:colOff>
                    <xdr:row>136</xdr:row>
                    <xdr:rowOff>107950</xdr:rowOff>
                  </to>
                </anchor>
              </controlPr>
            </control>
          </mc:Choice>
        </mc:AlternateContent>
        <mc:AlternateContent xmlns:mc="http://schemas.openxmlformats.org/markup-compatibility/2006">
          <mc:Choice Requires="x14">
            <control shapeId="2606609" r:id="rId44" name="Drop Down 3601">
              <controlPr defaultSize="0" autoLine="0" autoPict="0">
                <anchor moveWithCells="1">
                  <from>
                    <xdr:col>3</xdr:col>
                    <xdr:colOff>400050</xdr:colOff>
                    <xdr:row>170</xdr:row>
                    <xdr:rowOff>0</xdr:rowOff>
                  </from>
                  <to>
                    <xdr:col>3</xdr:col>
                    <xdr:colOff>1085850</xdr:colOff>
                    <xdr:row>171</xdr:row>
                    <xdr:rowOff>114300</xdr:rowOff>
                  </to>
                </anchor>
              </controlPr>
            </control>
          </mc:Choice>
        </mc:AlternateContent>
        <mc:AlternateContent xmlns:mc="http://schemas.openxmlformats.org/markup-compatibility/2006">
          <mc:Choice Requires="x14">
            <control shapeId="2606610" r:id="rId45" name="Drop Down 3602">
              <controlPr defaultSize="0" autoLine="0" autoPict="0">
                <anchor moveWithCells="1">
                  <from>
                    <xdr:col>3</xdr:col>
                    <xdr:colOff>400050</xdr:colOff>
                    <xdr:row>170</xdr:row>
                    <xdr:rowOff>0</xdr:rowOff>
                  </from>
                  <to>
                    <xdr:col>3</xdr:col>
                    <xdr:colOff>1085850</xdr:colOff>
                    <xdr:row>171</xdr:row>
                    <xdr:rowOff>114300</xdr:rowOff>
                  </to>
                </anchor>
              </controlPr>
            </control>
          </mc:Choice>
        </mc:AlternateContent>
        <mc:AlternateContent xmlns:mc="http://schemas.openxmlformats.org/markup-compatibility/2006">
          <mc:Choice Requires="x14">
            <control shapeId="2606611" r:id="rId46" name="Drop Down 3603">
              <controlPr defaultSize="0" autoLine="0" autoPict="0">
                <anchor moveWithCells="1">
                  <from>
                    <xdr:col>5</xdr:col>
                    <xdr:colOff>387350</xdr:colOff>
                    <xdr:row>170</xdr:row>
                    <xdr:rowOff>12700</xdr:rowOff>
                  </from>
                  <to>
                    <xdr:col>5</xdr:col>
                    <xdr:colOff>1085850</xdr:colOff>
                    <xdr:row>171</xdr:row>
                    <xdr:rowOff>114300</xdr:rowOff>
                  </to>
                </anchor>
              </controlPr>
            </control>
          </mc:Choice>
        </mc:AlternateContent>
        <mc:AlternateContent xmlns:mc="http://schemas.openxmlformats.org/markup-compatibility/2006">
          <mc:Choice Requires="x14">
            <control shapeId="2606612" r:id="rId47" name="Drop Down 3604">
              <controlPr defaultSize="0" autoLine="0" autoPict="0">
                <anchor moveWithCells="1">
                  <from>
                    <xdr:col>7</xdr:col>
                    <xdr:colOff>393700</xdr:colOff>
                    <xdr:row>170</xdr:row>
                    <xdr:rowOff>12700</xdr:rowOff>
                  </from>
                  <to>
                    <xdr:col>7</xdr:col>
                    <xdr:colOff>1085850</xdr:colOff>
                    <xdr:row>171</xdr:row>
                    <xdr:rowOff>114300</xdr:rowOff>
                  </to>
                </anchor>
              </controlPr>
            </control>
          </mc:Choice>
        </mc:AlternateContent>
        <mc:AlternateContent xmlns:mc="http://schemas.openxmlformats.org/markup-compatibility/2006">
          <mc:Choice Requires="x14">
            <control shapeId="2606613" r:id="rId48" name="Drop Down 3605">
              <controlPr defaultSize="0" autoLine="0" autoPict="0">
                <anchor moveWithCells="1">
                  <from>
                    <xdr:col>5</xdr:col>
                    <xdr:colOff>393700</xdr:colOff>
                    <xdr:row>30</xdr:row>
                    <xdr:rowOff>12700</xdr:rowOff>
                  </from>
                  <to>
                    <xdr:col>5</xdr:col>
                    <xdr:colOff>1085850</xdr:colOff>
                    <xdr:row>31</xdr:row>
                    <xdr:rowOff>0</xdr:rowOff>
                  </to>
                </anchor>
              </controlPr>
            </control>
          </mc:Choice>
        </mc:AlternateContent>
        <mc:AlternateContent xmlns:mc="http://schemas.openxmlformats.org/markup-compatibility/2006">
          <mc:Choice Requires="x14">
            <control shapeId="2606614" r:id="rId49" name="Drop Down 3606">
              <controlPr defaultSize="0" autoLine="0" autoPict="0">
                <anchor moveWithCells="1">
                  <from>
                    <xdr:col>3</xdr:col>
                    <xdr:colOff>400050</xdr:colOff>
                    <xdr:row>32</xdr:row>
                    <xdr:rowOff>0</xdr:rowOff>
                  </from>
                  <to>
                    <xdr:col>3</xdr:col>
                    <xdr:colOff>1085850</xdr:colOff>
                    <xdr:row>32</xdr:row>
                    <xdr:rowOff>152400</xdr:rowOff>
                  </to>
                </anchor>
              </controlPr>
            </control>
          </mc:Choice>
        </mc:AlternateContent>
        <mc:AlternateContent xmlns:mc="http://schemas.openxmlformats.org/markup-compatibility/2006">
          <mc:Choice Requires="x14">
            <control shapeId="2606615" r:id="rId50" name="Drop Down 3607">
              <controlPr defaultSize="0" autoLine="0" autoPict="0">
                <anchor moveWithCells="1">
                  <from>
                    <xdr:col>5</xdr:col>
                    <xdr:colOff>393700</xdr:colOff>
                    <xdr:row>32</xdr:row>
                    <xdr:rowOff>12700</xdr:rowOff>
                  </from>
                  <to>
                    <xdr:col>5</xdr:col>
                    <xdr:colOff>1085850</xdr:colOff>
                    <xdr:row>32</xdr:row>
                    <xdr:rowOff>171450</xdr:rowOff>
                  </to>
                </anchor>
              </controlPr>
            </control>
          </mc:Choice>
        </mc:AlternateContent>
        <mc:AlternateContent xmlns:mc="http://schemas.openxmlformats.org/markup-compatibility/2006">
          <mc:Choice Requires="x14">
            <control shapeId="2606616" r:id="rId51" name="Drop Down 3608">
              <controlPr defaultSize="0" autoLine="0" autoPict="0">
                <anchor moveWithCells="1">
                  <from>
                    <xdr:col>7</xdr:col>
                    <xdr:colOff>387350</xdr:colOff>
                    <xdr:row>32</xdr:row>
                    <xdr:rowOff>12700</xdr:rowOff>
                  </from>
                  <to>
                    <xdr:col>7</xdr:col>
                    <xdr:colOff>1085850</xdr:colOff>
                    <xdr:row>32</xdr:row>
                    <xdr:rowOff>171450</xdr:rowOff>
                  </to>
                </anchor>
              </controlPr>
            </control>
          </mc:Choice>
        </mc:AlternateContent>
        <mc:AlternateContent xmlns:mc="http://schemas.openxmlformats.org/markup-compatibility/2006">
          <mc:Choice Requires="x14">
            <control shapeId="2606617" r:id="rId52" name="Drop Down 3609">
              <controlPr defaultSize="0" autoLine="0" autoPict="0">
                <anchor moveWithCells="1">
                  <from>
                    <xdr:col>3</xdr:col>
                    <xdr:colOff>400050</xdr:colOff>
                    <xdr:row>67</xdr:row>
                    <xdr:rowOff>0</xdr:rowOff>
                  </from>
                  <to>
                    <xdr:col>3</xdr:col>
                    <xdr:colOff>1085850</xdr:colOff>
                    <xdr:row>67</xdr:row>
                    <xdr:rowOff>165100</xdr:rowOff>
                  </to>
                </anchor>
              </controlPr>
            </control>
          </mc:Choice>
        </mc:AlternateContent>
        <mc:AlternateContent xmlns:mc="http://schemas.openxmlformats.org/markup-compatibility/2006">
          <mc:Choice Requires="x14">
            <control shapeId="2606618" r:id="rId53" name="Drop Down 3610">
              <controlPr defaultSize="0" autoLine="0" autoPict="0">
                <anchor moveWithCells="1">
                  <from>
                    <xdr:col>3</xdr:col>
                    <xdr:colOff>400050</xdr:colOff>
                    <xdr:row>67</xdr:row>
                    <xdr:rowOff>0</xdr:rowOff>
                  </from>
                  <to>
                    <xdr:col>3</xdr:col>
                    <xdr:colOff>1085850</xdr:colOff>
                    <xdr:row>67</xdr:row>
                    <xdr:rowOff>165100</xdr:rowOff>
                  </to>
                </anchor>
              </controlPr>
            </control>
          </mc:Choice>
        </mc:AlternateContent>
        <mc:AlternateContent xmlns:mc="http://schemas.openxmlformats.org/markup-compatibility/2006">
          <mc:Choice Requires="x14">
            <control shapeId="2606619" r:id="rId54" name="Drop Down 3611">
              <controlPr defaultSize="0" autoLine="0" autoPict="0">
                <anchor moveWithCells="1">
                  <from>
                    <xdr:col>5</xdr:col>
                    <xdr:colOff>387350</xdr:colOff>
                    <xdr:row>67</xdr:row>
                    <xdr:rowOff>12700</xdr:rowOff>
                  </from>
                  <to>
                    <xdr:col>5</xdr:col>
                    <xdr:colOff>1085850</xdr:colOff>
                    <xdr:row>68</xdr:row>
                    <xdr:rowOff>0</xdr:rowOff>
                  </to>
                </anchor>
              </controlPr>
            </control>
          </mc:Choice>
        </mc:AlternateContent>
        <mc:AlternateContent xmlns:mc="http://schemas.openxmlformats.org/markup-compatibility/2006">
          <mc:Choice Requires="x14">
            <control shapeId="2606620" r:id="rId55" name="Drop Down 3612">
              <controlPr defaultSize="0" autoLine="0" autoPict="0">
                <anchor moveWithCells="1">
                  <from>
                    <xdr:col>7</xdr:col>
                    <xdr:colOff>393700</xdr:colOff>
                    <xdr:row>67</xdr:row>
                    <xdr:rowOff>12700</xdr:rowOff>
                  </from>
                  <to>
                    <xdr:col>7</xdr:col>
                    <xdr:colOff>1085850</xdr:colOff>
                    <xdr:row>68</xdr:row>
                    <xdr:rowOff>0</xdr:rowOff>
                  </to>
                </anchor>
              </controlPr>
            </control>
          </mc:Choice>
        </mc:AlternateContent>
        <mc:AlternateContent xmlns:mc="http://schemas.openxmlformats.org/markup-compatibility/2006">
          <mc:Choice Requires="x14">
            <control shapeId="2606621" r:id="rId56" name="Drop Down 3613">
              <controlPr defaultSize="0" autoLine="0" autoPict="0">
                <anchor moveWithCells="1">
                  <from>
                    <xdr:col>3</xdr:col>
                    <xdr:colOff>400050</xdr:colOff>
                    <xdr:row>102</xdr:row>
                    <xdr:rowOff>0</xdr:rowOff>
                  </from>
                  <to>
                    <xdr:col>3</xdr:col>
                    <xdr:colOff>1085850</xdr:colOff>
                    <xdr:row>102</xdr:row>
                    <xdr:rowOff>152400</xdr:rowOff>
                  </to>
                </anchor>
              </controlPr>
            </control>
          </mc:Choice>
        </mc:AlternateContent>
        <mc:AlternateContent xmlns:mc="http://schemas.openxmlformats.org/markup-compatibility/2006">
          <mc:Choice Requires="x14">
            <control shapeId="2606622" r:id="rId57" name="Drop Down 3614">
              <controlPr defaultSize="0" autoLine="0" autoPict="0">
                <anchor moveWithCells="1">
                  <from>
                    <xdr:col>3</xdr:col>
                    <xdr:colOff>400050</xdr:colOff>
                    <xdr:row>102</xdr:row>
                    <xdr:rowOff>0</xdr:rowOff>
                  </from>
                  <to>
                    <xdr:col>3</xdr:col>
                    <xdr:colOff>1085850</xdr:colOff>
                    <xdr:row>102</xdr:row>
                    <xdr:rowOff>152400</xdr:rowOff>
                  </to>
                </anchor>
              </controlPr>
            </control>
          </mc:Choice>
        </mc:AlternateContent>
        <mc:AlternateContent xmlns:mc="http://schemas.openxmlformats.org/markup-compatibility/2006">
          <mc:Choice Requires="x14">
            <control shapeId="2606623" r:id="rId58" name="Drop Down 3615">
              <controlPr defaultSize="0" autoLine="0" autoPict="0">
                <anchor moveWithCells="1">
                  <from>
                    <xdr:col>5</xdr:col>
                    <xdr:colOff>387350</xdr:colOff>
                    <xdr:row>102</xdr:row>
                    <xdr:rowOff>12700</xdr:rowOff>
                  </from>
                  <to>
                    <xdr:col>5</xdr:col>
                    <xdr:colOff>1085850</xdr:colOff>
                    <xdr:row>103</xdr:row>
                    <xdr:rowOff>12700</xdr:rowOff>
                  </to>
                </anchor>
              </controlPr>
            </control>
          </mc:Choice>
        </mc:AlternateContent>
        <mc:AlternateContent xmlns:mc="http://schemas.openxmlformats.org/markup-compatibility/2006">
          <mc:Choice Requires="x14">
            <control shapeId="2606624" r:id="rId59" name="Drop Down 3616">
              <controlPr defaultSize="0" autoLine="0" autoPict="0">
                <anchor moveWithCells="1">
                  <from>
                    <xdr:col>7</xdr:col>
                    <xdr:colOff>393700</xdr:colOff>
                    <xdr:row>102</xdr:row>
                    <xdr:rowOff>12700</xdr:rowOff>
                  </from>
                  <to>
                    <xdr:col>7</xdr:col>
                    <xdr:colOff>1085850</xdr:colOff>
                    <xdr:row>103</xdr:row>
                    <xdr:rowOff>12700</xdr:rowOff>
                  </to>
                </anchor>
              </controlPr>
            </control>
          </mc:Choice>
        </mc:AlternateContent>
        <mc:AlternateContent xmlns:mc="http://schemas.openxmlformats.org/markup-compatibility/2006">
          <mc:Choice Requires="x14">
            <control shapeId="2606627" r:id="rId60" name="Drop Down 3619">
              <controlPr defaultSize="0" autoLine="0" autoPict="0">
                <anchor moveWithCells="1">
                  <from>
                    <xdr:col>3</xdr:col>
                    <xdr:colOff>400050</xdr:colOff>
                    <xdr:row>137</xdr:row>
                    <xdr:rowOff>0</xdr:rowOff>
                  </from>
                  <to>
                    <xdr:col>3</xdr:col>
                    <xdr:colOff>1085850</xdr:colOff>
                    <xdr:row>137</xdr:row>
                    <xdr:rowOff>152400</xdr:rowOff>
                  </to>
                </anchor>
              </controlPr>
            </control>
          </mc:Choice>
        </mc:AlternateContent>
        <mc:AlternateContent xmlns:mc="http://schemas.openxmlformats.org/markup-compatibility/2006">
          <mc:Choice Requires="x14">
            <control shapeId="2606628" r:id="rId61" name="Drop Down 3620">
              <controlPr defaultSize="0" autoLine="0" autoPict="0">
                <anchor moveWithCells="1">
                  <from>
                    <xdr:col>3</xdr:col>
                    <xdr:colOff>400050</xdr:colOff>
                    <xdr:row>137</xdr:row>
                    <xdr:rowOff>0</xdr:rowOff>
                  </from>
                  <to>
                    <xdr:col>3</xdr:col>
                    <xdr:colOff>1085850</xdr:colOff>
                    <xdr:row>137</xdr:row>
                    <xdr:rowOff>152400</xdr:rowOff>
                  </to>
                </anchor>
              </controlPr>
            </control>
          </mc:Choice>
        </mc:AlternateContent>
        <mc:AlternateContent xmlns:mc="http://schemas.openxmlformats.org/markup-compatibility/2006">
          <mc:Choice Requires="x14">
            <control shapeId="2606629" r:id="rId62" name="Drop Down 3621">
              <controlPr defaultSize="0" autoLine="0" autoPict="0">
                <anchor moveWithCells="1">
                  <from>
                    <xdr:col>5</xdr:col>
                    <xdr:colOff>387350</xdr:colOff>
                    <xdr:row>137</xdr:row>
                    <xdr:rowOff>12700</xdr:rowOff>
                  </from>
                  <to>
                    <xdr:col>5</xdr:col>
                    <xdr:colOff>1085850</xdr:colOff>
                    <xdr:row>138</xdr:row>
                    <xdr:rowOff>12700</xdr:rowOff>
                  </to>
                </anchor>
              </controlPr>
            </control>
          </mc:Choice>
        </mc:AlternateContent>
        <mc:AlternateContent xmlns:mc="http://schemas.openxmlformats.org/markup-compatibility/2006">
          <mc:Choice Requires="x14">
            <control shapeId="2606630" r:id="rId63" name="Drop Down 3622">
              <controlPr defaultSize="0" autoLine="0" autoPict="0">
                <anchor moveWithCells="1">
                  <from>
                    <xdr:col>7</xdr:col>
                    <xdr:colOff>393700</xdr:colOff>
                    <xdr:row>137</xdr:row>
                    <xdr:rowOff>12700</xdr:rowOff>
                  </from>
                  <to>
                    <xdr:col>7</xdr:col>
                    <xdr:colOff>1085850</xdr:colOff>
                    <xdr:row>138</xdr:row>
                    <xdr:rowOff>12700</xdr:rowOff>
                  </to>
                </anchor>
              </controlPr>
            </control>
          </mc:Choice>
        </mc:AlternateContent>
        <mc:AlternateContent xmlns:mc="http://schemas.openxmlformats.org/markup-compatibility/2006">
          <mc:Choice Requires="x14">
            <control shapeId="2606632" r:id="rId64" name="Drop Down 3624">
              <controlPr defaultSize="0" autoLine="0" autoPict="0">
                <anchor moveWithCells="1">
                  <from>
                    <xdr:col>3</xdr:col>
                    <xdr:colOff>400050</xdr:colOff>
                    <xdr:row>172</xdr:row>
                    <xdr:rowOff>0</xdr:rowOff>
                  </from>
                  <to>
                    <xdr:col>3</xdr:col>
                    <xdr:colOff>1085850</xdr:colOff>
                    <xdr:row>172</xdr:row>
                    <xdr:rowOff>152400</xdr:rowOff>
                  </to>
                </anchor>
              </controlPr>
            </control>
          </mc:Choice>
        </mc:AlternateContent>
        <mc:AlternateContent xmlns:mc="http://schemas.openxmlformats.org/markup-compatibility/2006">
          <mc:Choice Requires="x14">
            <control shapeId="2606633" r:id="rId65" name="Drop Down 3625">
              <controlPr defaultSize="0" autoLine="0" autoPict="0">
                <anchor moveWithCells="1">
                  <from>
                    <xdr:col>5</xdr:col>
                    <xdr:colOff>393700</xdr:colOff>
                    <xdr:row>172</xdr:row>
                    <xdr:rowOff>12700</xdr:rowOff>
                  </from>
                  <to>
                    <xdr:col>5</xdr:col>
                    <xdr:colOff>1085850</xdr:colOff>
                    <xdr:row>172</xdr:row>
                    <xdr:rowOff>171450</xdr:rowOff>
                  </to>
                </anchor>
              </controlPr>
            </control>
          </mc:Choice>
        </mc:AlternateContent>
        <mc:AlternateContent xmlns:mc="http://schemas.openxmlformats.org/markup-compatibility/2006">
          <mc:Choice Requires="x14">
            <control shapeId="2606634" r:id="rId66" name="Drop Down 3626">
              <controlPr defaultSize="0" autoLine="0" autoPict="0">
                <anchor moveWithCells="1">
                  <from>
                    <xdr:col>7</xdr:col>
                    <xdr:colOff>393700</xdr:colOff>
                    <xdr:row>172</xdr:row>
                    <xdr:rowOff>12700</xdr:rowOff>
                  </from>
                  <to>
                    <xdr:col>7</xdr:col>
                    <xdr:colOff>1085850</xdr:colOff>
                    <xdr:row>172</xdr:row>
                    <xdr:rowOff>171450</xdr:rowOff>
                  </to>
                </anchor>
              </controlPr>
            </control>
          </mc:Choice>
        </mc:AlternateContent>
        <mc:AlternateContent xmlns:mc="http://schemas.openxmlformats.org/markup-compatibility/2006">
          <mc:Choice Requires="x14">
            <control shapeId="2606635" r:id="rId67" name="Drop Down 3627">
              <controlPr defaultSize="0" autoLine="0" autoPict="0">
                <anchor moveWithCells="1">
                  <from>
                    <xdr:col>3</xdr:col>
                    <xdr:colOff>400050</xdr:colOff>
                    <xdr:row>172</xdr:row>
                    <xdr:rowOff>0</xdr:rowOff>
                  </from>
                  <to>
                    <xdr:col>3</xdr:col>
                    <xdr:colOff>1085850</xdr:colOff>
                    <xdr:row>172</xdr:row>
                    <xdr:rowOff>152400</xdr:rowOff>
                  </to>
                </anchor>
              </controlPr>
            </control>
          </mc:Choice>
        </mc:AlternateContent>
        <mc:AlternateContent xmlns:mc="http://schemas.openxmlformats.org/markup-compatibility/2006">
          <mc:Choice Requires="x14">
            <control shapeId="2606636" r:id="rId68" name="Drop Down 3628">
              <controlPr defaultSize="0" autoLine="0" autoPict="0">
                <anchor moveWithCells="1">
                  <from>
                    <xdr:col>5</xdr:col>
                    <xdr:colOff>393700</xdr:colOff>
                    <xdr:row>172</xdr:row>
                    <xdr:rowOff>12700</xdr:rowOff>
                  </from>
                  <to>
                    <xdr:col>5</xdr:col>
                    <xdr:colOff>1085850</xdr:colOff>
                    <xdr:row>172</xdr:row>
                    <xdr:rowOff>171450</xdr:rowOff>
                  </to>
                </anchor>
              </controlPr>
            </control>
          </mc:Choice>
        </mc:AlternateContent>
        <mc:AlternateContent xmlns:mc="http://schemas.openxmlformats.org/markup-compatibility/2006">
          <mc:Choice Requires="x14">
            <control shapeId="2606637" r:id="rId69" name="Drop Down 3629">
              <controlPr defaultSize="0" autoLine="0" autoPict="0">
                <anchor moveWithCells="1">
                  <from>
                    <xdr:col>7</xdr:col>
                    <xdr:colOff>393700</xdr:colOff>
                    <xdr:row>172</xdr:row>
                    <xdr:rowOff>12700</xdr:rowOff>
                  </from>
                  <to>
                    <xdr:col>7</xdr:col>
                    <xdr:colOff>1085850</xdr:colOff>
                    <xdr:row>172</xdr:row>
                    <xdr:rowOff>171450</xdr:rowOff>
                  </to>
                </anchor>
              </controlPr>
            </control>
          </mc:Choice>
        </mc:AlternateContent>
        <mc:AlternateContent xmlns:mc="http://schemas.openxmlformats.org/markup-compatibility/2006">
          <mc:Choice Requires="x14">
            <control shapeId="2606638" r:id="rId70" name="Drop Down 3630">
              <controlPr defaultSize="0" autoLine="0" autoPict="0">
                <anchor moveWithCells="1">
                  <from>
                    <xdr:col>3</xdr:col>
                    <xdr:colOff>400050</xdr:colOff>
                    <xdr:row>36</xdr:row>
                    <xdr:rowOff>0</xdr:rowOff>
                  </from>
                  <to>
                    <xdr:col>3</xdr:col>
                    <xdr:colOff>1085850</xdr:colOff>
                    <xdr:row>36</xdr:row>
                    <xdr:rowOff>152400</xdr:rowOff>
                  </to>
                </anchor>
              </controlPr>
            </control>
          </mc:Choice>
        </mc:AlternateContent>
        <mc:AlternateContent xmlns:mc="http://schemas.openxmlformats.org/markup-compatibility/2006">
          <mc:Choice Requires="x14">
            <control shapeId="2606639" r:id="rId71" name="Drop Down 3631">
              <controlPr defaultSize="0" autoLine="0" autoPict="0">
                <anchor moveWithCells="1">
                  <from>
                    <xdr:col>5</xdr:col>
                    <xdr:colOff>400050</xdr:colOff>
                    <xdr:row>36</xdr:row>
                    <xdr:rowOff>0</xdr:rowOff>
                  </from>
                  <to>
                    <xdr:col>5</xdr:col>
                    <xdr:colOff>1085850</xdr:colOff>
                    <xdr:row>36</xdr:row>
                    <xdr:rowOff>152400</xdr:rowOff>
                  </to>
                </anchor>
              </controlPr>
            </control>
          </mc:Choice>
        </mc:AlternateContent>
        <mc:AlternateContent xmlns:mc="http://schemas.openxmlformats.org/markup-compatibility/2006">
          <mc:Choice Requires="x14">
            <control shapeId="2606640" r:id="rId72" name="Drop Down 3632">
              <controlPr defaultSize="0" autoLine="0" autoPict="0">
                <anchor moveWithCells="1">
                  <from>
                    <xdr:col>7</xdr:col>
                    <xdr:colOff>400050</xdr:colOff>
                    <xdr:row>36</xdr:row>
                    <xdr:rowOff>0</xdr:rowOff>
                  </from>
                  <to>
                    <xdr:col>7</xdr:col>
                    <xdr:colOff>1085850</xdr:colOff>
                    <xdr:row>36</xdr:row>
                    <xdr:rowOff>152400</xdr:rowOff>
                  </to>
                </anchor>
              </controlPr>
            </control>
          </mc:Choice>
        </mc:AlternateContent>
        <mc:AlternateContent xmlns:mc="http://schemas.openxmlformats.org/markup-compatibility/2006">
          <mc:Choice Requires="x14">
            <control shapeId="2606641" r:id="rId73" name="Drop Down 3633">
              <controlPr defaultSize="0" autoLine="0" autoPict="0">
                <anchor moveWithCells="1">
                  <from>
                    <xdr:col>3</xdr:col>
                    <xdr:colOff>400050</xdr:colOff>
                    <xdr:row>71</xdr:row>
                    <xdr:rowOff>0</xdr:rowOff>
                  </from>
                  <to>
                    <xdr:col>3</xdr:col>
                    <xdr:colOff>1085850</xdr:colOff>
                    <xdr:row>71</xdr:row>
                    <xdr:rowOff>165100</xdr:rowOff>
                  </to>
                </anchor>
              </controlPr>
            </control>
          </mc:Choice>
        </mc:AlternateContent>
        <mc:AlternateContent xmlns:mc="http://schemas.openxmlformats.org/markup-compatibility/2006">
          <mc:Choice Requires="x14">
            <control shapeId="2606642" r:id="rId74" name="Drop Down 3634">
              <controlPr defaultSize="0" autoLine="0" autoPict="0">
                <anchor moveWithCells="1">
                  <from>
                    <xdr:col>5</xdr:col>
                    <xdr:colOff>400050</xdr:colOff>
                    <xdr:row>71</xdr:row>
                    <xdr:rowOff>0</xdr:rowOff>
                  </from>
                  <to>
                    <xdr:col>5</xdr:col>
                    <xdr:colOff>1085850</xdr:colOff>
                    <xdr:row>71</xdr:row>
                    <xdr:rowOff>165100</xdr:rowOff>
                  </to>
                </anchor>
              </controlPr>
            </control>
          </mc:Choice>
        </mc:AlternateContent>
        <mc:AlternateContent xmlns:mc="http://schemas.openxmlformats.org/markup-compatibility/2006">
          <mc:Choice Requires="x14">
            <control shapeId="2606643" r:id="rId75" name="Drop Down 3635">
              <controlPr defaultSize="0" autoLine="0" autoPict="0">
                <anchor moveWithCells="1">
                  <from>
                    <xdr:col>7</xdr:col>
                    <xdr:colOff>400050</xdr:colOff>
                    <xdr:row>71</xdr:row>
                    <xdr:rowOff>0</xdr:rowOff>
                  </from>
                  <to>
                    <xdr:col>7</xdr:col>
                    <xdr:colOff>1085850</xdr:colOff>
                    <xdr:row>71</xdr:row>
                    <xdr:rowOff>165100</xdr:rowOff>
                  </to>
                </anchor>
              </controlPr>
            </control>
          </mc:Choice>
        </mc:AlternateContent>
        <mc:AlternateContent xmlns:mc="http://schemas.openxmlformats.org/markup-compatibility/2006">
          <mc:Choice Requires="x14">
            <control shapeId="2606644" r:id="rId76" name="Drop Down 3636">
              <controlPr defaultSize="0" autoLine="0" autoPict="0">
                <anchor moveWithCells="1">
                  <from>
                    <xdr:col>3</xdr:col>
                    <xdr:colOff>400050</xdr:colOff>
                    <xdr:row>106</xdr:row>
                    <xdr:rowOff>0</xdr:rowOff>
                  </from>
                  <to>
                    <xdr:col>3</xdr:col>
                    <xdr:colOff>1085850</xdr:colOff>
                    <xdr:row>106</xdr:row>
                    <xdr:rowOff>152400</xdr:rowOff>
                  </to>
                </anchor>
              </controlPr>
            </control>
          </mc:Choice>
        </mc:AlternateContent>
        <mc:AlternateContent xmlns:mc="http://schemas.openxmlformats.org/markup-compatibility/2006">
          <mc:Choice Requires="x14">
            <control shapeId="2606645" r:id="rId77" name="Drop Down 3637">
              <controlPr defaultSize="0" autoLine="0" autoPict="0">
                <anchor moveWithCells="1">
                  <from>
                    <xdr:col>5</xdr:col>
                    <xdr:colOff>400050</xdr:colOff>
                    <xdr:row>106</xdr:row>
                    <xdr:rowOff>0</xdr:rowOff>
                  </from>
                  <to>
                    <xdr:col>5</xdr:col>
                    <xdr:colOff>1085850</xdr:colOff>
                    <xdr:row>106</xdr:row>
                    <xdr:rowOff>152400</xdr:rowOff>
                  </to>
                </anchor>
              </controlPr>
            </control>
          </mc:Choice>
        </mc:AlternateContent>
        <mc:AlternateContent xmlns:mc="http://schemas.openxmlformats.org/markup-compatibility/2006">
          <mc:Choice Requires="x14">
            <control shapeId="2606646" r:id="rId78" name="Drop Down 3638">
              <controlPr defaultSize="0" autoLine="0" autoPict="0">
                <anchor moveWithCells="1">
                  <from>
                    <xdr:col>7</xdr:col>
                    <xdr:colOff>400050</xdr:colOff>
                    <xdr:row>106</xdr:row>
                    <xdr:rowOff>0</xdr:rowOff>
                  </from>
                  <to>
                    <xdr:col>7</xdr:col>
                    <xdr:colOff>1085850</xdr:colOff>
                    <xdr:row>106</xdr:row>
                    <xdr:rowOff>152400</xdr:rowOff>
                  </to>
                </anchor>
              </controlPr>
            </control>
          </mc:Choice>
        </mc:AlternateContent>
        <mc:AlternateContent xmlns:mc="http://schemas.openxmlformats.org/markup-compatibility/2006">
          <mc:Choice Requires="x14">
            <control shapeId="2606647" r:id="rId79" name="Drop Down 3639">
              <controlPr defaultSize="0" autoLine="0" autoPict="0">
                <anchor moveWithCells="1">
                  <from>
                    <xdr:col>3</xdr:col>
                    <xdr:colOff>400050</xdr:colOff>
                    <xdr:row>141</xdr:row>
                    <xdr:rowOff>0</xdr:rowOff>
                  </from>
                  <to>
                    <xdr:col>3</xdr:col>
                    <xdr:colOff>1085850</xdr:colOff>
                    <xdr:row>142</xdr:row>
                    <xdr:rowOff>0</xdr:rowOff>
                  </to>
                </anchor>
              </controlPr>
            </control>
          </mc:Choice>
        </mc:AlternateContent>
        <mc:AlternateContent xmlns:mc="http://schemas.openxmlformats.org/markup-compatibility/2006">
          <mc:Choice Requires="x14">
            <control shapeId="2606648" r:id="rId80" name="Drop Down 3640">
              <controlPr defaultSize="0" autoLine="0" autoPict="0">
                <anchor moveWithCells="1">
                  <from>
                    <xdr:col>5</xdr:col>
                    <xdr:colOff>400050</xdr:colOff>
                    <xdr:row>141</xdr:row>
                    <xdr:rowOff>0</xdr:rowOff>
                  </from>
                  <to>
                    <xdr:col>5</xdr:col>
                    <xdr:colOff>1085850</xdr:colOff>
                    <xdr:row>142</xdr:row>
                    <xdr:rowOff>0</xdr:rowOff>
                  </to>
                </anchor>
              </controlPr>
            </control>
          </mc:Choice>
        </mc:AlternateContent>
        <mc:AlternateContent xmlns:mc="http://schemas.openxmlformats.org/markup-compatibility/2006">
          <mc:Choice Requires="x14">
            <control shapeId="2606649" r:id="rId81" name="Drop Down 3641">
              <controlPr defaultSize="0" autoLine="0" autoPict="0">
                <anchor moveWithCells="1">
                  <from>
                    <xdr:col>7</xdr:col>
                    <xdr:colOff>400050</xdr:colOff>
                    <xdr:row>141</xdr:row>
                    <xdr:rowOff>0</xdr:rowOff>
                  </from>
                  <to>
                    <xdr:col>7</xdr:col>
                    <xdr:colOff>1085850</xdr:colOff>
                    <xdr:row>142</xdr:row>
                    <xdr:rowOff>0</xdr:rowOff>
                  </to>
                </anchor>
              </controlPr>
            </control>
          </mc:Choice>
        </mc:AlternateContent>
        <mc:AlternateContent xmlns:mc="http://schemas.openxmlformats.org/markup-compatibility/2006">
          <mc:Choice Requires="x14">
            <control shapeId="2606650" r:id="rId82" name="Drop Down 3642">
              <controlPr defaultSize="0" autoLine="0" autoPict="0">
                <anchor moveWithCells="1">
                  <from>
                    <xdr:col>3</xdr:col>
                    <xdr:colOff>400050</xdr:colOff>
                    <xdr:row>176</xdr:row>
                    <xdr:rowOff>0</xdr:rowOff>
                  </from>
                  <to>
                    <xdr:col>3</xdr:col>
                    <xdr:colOff>1085850</xdr:colOff>
                    <xdr:row>176</xdr:row>
                    <xdr:rowOff>152400</xdr:rowOff>
                  </to>
                </anchor>
              </controlPr>
            </control>
          </mc:Choice>
        </mc:AlternateContent>
        <mc:AlternateContent xmlns:mc="http://schemas.openxmlformats.org/markup-compatibility/2006">
          <mc:Choice Requires="x14">
            <control shapeId="2606651" r:id="rId83" name="Drop Down 3643">
              <controlPr defaultSize="0" autoLine="0" autoPict="0">
                <anchor moveWithCells="1">
                  <from>
                    <xdr:col>5</xdr:col>
                    <xdr:colOff>400050</xdr:colOff>
                    <xdr:row>176</xdr:row>
                    <xdr:rowOff>19050</xdr:rowOff>
                  </from>
                  <to>
                    <xdr:col>5</xdr:col>
                    <xdr:colOff>1085850</xdr:colOff>
                    <xdr:row>176</xdr:row>
                    <xdr:rowOff>171450</xdr:rowOff>
                  </to>
                </anchor>
              </controlPr>
            </control>
          </mc:Choice>
        </mc:AlternateContent>
        <mc:AlternateContent xmlns:mc="http://schemas.openxmlformats.org/markup-compatibility/2006">
          <mc:Choice Requires="x14">
            <control shapeId="2606652" r:id="rId84" name="Drop Down 3644">
              <controlPr defaultSize="0" autoLine="0" autoPict="0">
                <anchor moveWithCells="1">
                  <from>
                    <xdr:col>7</xdr:col>
                    <xdr:colOff>400050</xdr:colOff>
                    <xdr:row>176</xdr:row>
                    <xdr:rowOff>0</xdr:rowOff>
                  </from>
                  <to>
                    <xdr:col>7</xdr:col>
                    <xdr:colOff>1085850</xdr:colOff>
                    <xdr:row>176</xdr:row>
                    <xdr:rowOff>152400</xdr:rowOff>
                  </to>
                </anchor>
              </controlPr>
            </control>
          </mc:Choice>
        </mc:AlternateContent>
        <mc:AlternateContent xmlns:mc="http://schemas.openxmlformats.org/markup-compatibility/2006">
          <mc:Choice Requires="x14">
            <control shapeId="2606654" r:id="rId85" name="Drop Down 3646">
              <controlPr defaultSize="0" autoLine="0" autoPict="0">
                <anchor moveWithCells="1">
                  <from>
                    <xdr:col>3</xdr:col>
                    <xdr:colOff>400050</xdr:colOff>
                    <xdr:row>51</xdr:row>
                    <xdr:rowOff>0</xdr:rowOff>
                  </from>
                  <to>
                    <xdr:col>3</xdr:col>
                    <xdr:colOff>1085850</xdr:colOff>
                    <xdr:row>52</xdr:row>
                    <xdr:rowOff>0</xdr:rowOff>
                  </to>
                </anchor>
              </controlPr>
            </control>
          </mc:Choice>
        </mc:AlternateContent>
        <mc:AlternateContent xmlns:mc="http://schemas.openxmlformats.org/markup-compatibility/2006">
          <mc:Choice Requires="x14">
            <control shapeId="2606655" r:id="rId86" name="Drop Down 3647">
              <controlPr defaultSize="0" autoLine="0" autoPict="0">
                <anchor moveWithCells="1">
                  <from>
                    <xdr:col>5</xdr:col>
                    <xdr:colOff>393700</xdr:colOff>
                    <xdr:row>51</xdr:row>
                    <xdr:rowOff>12700</xdr:rowOff>
                  </from>
                  <to>
                    <xdr:col>5</xdr:col>
                    <xdr:colOff>1085850</xdr:colOff>
                    <xdr:row>52</xdr:row>
                    <xdr:rowOff>12700</xdr:rowOff>
                  </to>
                </anchor>
              </controlPr>
            </control>
          </mc:Choice>
        </mc:AlternateContent>
        <mc:AlternateContent xmlns:mc="http://schemas.openxmlformats.org/markup-compatibility/2006">
          <mc:Choice Requires="x14">
            <control shapeId="2606656" r:id="rId87" name="Drop Down 3648">
              <controlPr defaultSize="0" autoLine="0" autoPict="0">
                <anchor moveWithCells="1">
                  <from>
                    <xdr:col>7</xdr:col>
                    <xdr:colOff>393700</xdr:colOff>
                    <xdr:row>51</xdr:row>
                    <xdr:rowOff>6350</xdr:rowOff>
                  </from>
                  <to>
                    <xdr:col>7</xdr:col>
                    <xdr:colOff>1085850</xdr:colOff>
                    <xdr:row>52</xdr:row>
                    <xdr:rowOff>12700</xdr:rowOff>
                  </to>
                </anchor>
              </controlPr>
            </control>
          </mc:Choice>
        </mc:AlternateContent>
        <mc:AlternateContent xmlns:mc="http://schemas.openxmlformats.org/markup-compatibility/2006">
          <mc:Choice Requires="x14">
            <control shapeId="2606657" r:id="rId88" name="Drop Down 3649">
              <controlPr defaultSize="0" autoLine="0" autoPict="0">
                <anchor moveWithCells="1">
                  <from>
                    <xdr:col>3</xdr:col>
                    <xdr:colOff>406400</xdr:colOff>
                    <xdr:row>52</xdr:row>
                    <xdr:rowOff>0</xdr:rowOff>
                  </from>
                  <to>
                    <xdr:col>3</xdr:col>
                    <xdr:colOff>1098550</xdr:colOff>
                    <xdr:row>53</xdr:row>
                    <xdr:rowOff>0</xdr:rowOff>
                  </to>
                </anchor>
              </controlPr>
            </control>
          </mc:Choice>
        </mc:AlternateContent>
        <mc:AlternateContent xmlns:mc="http://schemas.openxmlformats.org/markup-compatibility/2006">
          <mc:Choice Requires="x14">
            <control shapeId="2606658" r:id="rId89" name="Drop Down 3650">
              <controlPr defaultSize="0" autoLine="0" autoPict="0">
                <anchor moveWithCells="1">
                  <from>
                    <xdr:col>5</xdr:col>
                    <xdr:colOff>393700</xdr:colOff>
                    <xdr:row>52</xdr:row>
                    <xdr:rowOff>12700</xdr:rowOff>
                  </from>
                  <to>
                    <xdr:col>5</xdr:col>
                    <xdr:colOff>1085850</xdr:colOff>
                    <xdr:row>53</xdr:row>
                    <xdr:rowOff>12700</xdr:rowOff>
                  </to>
                </anchor>
              </controlPr>
            </control>
          </mc:Choice>
        </mc:AlternateContent>
        <mc:AlternateContent xmlns:mc="http://schemas.openxmlformats.org/markup-compatibility/2006">
          <mc:Choice Requires="x14">
            <control shapeId="2606659" r:id="rId90" name="Drop Down 3651">
              <controlPr defaultSize="0" autoLine="0" autoPict="0">
                <anchor moveWithCells="1">
                  <from>
                    <xdr:col>7</xdr:col>
                    <xdr:colOff>393700</xdr:colOff>
                    <xdr:row>52</xdr:row>
                    <xdr:rowOff>12700</xdr:rowOff>
                  </from>
                  <to>
                    <xdr:col>7</xdr:col>
                    <xdr:colOff>1085850</xdr:colOff>
                    <xdr:row>53</xdr:row>
                    <xdr:rowOff>12700</xdr:rowOff>
                  </to>
                </anchor>
              </controlPr>
            </control>
          </mc:Choice>
        </mc:AlternateContent>
        <mc:AlternateContent xmlns:mc="http://schemas.openxmlformats.org/markup-compatibility/2006">
          <mc:Choice Requires="x14">
            <control shapeId="2606660" r:id="rId91" name="Drop Down 3652">
              <controlPr defaultSize="0" autoLine="0" autoPict="0">
                <anchor moveWithCells="1">
                  <from>
                    <xdr:col>3</xdr:col>
                    <xdr:colOff>400050</xdr:colOff>
                    <xdr:row>54</xdr:row>
                    <xdr:rowOff>0</xdr:rowOff>
                  </from>
                  <to>
                    <xdr:col>3</xdr:col>
                    <xdr:colOff>1085850</xdr:colOff>
                    <xdr:row>55</xdr:row>
                    <xdr:rowOff>0</xdr:rowOff>
                  </to>
                </anchor>
              </controlPr>
            </control>
          </mc:Choice>
        </mc:AlternateContent>
        <mc:AlternateContent xmlns:mc="http://schemas.openxmlformats.org/markup-compatibility/2006">
          <mc:Choice Requires="x14">
            <control shapeId="2606661" r:id="rId92" name="Drop Down 3653">
              <controlPr defaultSize="0" autoLine="0" autoPict="0">
                <anchor moveWithCells="1">
                  <from>
                    <xdr:col>5</xdr:col>
                    <xdr:colOff>393700</xdr:colOff>
                    <xdr:row>54</xdr:row>
                    <xdr:rowOff>12700</xdr:rowOff>
                  </from>
                  <to>
                    <xdr:col>5</xdr:col>
                    <xdr:colOff>1085850</xdr:colOff>
                    <xdr:row>55</xdr:row>
                    <xdr:rowOff>12700</xdr:rowOff>
                  </to>
                </anchor>
              </controlPr>
            </control>
          </mc:Choice>
        </mc:AlternateContent>
        <mc:AlternateContent xmlns:mc="http://schemas.openxmlformats.org/markup-compatibility/2006">
          <mc:Choice Requires="x14">
            <control shapeId="2606662" r:id="rId93" name="Drop Down 3654">
              <controlPr defaultSize="0" autoLine="0" autoPict="0">
                <anchor moveWithCells="1">
                  <from>
                    <xdr:col>7</xdr:col>
                    <xdr:colOff>393700</xdr:colOff>
                    <xdr:row>54</xdr:row>
                    <xdr:rowOff>12700</xdr:rowOff>
                  </from>
                  <to>
                    <xdr:col>7</xdr:col>
                    <xdr:colOff>1085850</xdr:colOff>
                    <xdr:row>55</xdr:row>
                    <xdr:rowOff>12700</xdr:rowOff>
                  </to>
                </anchor>
              </controlPr>
            </control>
          </mc:Choice>
        </mc:AlternateContent>
        <mc:AlternateContent xmlns:mc="http://schemas.openxmlformats.org/markup-compatibility/2006">
          <mc:Choice Requires="x14">
            <control shapeId="2606663" r:id="rId94" name="Drop Down 3655">
              <controlPr defaultSize="0" autoLine="0" autoPict="0">
                <anchor moveWithCells="1">
                  <from>
                    <xdr:col>3</xdr:col>
                    <xdr:colOff>400050</xdr:colOff>
                    <xdr:row>55</xdr:row>
                    <xdr:rowOff>0</xdr:rowOff>
                  </from>
                  <to>
                    <xdr:col>3</xdr:col>
                    <xdr:colOff>1085850</xdr:colOff>
                    <xdr:row>56</xdr:row>
                    <xdr:rowOff>0</xdr:rowOff>
                  </to>
                </anchor>
              </controlPr>
            </control>
          </mc:Choice>
        </mc:AlternateContent>
        <mc:AlternateContent xmlns:mc="http://schemas.openxmlformats.org/markup-compatibility/2006">
          <mc:Choice Requires="x14">
            <control shapeId="2606664" r:id="rId95" name="Drop Down 3656">
              <controlPr defaultSize="0" autoLine="0" autoPict="0">
                <anchor moveWithCells="1">
                  <from>
                    <xdr:col>5</xdr:col>
                    <xdr:colOff>393700</xdr:colOff>
                    <xdr:row>55</xdr:row>
                    <xdr:rowOff>12700</xdr:rowOff>
                  </from>
                  <to>
                    <xdr:col>5</xdr:col>
                    <xdr:colOff>1085850</xdr:colOff>
                    <xdr:row>56</xdr:row>
                    <xdr:rowOff>12700</xdr:rowOff>
                  </to>
                </anchor>
              </controlPr>
            </control>
          </mc:Choice>
        </mc:AlternateContent>
        <mc:AlternateContent xmlns:mc="http://schemas.openxmlformats.org/markup-compatibility/2006">
          <mc:Choice Requires="x14">
            <control shapeId="2606665" r:id="rId96" name="Drop Down 3657">
              <controlPr defaultSize="0" autoLine="0" autoPict="0">
                <anchor moveWithCells="1">
                  <from>
                    <xdr:col>7</xdr:col>
                    <xdr:colOff>393700</xdr:colOff>
                    <xdr:row>55</xdr:row>
                    <xdr:rowOff>12700</xdr:rowOff>
                  </from>
                  <to>
                    <xdr:col>7</xdr:col>
                    <xdr:colOff>1085850</xdr:colOff>
                    <xdr:row>56</xdr:row>
                    <xdr:rowOff>12700</xdr:rowOff>
                  </to>
                </anchor>
              </controlPr>
            </control>
          </mc:Choice>
        </mc:AlternateContent>
        <mc:AlternateContent xmlns:mc="http://schemas.openxmlformats.org/markup-compatibility/2006">
          <mc:Choice Requires="x14">
            <control shapeId="2606666" r:id="rId97" name="Drop Down 3658">
              <controlPr defaultSize="0" autoLine="0" autoPict="0">
                <anchor moveWithCells="1">
                  <from>
                    <xdr:col>3</xdr:col>
                    <xdr:colOff>400050</xdr:colOff>
                    <xdr:row>56</xdr:row>
                    <xdr:rowOff>0</xdr:rowOff>
                  </from>
                  <to>
                    <xdr:col>3</xdr:col>
                    <xdr:colOff>1085850</xdr:colOff>
                    <xdr:row>57</xdr:row>
                    <xdr:rowOff>0</xdr:rowOff>
                  </to>
                </anchor>
              </controlPr>
            </control>
          </mc:Choice>
        </mc:AlternateContent>
        <mc:AlternateContent xmlns:mc="http://schemas.openxmlformats.org/markup-compatibility/2006">
          <mc:Choice Requires="x14">
            <control shapeId="2606667" r:id="rId98" name="Drop Down 3659">
              <controlPr defaultSize="0" autoLine="0" autoPict="0">
                <anchor moveWithCells="1">
                  <from>
                    <xdr:col>5</xdr:col>
                    <xdr:colOff>393700</xdr:colOff>
                    <xdr:row>56</xdr:row>
                    <xdr:rowOff>12700</xdr:rowOff>
                  </from>
                  <to>
                    <xdr:col>5</xdr:col>
                    <xdr:colOff>1085850</xdr:colOff>
                    <xdr:row>57</xdr:row>
                    <xdr:rowOff>12700</xdr:rowOff>
                  </to>
                </anchor>
              </controlPr>
            </control>
          </mc:Choice>
        </mc:AlternateContent>
        <mc:AlternateContent xmlns:mc="http://schemas.openxmlformats.org/markup-compatibility/2006">
          <mc:Choice Requires="x14">
            <control shapeId="2606668" r:id="rId99" name="Drop Down 3660">
              <controlPr defaultSize="0" autoLine="0" autoPict="0">
                <anchor moveWithCells="1">
                  <from>
                    <xdr:col>7</xdr:col>
                    <xdr:colOff>393700</xdr:colOff>
                    <xdr:row>56</xdr:row>
                    <xdr:rowOff>12700</xdr:rowOff>
                  </from>
                  <to>
                    <xdr:col>7</xdr:col>
                    <xdr:colOff>1085850</xdr:colOff>
                    <xdr:row>57</xdr:row>
                    <xdr:rowOff>12700</xdr:rowOff>
                  </to>
                </anchor>
              </controlPr>
            </control>
          </mc:Choice>
        </mc:AlternateContent>
        <mc:AlternateContent xmlns:mc="http://schemas.openxmlformats.org/markup-compatibility/2006">
          <mc:Choice Requires="x14">
            <control shapeId="2606669" r:id="rId100" name="Drop Down 3661">
              <controlPr defaultSize="0" autoLine="0" autoPict="0">
                <anchor moveWithCells="1">
                  <from>
                    <xdr:col>3</xdr:col>
                    <xdr:colOff>400050</xdr:colOff>
                    <xdr:row>86</xdr:row>
                    <xdr:rowOff>0</xdr:rowOff>
                  </from>
                  <to>
                    <xdr:col>3</xdr:col>
                    <xdr:colOff>1085850</xdr:colOff>
                    <xdr:row>86</xdr:row>
                    <xdr:rowOff>165100</xdr:rowOff>
                  </to>
                </anchor>
              </controlPr>
            </control>
          </mc:Choice>
        </mc:AlternateContent>
        <mc:AlternateContent xmlns:mc="http://schemas.openxmlformats.org/markup-compatibility/2006">
          <mc:Choice Requires="x14">
            <control shapeId="2606670" r:id="rId101" name="Drop Down 3662">
              <controlPr defaultSize="0" autoLine="0" autoPict="0">
                <anchor moveWithCells="1">
                  <from>
                    <xdr:col>5</xdr:col>
                    <xdr:colOff>393700</xdr:colOff>
                    <xdr:row>86</xdr:row>
                    <xdr:rowOff>12700</xdr:rowOff>
                  </from>
                  <to>
                    <xdr:col>5</xdr:col>
                    <xdr:colOff>1085850</xdr:colOff>
                    <xdr:row>87</xdr:row>
                    <xdr:rowOff>12700</xdr:rowOff>
                  </to>
                </anchor>
              </controlPr>
            </control>
          </mc:Choice>
        </mc:AlternateContent>
        <mc:AlternateContent xmlns:mc="http://schemas.openxmlformats.org/markup-compatibility/2006">
          <mc:Choice Requires="x14">
            <control shapeId="2606671" r:id="rId102" name="Drop Down 3663">
              <controlPr defaultSize="0" autoLine="0" autoPict="0">
                <anchor moveWithCells="1">
                  <from>
                    <xdr:col>7</xdr:col>
                    <xdr:colOff>393700</xdr:colOff>
                    <xdr:row>86</xdr:row>
                    <xdr:rowOff>6350</xdr:rowOff>
                  </from>
                  <to>
                    <xdr:col>7</xdr:col>
                    <xdr:colOff>1085850</xdr:colOff>
                    <xdr:row>87</xdr:row>
                    <xdr:rowOff>12700</xdr:rowOff>
                  </to>
                </anchor>
              </controlPr>
            </control>
          </mc:Choice>
        </mc:AlternateContent>
        <mc:AlternateContent xmlns:mc="http://schemas.openxmlformats.org/markup-compatibility/2006">
          <mc:Choice Requires="x14">
            <control shapeId="2606684" r:id="rId103" name="Drop Down 3676">
              <controlPr defaultSize="0" autoLine="0" autoPict="0">
                <anchor moveWithCells="1">
                  <from>
                    <xdr:col>3</xdr:col>
                    <xdr:colOff>400050</xdr:colOff>
                    <xdr:row>87</xdr:row>
                    <xdr:rowOff>0</xdr:rowOff>
                  </from>
                  <to>
                    <xdr:col>3</xdr:col>
                    <xdr:colOff>1085850</xdr:colOff>
                    <xdr:row>88</xdr:row>
                    <xdr:rowOff>0</xdr:rowOff>
                  </to>
                </anchor>
              </controlPr>
            </control>
          </mc:Choice>
        </mc:AlternateContent>
        <mc:AlternateContent xmlns:mc="http://schemas.openxmlformats.org/markup-compatibility/2006">
          <mc:Choice Requires="x14">
            <control shapeId="2606685" r:id="rId104" name="Drop Down 3677">
              <controlPr defaultSize="0" autoLine="0" autoPict="0">
                <anchor moveWithCells="1">
                  <from>
                    <xdr:col>5</xdr:col>
                    <xdr:colOff>393700</xdr:colOff>
                    <xdr:row>87</xdr:row>
                    <xdr:rowOff>12700</xdr:rowOff>
                  </from>
                  <to>
                    <xdr:col>5</xdr:col>
                    <xdr:colOff>1085850</xdr:colOff>
                    <xdr:row>88</xdr:row>
                    <xdr:rowOff>19050</xdr:rowOff>
                  </to>
                </anchor>
              </controlPr>
            </control>
          </mc:Choice>
        </mc:AlternateContent>
        <mc:AlternateContent xmlns:mc="http://schemas.openxmlformats.org/markup-compatibility/2006">
          <mc:Choice Requires="x14">
            <control shapeId="2606686" r:id="rId105" name="Drop Down 3678">
              <controlPr defaultSize="0" autoLine="0" autoPict="0">
                <anchor moveWithCells="1">
                  <from>
                    <xdr:col>7</xdr:col>
                    <xdr:colOff>393700</xdr:colOff>
                    <xdr:row>87</xdr:row>
                    <xdr:rowOff>6350</xdr:rowOff>
                  </from>
                  <to>
                    <xdr:col>7</xdr:col>
                    <xdr:colOff>1085850</xdr:colOff>
                    <xdr:row>88</xdr:row>
                    <xdr:rowOff>19050</xdr:rowOff>
                  </to>
                </anchor>
              </controlPr>
            </control>
          </mc:Choice>
        </mc:AlternateContent>
        <mc:AlternateContent xmlns:mc="http://schemas.openxmlformats.org/markup-compatibility/2006">
          <mc:Choice Requires="x14">
            <control shapeId="2606687" r:id="rId106" name="Drop Down 3679">
              <controlPr defaultSize="0" autoLine="0" autoPict="0">
                <anchor moveWithCells="1">
                  <from>
                    <xdr:col>3</xdr:col>
                    <xdr:colOff>400050</xdr:colOff>
                    <xdr:row>89</xdr:row>
                    <xdr:rowOff>0</xdr:rowOff>
                  </from>
                  <to>
                    <xdr:col>3</xdr:col>
                    <xdr:colOff>1085850</xdr:colOff>
                    <xdr:row>90</xdr:row>
                    <xdr:rowOff>0</xdr:rowOff>
                  </to>
                </anchor>
              </controlPr>
            </control>
          </mc:Choice>
        </mc:AlternateContent>
        <mc:AlternateContent xmlns:mc="http://schemas.openxmlformats.org/markup-compatibility/2006">
          <mc:Choice Requires="x14">
            <control shapeId="2606688" r:id="rId107" name="Drop Down 3680">
              <controlPr defaultSize="0" autoLine="0" autoPict="0">
                <anchor moveWithCells="1">
                  <from>
                    <xdr:col>5</xdr:col>
                    <xdr:colOff>393700</xdr:colOff>
                    <xdr:row>89</xdr:row>
                    <xdr:rowOff>12700</xdr:rowOff>
                  </from>
                  <to>
                    <xdr:col>5</xdr:col>
                    <xdr:colOff>1085850</xdr:colOff>
                    <xdr:row>90</xdr:row>
                    <xdr:rowOff>19050</xdr:rowOff>
                  </to>
                </anchor>
              </controlPr>
            </control>
          </mc:Choice>
        </mc:AlternateContent>
        <mc:AlternateContent xmlns:mc="http://schemas.openxmlformats.org/markup-compatibility/2006">
          <mc:Choice Requires="x14">
            <control shapeId="2606689" r:id="rId108" name="Drop Down 3681">
              <controlPr defaultSize="0" autoLine="0" autoPict="0">
                <anchor moveWithCells="1">
                  <from>
                    <xdr:col>7</xdr:col>
                    <xdr:colOff>393700</xdr:colOff>
                    <xdr:row>89</xdr:row>
                    <xdr:rowOff>6350</xdr:rowOff>
                  </from>
                  <to>
                    <xdr:col>7</xdr:col>
                    <xdr:colOff>1085850</xdr:colOff>
                    <xdr:row>90</xdr:row>
                    <xdr:rowOff>19050</xdr:rowOff>
                  </to>
                </anchor>
              </controlPr>
            </control>
          </mc:Choice>
        </mc:AlternateContent>
        <mc:AlternateContent xmlns:mc="http://schemas.openxmlformats.org/markup-compatibility/2006">
          <mc:Choice Requires="x14">
            <control shapeId="2606690" r:id="rId109" name="Drop Down 3682">
              <controlPr defaultSize="0" autoLine="0" autoPict="0">
                <anchor moveWithCells="1">
                  <from>
                    <xdr:col>3</xdr:col>
                    <xdr:colOff>400050</xdr:colOff>
                    <xdr:row>90</xdr:row>
                    <xdr:rowOff>0</xdr:rowOff>
                  </from>
                  <to>
                    <xdr:col>3</xdr:col>
                    <xdr:colOff>1085850</xdr:colOff>
                    <xdr:row>91</xdr:row>
                    <xdr:rowOff>0</xdr:rowOff>
                  </to>
                </anchor>
              </controlPr>
            </control>
          </mc:Choice>
        </mc:AlternateContent>
        <mc:AlternateContent xmlns:mc="http://schemas.openxmlformats.org/markup-compatibility/2006">
          <mc:Choice Requires="x14">
            <control shapeId="2606691" r:id="rId110" name="Drop Down 3683">
              <controlPr defaultSize="0" autoLine="0" autoPict="0">
                <anchor moveWithCells="1">
                  <from>
                    <xdr:col>5</xdr:col>
                    <xdr:colOff>393700</xdr:colOff>
                    <xdr:row>90</xdr:row>
                    <xdr:rowOff>12700</xdr:rowOff>
                  </from>
                  <to>
                    <xdr:col>5</xdr:col>
                    <xdr:colOff>1085850</xdr:colOff>
                    <xdr:row>91</xdr:row>
                    <xdr:rowOff>19050</xdr:rowOff>
                  </to>
                </anchor>
              </controlPr>
            </control>
          </mc:Choice>
        </mc:AlternateContent>
        <mc:AlternateContent xmlns:mc="http://schemas.openxmlformats.org/markup-compatibility/2006">
          <mc:Choice Requires="x14">
            <control shapeId="2606692" r:id="rId111" name="Drop Down 3684">
              <controlPr defaultSize="0" autoLine="0" autoPict="0">
                <anchor moveWithCells="1">
                  <from>
                    <xdr:col>7</xdr:col>
                    <xdr:colOff>393700</xdr:colOff>
                    <xdr:row>90</xdr:row>
                    <xdr:rowOff>6350</xdr:rowOff>
                  </from>
                  <to>
                    <xdr:col>7</xdr:col>
                    <xdr:colOff>1085850</xdr:colOff>
                    <xdr:row>91</xdr:row>
                    <xdr:rowOff>19050</xdr:rowOff>
                  </to>
                </anchor>
              </controlPr>
            </control>
          </mc:Choice>
        </mc:AlternateContent>
        <mc:AlternateContent xmlns:mc="http://schemas.openxmlformats.org/markup-compatibility/2006">
          <mc:Choice Requires="x14">
            <control shapeId="2606693" r:id="rId112" name="Drop Down 3685">
              <controlPr defaultSize="0" autoLine="0" autoPict="0">
                <anchor moveWithCells="1">
                  <from>
                    <xdr:col>3</xdr:col>
                    <xdr:colOff>400050</xdr:colOff>
                    <xdr:row>91</xdr:row>
                    <xdr:rowOff>0</xdr:rowOff>
                  </from>
                  <to>
                    <xdr:col>3</xdr:col>
                    <xdr:colOff>1085850</xdr:colOff>
                    <xdr:row>92</xdr:row>
                    <xdr:rowOff>0</xdr:rowOff>
                  </to>
                </anchor>
              </controlPr>
            </control>
          </mc:Choice>
        </mc:AlternateContent>
        <mc:AlternateContent xmlns:mc="http://schemas.openxmlformats.org/markup-compatibility/2006">
          <mc:Choice Requires="x14">
            <control shapeId="2606694" r:id="rId113" name="Drop Down 3686">
              <controlPr defaultSize="0" autoLine="0" autoPict="0">
                <anchor moveWithCells="1">
                  <from>
                    <xdr:col>5</xdr:col>
                    <xdr:colOff>393700</xdr:colOff>
                    <xdr:row>91</xdr:row>
                    <xdr:rowOff>12700</xdr:rowOff>
                  </from>
                  <to>
                    <xdr:col>5</xdr:col>
                    <xdr:colOff>1085850</xdr:colOff>
                    <xdr:row>92</xdr:row>
                    <xdr:rowOff>19050</xdr:rowOff>
                  </to>
                </anchor>
              </controlPr>
            </control>
          </mc:Choice>
        </mc:AlternateContent>
        <mc:AlternateContent xmlns:mc="http://schemas.openxmlformats.org/markup-compatibility/2006">
          <mc:Choice Requires="x14">
            <control shapeId="2606695" r:id="rId114" name="Drop Down 3687">
              <controlPr defaultSize="0" autoLine="0" autoPict="0">
                <anchor moveWithCells="1">
                  <from>
                    <xdr:col>7</xdr:col>
                    <xdr:colOff>393700</xdr:colOff>
                    <xdr:row>91</xdr:row>
                    <xdr:rowOff>6350</xdr:rowOff>
                  </from>
                  <to>
                    <xdr:col>7</xdr:col>
                    <xdr:colOff>1085850</xdr:colOff>
                    <xdr:row>92</xdr:row>
                    <xdr:rowOff>19050</xdr:rowOff>
                  </to>
                </anchor>
              </controlPr>
            </control>
          </mc:Choice>
        </mc:AlternateContent>
        <mc:AlternateContent xmlns:mc="http://schemas.openxmlformats.org/markup-compatibility/2006">
          <mc:Choice Requires="x14">
            <control shapeId="2606696" r:id="rId115" name="Drop Down 3688">
              <controlPr defaultSize="0" autoLine="0" autoPict="0">
                <anchor moveWithCells="1">
                  <from>
                    <xdr:col>3</xdr:col>
                    <xdr:colOff>400050</xdr:colOff>
                    <xdr:row>121</xdr:row>
                    <xdr:rowOff>0</xdr:rowOff>
                  </from>
                  <to>
                    <xdr:col>3</xdr:col>
                    <xdr:colOff>1085850</xdr:colOff>
                    <xdr:row>121</xdr:row>
                    <xdr:rowOff>165100</xdr:rowOff>
                  </to>
                </anchor>
              </controlPr>
            </control>
          </mc:Choice>
        </mc:AlternateContent>
        <mc:AlternateContent xmlns:mc="http://schemas.openxmlformats.org/markup-compatibility/2006">
          <mc:Choice Requires="x14">
            <control shapeId="2606697" r:id="rId116" name="Drop Down 3689">
              <controlPr defaultSize="0" autoLine="0" autoPict="0">
                <anchor moveWithCells="1">
                  <from>
                    <xdr:col>5</xdr:col>
                    <xdr:colOff>393700</xdr:colOff>
                    <xdr:row>121</xdr:row>
                    <xdr:rowOff>12700</xdr:rowOff>
                  </from>
                  <to>
                    <xdr:col>5</xdr:col>
                    <xdr:colOff>1085850</xdr:colOff>
                    <xdr:row>121</xdr:row>
                    <xdr:rowOff>190500</xdr:rowOff>
                  </to>
                </anchor>
              </controlPr>
            </control>
          </mc:Choice>
        </mc:AlternateContent>
        <mc:AlternateContent xmlns:mc="http://schemas.openxmlformats.org/markup-compatibility/2006">
          <mc:Choice Requires="x14">
            <control shapeId="2606698" r:id="rId117" name="Drop Down 3690">
              <controlPr defaultSize="0" autoLine="0" autoPict="0">
                <anchor moveWithCells="1">
                  <from>
                    <xdr:col>7</xdr:col>
                    <xdr:colOff>393700</xdr:colOff>
                    <xdr:row>121</xdr:row>
                    <xdr:rowOff>6350</xdr:rowOff>
                  </from>
                  <to>
                    <xdr:col>7</xdr:col>
                    <xdr:colOff>1085850</xdr:colOff>
                    <xdr:row>121</xdr:row>
                    <xdr:rowOff>190500</xdr:rowOff>
                  </to>
                </anchor>
              </controlPr>
            </control>
          </mc:Choice>
        </mc:AlternateContent>
        <mc:AlternateContent xmlns:mc="http://schemas.openxmlformats.org/markup-compatibility/2006">
          <mc:Choice Requires="x14">
            <control shapeId="2606699" r:id="rId118" name="Drop Down 3691">
              <controlPr defaultSize="0" autoLine="0" autoPict="0">
                <anchor moveWithCells="1">
                  <from>
                    <xdr:col>3</xdr:col>
                    <xdr:colOff>400050</xdr:colOff>
                    <xdr:row>122</xdr:row>
                    <xdr:rowOff>0</xdr:rowOff>
                  </from>
                  <to>
                    <xdr:col>3</xdr:col>
                    <xdr:colOff>1085850</xdr:colOff>
                    <xdr:row>123</xdr:row>
                    <xdr:rowOff>12700</xdr:rowOff>
                  </to>
                </anchor>
              </controlPr>
            </control>
          </mc:Choice>
        </mc:AlternateContent>
        <mc:AlternateContent xmlns:mc="http://schemas.openxmlformats.org/markup-compatibility/2006">
          <mc:Choice Requires="x14">
            <control shapeId="2606700" r:id="rId119" name="Drop Down 3692">
              <controlPr defaultSize="0" autoLine="0" autoPict="0">
                <anchor moveWithCells="1">
                  <from>
                    <xdr:col>5</xdr:col>
                    <xdr:colOff>393700</xdr:colOff>
                    <xdr:row>122</xdr:row>
                    <xdr:rowOff>12700</xdr:rowOff>
                  </from>
                  <to>
                    <xdr:col>5</xdr:col>
                    <xdr:colOff>1085850</xdr:colOff>
                    <xdr:row>123</xdr:row>
                    <xdr:rowOff>31750</xdr:rowOff>
                  </to>
                </anchor>
              </controlPr>
            </control>
          </mc:Choice>
        </mc:AlternateContent>
        <mc:AlternateContent xmlns:mc="http://schemas.openxmlformats.org/markup-compatibility/2006">
          <mc:Choice Requires="x14">
            <control shapeId="2606701" r:id="rId120" name="Drop Down 3693">
              <controlPr defaultSize="0" autoLine="0" autoPict="0">
                <anchor moveWithCells="1">
                  <from>
                    <xdr:col>7</xdr:col>
                    <xdr:colOff>393700</xdr:colOff>
                    <xdr:row>122</xdr:row>
                    <xdr:rowOff>6350</xdr:rowOff>
                  </from>
                  <to>
                    <xdr:col>7</xdr:col>
                    <xdr:colOff>1085850</xdr:colOff>
                    <xdr:row>123</xdr:row>
                    <xdr:rowOff>31750</xdr:rowOff>
                  </to>
                </anchor>
              </controlPr>
            </control>
          </mc:Choice>
        </mc:AlternateContent>
        <mc:AlternateContent xmlns:mc="http://schemas.openxmlformats.org/markup-compatibility/2006">
          <mc:Choice Requires="x14">
            <control shapeId="2606702" r:id="rId121" name="Drop Down 3694">
              <controlPr defaultSize="0" autoLine="0" autoPict="0">
                <anchor moveWithCells="1">
                  <from>
                    <xdr:col>3</xdr:col>
                    <xdr:colOff>400050</xdr:colOff>
                    <xdr:row>124</xdr:row>
                    <xdr:rowOff>0</xdr:rowOff>
                  </from>
                  <to>
                    <xdr:col>3</xdr:col>
                    <xdr:colOff>1085850</xdr:colOff>
                    <xdr:row>124</xdr:row>
                    <xdr:rowOff>165100</xdr:rowOff>
                  </to>
                </anchor>
              </controlPr>
            </control>
          </mc:Choice>
        </mc:AlternateContent>
        <mc:AlternateContent xmlns:mc="http://schemas.openxmlformats.org/markup-compatibility/2006">
          <mc:Choice Requires="x14">
            <control shapeId="2606703" r:id="rId122" name="Drop Down 3695">
              <controlPr defaultSize="0" autoLine="0" autoPict="0">
                <anchor moveWithCells="1">
                  <from>
                    <xdr:col>5</xdr:col>
                    <xdr:colOff>393700</xdr:colOff>
                    <xdr:row>124</xdr:row>
                    <xdr:rowOff>12700</xdr:rowOff>
                  </from>
                  <to>
                    <xdr:col>5</xdr:col>
                    <xdr:colOff>1085850</xdr:colOff>
                    <xdr:row>124</xdr:row>
                    <xdr:rowOff>190500</xdr:rowOff>
                  </to>
                </anchor>
              </controlPr>
            </control>
          </mc:Choice>
        </mc:AlternateContent>
        <mc:AlternateContent xmlns:mc="http://schemas.openxmlformats.org/markup-compatibility/2006">
          <mc:Choice Requires="x14">
            <control shapeId="2606704" r:id="rId123" name="Drop Down 3696">
              <controlPr defaultSize="0" autoLine="0" autoPict="0">
                <anchor moveWithCells="1">
                  <from>
                    <xdr:col>7</xdr:col>
                    <xdr:colOff>393700</xdr:colOff>
                    <xdr:row>124</xdr:row>
                    <xdr:rowOff>6350</xdr:rowOff>
                  </from>
                  <to>
                    <xdr:col>7</xdr:col>
                    <xdr:colOff>1085850</xdr:colOff>
                    <xdr:row>124</xdr:row>
                    <xdr:rowOff>190500</xdr:rowOff>
                  </to>
                </anchor>
              </controlPr>
            </control>
          </mc:Choice>
        </mc:AlternateContent>
        <mc:AlternateContent xmlns:mc="http://schemas.openxmlformats.org/markup-compatibility/2006">
          <mc:Choice Requires="x14">
            <control shapeId="2606705" r:id="rId124" name="Drop Down 3697">
              <controlPr defaultSize="0" autoLine="0" autoPict="0">
                <anchor moveWithCells="1">
                  <from>
                    <xdr:col>3</xdr:col>
                    <xdr:colOff>400050</xdr:colOff>
                    <xdr:row>125</xdr:row>
                    <xdr:rowOff>0</xdr:rowOff>
                  </from>
                  <to>
                    <xdr:col>3</xdr:col>
                    <xdr:colOff>1085850</xdr:colOff>
                    <xdr:row>125</xdr:row>
                    <xdr:rowOff>165100</xdr:rowOff>
                  </to>
                </anchor>
              </controlPr>
            </control>
          </mc:Choice>
        </mc:AlternateContent>
        <mc:AlternateContent xmlns:mc="http://schemas.openxmlformats.org/markup-compatibility/2006">
          <mc:Choice Requires="x14">
            <control shapeId="2606706" r:id="rId125" name="Drop Down 3698">
              <controlPr defaultSize="0" autoLine="0" autoPict="0">
                <anchor moveWithCells="1">
                  <from>
                    <xdr:col>5</xdr:col>
                    <xdr:colOff>393700</xdr:colOff>
                    <xdr:row>125</xdr:row>
                    <xdr:rowOff>12700</xdr:rowOff>
                  </from>
                  <to>
                    <xdr:col>5</xdr:col>
                    <xdr:colOff>1085850</xdr:colOff>
                    <xdr:row>125</xdr:row>
                    <xdr:rowOff>184150</xdr:rowOff>
                  </to>
                </anchor>
              </controlPr>
            </control>
          </mc:Choice>
        </mc:AlternateContent>
        <mc:AlternateContent xmlns:mc="http://schemas.openxmlformats.org/markup-compatibility/2006">
          <mc:Choice Requires="x14">
            <control shapeId="2606707" r:id="rId126" name="Drop Down 3699">
              <controlPr defaultSize="0" autoLine="0" autoPict="0">
                <anchor moveWithCells="1">
                  <from>
                    <xdr:col>7</xdr:col>
                    <xdr:colOff>393700</xdr:colOff>
                    <xdr:row>125</xdr:row>
                    <xdr:rowOff>6350</xdr:rowOff>
                  </from>
                  <to>
                    <xdr:col>7</xdr:col>
                    <xdr:colOff>1085850</xdr:colOff>
                    <xdr:row>125</xdr:row>
                    <xdr:rowOff>184150</xdr:rowOff>
                  </to>
                </anchor>
              </controlPr>
            </control>
          </mc:Choice>
        </mc:AlternateContent>
        <mc:AlternateContent xmlns:mc="http://schemas.openxmlformats.org/markup-compatibility/2006">
          <mc:Choice Requires="x14">
            <control shapeId="2606708" r:id="rId127" name="Drop Down 3700">
              <controlPr defaultSize="0" autoLine="0" autoPict="0">
                <anchor moveWithCells="1">
                  <from>
                    <xdr:col>3</xdr:col>
                    <xdr:colOff>400050</xdr:colOff>
                    <xdr:row>126</xdr:row>
                    <xdr:rowOff>0</xdr:rowOff>
                  </from>
                  <to>
                    <xdr:col>3</xdr:col>
                    <xdr:colOff>1085850</xdr:colOff>
                    <xdr:row>126</xdr:row>
                    <xdr:rowOff>165100</xdr:rowOff>
                  </to>
                </anchor>
              </controlPr>
            </control>
          </mc:Choice>
        </mc:AlternateContent>
        <mc:AlternateContent xmlns:mc="http://schemas.openxmlformats.org/markup-compatibility/2006">
          <mc:Choice Requires="x14">
            <control shapeId="2606709" r:id="rId128" name="Drop Down 3701">
              <controlPr defaultSize="0" autoLine="0" autoPict="0">
                <anchor moveWithCells="1">
                  <from>
                    <xdr:col>5</xdr:col>
                    <xdr:colOff>393700</xdr:colOff>
                    <xdr:row>126</xdr:row>
                    <xdr:rowOff>12700</xdr:rowOff>
                  </from>
                  <to>
                    <xdr:col>5</xdr:col>
                    <xdr:colOff>1085850</xdr:colOff>
                    <xdr:row>126</xdr:row>
                    <xdr:rowOff>184150</xdr:rowOff>
                  </to>
                </anchor>
              </controlPr>
            </control>
          </mc:Choice>
        </mc:AlternateContent>
        <mc:AlternateContent xmlns:mc="http://schemas.openxmlformats.org/markup-compatibility/2006">
          <mc:Choice Requires="x14">
            <control shapeId="2606710" r:id="rId129" name="Drop Down 3702">
              <controlPr defaultSize="0" autoLine="0" autoPict="0">
                <anchor moveWithCells="1">
                  <from>
                    <xdr:col>7</xdr:col>
                    <xdr:colOff>393700</xdr:colOff>
                    <xdr:row>126</xdr:row>
                    <xdr:rowOff>6350</xdr:rowOff>
                  </from>
                  <to>
                    <xdr:col>7</xdr:col>
                    <xdr:colOff>1085850</xdr:colOff>
                    <xdr:row>126</xdr:row>
                    <xdr:rowOff>184150</xdr:rowOff>
                  </to>
                </anchor>
              </controlPr>
            </control>
          </mc:Choice>
        </mc:AlternateContent>
        <mc:AlternateContent xmlns:mc="http://schemas.openxmlformats.org/markup-compatibility/2006">
          <mc:Choice Requires="x14">
            <control shapeId="2606711" r:id="rId130" name="Drop Down 3703">
              <controlPr defaultSize="0" autoLine="0" autoPict="0">
                <anchor moveWithCells="1">
                  <from>
                    <xdr:col>3</xdr:col>
                    <xdr:colOff>400050</xdr:colOff>
                    <xdr:row>156</xdr:row>
                    <xdr:rowOff>0</xdr:rowOff>
                  </from>
                  <to>
                    <xdr:col>3</xdr:col>
                    <xdr:colOff>1085850</xdr:colOff>
                    <xdr:row>157</xdr:row>
                    <xdr:rowOff>0</xdr:rowOff>
                  </to>
                </anchor>
              </controlPr>
            </control>
          </mc:Choice>
        </mc:AlternateContent>
        <mc:AlternateContent xmlns:mc="http://schemas.openxmlformats.org/markup-compatibility/2006">
          <mc:Choice Requires="x14">
            <control shapeId="2606712" r:id="rId131" name="Drop Down 3704">
              <controlPr defaultSize="0" autoLine="0" autoPict="0">
                <anchor moveWithCells="1">
                  <from>
                    <xdr:col>5</xdr:col>
                    <xdr:colOff>393700</xdr:colOff>
                    <xdr:row>156</xdr:row>
                    <xdr:rowOff>12700</xdr:rowOff>
                  </from>
                  <to>
                    <xdr:col>5</xdr:col>
                    <xdr:colOff>1085850</xdr:colOff>
                    <xdr:row>157</xdr:row>
                    <xdr:rowOff>31750</xdr:rowOff>
                  </to>
                </anchor>
              </controlPr>
            </control>
          </mc:Choice>
        </mc:AlternateContent>
        <mc:AlternateContent xmlns:mc="http://schemas.openxmlformats.org/markup-compatibility/2006">
          <mc:Choice Requires="x14">
            <control shapeId="2606713" r:id="rId132" name="Drop Down 3705">
              <controlPr defaultSize="0" autoLine="0" autoPict="0">
                <anchor moveWithCells="1">
                  <from>
                    <xdr:col>7</xdr:col>
                    <xdr:colOff>393700</xdr:colOff>
                    <xdr:row>156</xdr:row>
                    <xdr:rowOff>6350</xdr:rowOff>
                  </from>
                  <to>
                    <xdr:col>7</xdr:col>
                    <xdr:colOff>1085850</xdr:colOff>
                    <xdr:row>157</xdr:row>
                    <xdr:rowOff>31750</xdr:rowOff>
                  </to>
                </anchor>
              </controlPr>
            </control>
          </mc:Choice>
        </mc:AlternateContent>
        <mc:AlternateContent xmlns:mc="http://schemas.openxmlformats.org/markup-compatibility/2006">
          <mc:Choice Requires="x14">
            <control shapeId="2606714" r:id="rId133" name="Drop Down 3706">
              <controlPr defaultSize="0" autoLine="0" autoPict="0">
                <anchor moveWithCells="1">
                  <from>
                    <xdr:col>3</xdr:col>
                    <xdr:colOff>400050</xdr:colOff>
                    <xdr:row>157</xdr:row>
                    <xdr:rowOff>0</xdr:rowOff>
                  </from>
                  <to>
                    <xdr:col>3</xdr:col>
                    <xdr:colOff>1085850</xdr:colOff>
                    <xdr:row>158</xdr:row>
                    <xdr:rowOff>0</xdr:rowOff>
                  </to>
                </anchor>
              </controlPr>
            </control>
          </mc:Choice>
        </mc:AlternateContent>
        <mc:AlternateContent xmlns:mc="http://schemas.openxmlformats.org/markup-compatibility/2006">
          <mc:Choice Requires="x14">
            <control shapeId="2606715" r:id="rId134" name="Drop Down 3707">
              <controlPr defaultSize="0" autoLine="0" autoPict="0">
                <anchor moveWithCells="1">
                  <from>
                    <xdr:col>5</xdr:col>
                    <xdr:colOff>393700</xdr:colOff>
                    <xdr:row>157</xdr:row>
                    <xdr:rowOff>12700</xdr:rowOff>
                  </from>
                  <to>
                    <xdr:col>5</xdr:col>
                    <xdr:colOff>1085850</xdr:colOff>
                    <xdr:row>158</xdr:row>
                    <xdr:rowOff>19050</xdr:rowOff>
                  </to>
                </anchor>
              </controlPr>
            </control>
          </mc:Choice>
        </mc:AlternateContent>
        <mc:AlternateContent xmlns:mc="http://schemas.openxmlformats.org/markup-compatibility/2006">
          <mc:Choice Requires="x14">
            <control shapeId="2606716" r:id="rId135" name="Drop Down 3708">
              <controlPr defaultSize="0" autoLine="0" autoPict="0">
                <anchor moveWithCells="1">
                  <from>
                    <xdr:col>7</xdr:col>
                    <xdr:colOff>393700</xdr:colOff>
                    <xdr:row>157</xdr:row>
                    <xdr:rowOff>6350</xdr:rowOff>
                  </from>
                  <to>
                    <xdr:col>7</xdr:col>
                    <xdr:colOff>1085850</xdr:colOff>
                    <xdr:row>158</xdr:row>
                    <xdr:rowOff>19050</xdr:rowOff>
                  </to>
                </anchor>
              </controlPr>
            </control>
          </mc:Choice>
        </mc:AlternateContent>
        <mc:AlternateContent xmlns:mc="http://schemas.openxmlformats.org/markup-compatibility/2006">
          <mc:Choice Requires="x14">
            <control shapeId="2606717" r:id="rId136" name="Drop Down 3709">
              <controlPr defaultSize="0" autoLine="0" autoPict="0">
                <anchor moveWithCells="1">
                  <from>
                    <xdr:col>3</xdr:col>
                    <xdr:colOff>400050</xdr:colOff>
                    <xdr:row>159</xdr:row>
                    <xdr:rowOff>0</xdr:rowOff>
                  </from>
                  <to>
                    <xdr:col>3</xdr:col>
                    <xdr:colOff>1085850</xdr:colOff>
                    <xdr:row>160</xdr:row>
                    <xdr:rowOff>0</xdr:rowOff>
                  </to>
                </anchor>
              </controlPr>
            </control>
          </mc:Choice>
        </mc:AlternateContent>
        <mc:AlternateContent xmlns:mc="http://schemas.openxmlformats.org/markup-compatibility/2006">
          <mc:Choice Requires="x14">
            <control shapeId="2606718" r:id="rId137" name="Drop Down 3710">
              <controlPr defaultSize="0" autoLine="0" autoPict="0">
                <anchor moveWithCells="1">
                  <from>
                    <xdr:col>5</xdr:col>
                    <xdr:colOff>393700</xdr:colOff>
                    <xdr:row>159</xdr:row>
                    <xdr:rowOff>12700</xdr:rowOff>
                  </from>
                  <to>
                    <xdr:col>5</xdr:col>
                    <xdr:colOff>1085850</xdr:colOff>
                    <xdr:row>160</xdr:row>
                    <xdr:rowOff>31750</xdr:rowOff>
                  </to>
                </anchor>
              </controlPr>
            </control>
          </mc:Choice>
        </mc:AlternateContent>
        <mc:AlternateContent xmlns:mc="http://schemas.openxmlformats.org/markup-compatibility/2006">
          <mc:Choice Requires="x14">
            <control shapeId="2606719" r:id="rId138" name="Drop Down 3711">
              <controlPr defaultSize="0" autoLine="0" autoPict="0">
                <anchor moveWithCells="1">
                  <from>
                    <xdr:col>7</xdr:col>
                    <xdr:colOff>393700</xdr:colOff>
                    <xdr:row>159</xdr:row>
                    <xdr:rowOff>6350</xdr:rowOff>
                  </from>
                  <to>
                    <xdr:col>7</xdr:col>
                    <xdr:colOff>1085850</xdr:colOff>
                    <xdr:row>160</xdr:row>
                    <xdr:rowOff>31750</xdr:rowOff>
                  </to>
                </anchor>
              </controlPr>
            </control>
          </mc:Choice>
        </mc:AlternateContent>
        <mc:AlternateContent xmlns:mc="http://schemas.openxmlformats.org/markup-compatibility/2006">
          <mc:Choice Requires="x14">
            <control shapeId="2606720" r:id="rId139" name="Drop Down 3712">
              <controlPr defaultSize="0" autoLine="0" autoPict="0">
                <anchor moveWithCells="1">
                  <from>
                    <xdr:col>3</xdr:col>
                    <xdr:colOff>400050</xdr:colOff>
                    <xdr:row>160</xdr:row>
                    <xdr:rowOff>0</xdr:rowOff>
                  </from>
                  <to>
                    <xdr:col>3</xdr:col>
                    <xdr:colOff>1085850</xdr:colOff>
                    <xdr:row>160</xdr:row>
                    <xdr:rowOff>165100</xdr:rowOff>
                  </to>
                </anchor>
              </controlPr>
            </control>
          </mc:Choice>
        </mc:AlternateContent>
        <mc:AlternateContent xmlns:mc="http://schemas.openxmlformats.org/markup-compatibility/2006">
          <mc:Choice Requires="x14">
            <control shapeId="2606721" r:id="rId140" name="Drop Down 3713">
              <controlPr defaultSize="0" autoLine="0" autoPict="0">
                <anchor moveWithCells="1">
                  <from>
                    <xdr:col>5</xdr:col>
                    <xdr:colOff>393700</xdr:colOff>
                    <xdr:row>160</xdr:row>
                    <xdr:rowOff>12700</xdr:rowOff>
                  </from>
                  <to>
                    <xdr:col>5</xdr:col>
                    <xdr:colOff>1085850</xdr:colOff>
                    <xdr:row>161</xdr:row>
                    <xdr:rowOff>12700</xdr:rowOff>
                  </to>
                </anchor>
              </controlPr>
            </control>
          </mc:Choice>
        </mc:AlternateContent>
        <mc:AlternateContent xmlns:mc="http://schemas.openxmlformats.org/markup-compatibility/2006">
          <mc:Choice Requires="x14">
            <control shapeId="2606722" r:id="rId141" name="Drop Down 3714">
              <controlPr defaultSize="0" autoLine="0" autoPict="0">
                <anchor moveWithCells="1">
                  <from>
                    <xdr:col>7</xdr:col>
                    <xdr:colOff>393700</xdr:colOff>
                    <xdr:row>160</xdr:row>
                    <xdr:rowOff>6350</xdr:rowOff>
                  </from>
                  <to>
                    <xdr:col>7</xdr:col>
                    <xdr:colOff>1085850</xdr:colOff>
                    <xdr:row>161</xdr:row>
                    <xdr:rowOff>12700</xdr:rowOff>
                  </to>
                </anchor>
              </controlPr>
            </control>
          </mc:Choice>
        </mc:AlternateContent>
        <mc:AlternateContent xmlns:mc="http://schemas.openxmlformats.org/markup-compatibility/2006">
          <mc:Choice Requires="x14">
            <control shapeId="2606723" r:id="rId142" name="Drop Down 3715">
              <controlPr defaultSize="0" autoLine="0" autoPict="0">
                <anchor moveWithCells="1">
                  <from>
                    <xdr:col>3</xdr:col>
                    <xdr:colOff>400050</xdr:colOff>
                    <xdr:row>161</xdr:row>
                    <xdr:rowOff>0</xdr:rowOff>
                  </from>
                  <to>
                    <xdr:col>3</xdr:col>
                    <xdr:colOff>1085850</xdr:colOff>
                    <xdr:row>161</xdr:row>
                    <xdr:rowOff>165100</xdr:rowOff>
                  </to>
                </anchor>
              </controlPr>
            </control>
          </mc:Choice>
        </mc:AlternateContent>
        <mc:AlternateContent xmlns:mc="http://schemas.openxmlformats.org/markup-compatibility/2006">
          <mc:Choice Requires="x14">
            <control shapeId="2606724" r:id="rId143" name="Drop Down 3716">
              <controlPr defaultSize="0" autoLine="0" autoPict="0">
                <anchor moveWithCells="1">
                  <from>
                    <xdr:col>5</xdr:col>
                    <xdr:colOff>393700</xdr:colOff>
                    <xdr:row>161</xdr:row>
                    <xdr:rowOff>12700</xdr:rowOff>
                  </from>
                  <to>
                    <xdr:col>5</xdr:col>
                    <xdr:colOff>1085850</xdr:colOff>
                    <xdr:row>162</xdr:row>
                    <xdr:rowOff>12700</xdr:rowOff>
                  </to>
                </anchor>
              </controlPr>
            </control>
          </mc:Choice>
        </mc:AlternateContent>
        <mc:AlternateContent xmlns:mc="http://schemas.openxmlformats.org/markup-compatibility/2006">
          <mc:Choice Requires="x14">
            <control shapeId="2606725" r:id="rId144" name="Drop Down 3717">
              <controlPr defaultSize="0" autoLine="0" autoPict="0">
                <anchor moveWithCells="1">
                  <from>
                    <xdr:col>7</xdr:col>
                    <xdr:colOff>393700</xdr:colOff>
                    <xdr:row>161</xdr:row>
                    <xdr:rowOff>6350</xdr:rowOff>
                  </from>
                  <to>
                    <xdr:col>7</xdr:col>
                    <xdr:colOff>1085850</xdr:colOff>
                    <xdr:row>162</xdr:row>
                    <xdr:rowOff>12700</xdr:rowOff>
                  </to>
                </anchor>
              </controlPr>
            </control>
          </mc:Choice>
        </mc:AlternateContent>
        <mc:AlternateContent xmlns:mc="http://schemas.openxmlformats.org/markup-compatibility/2006">
          <mc:Choice Requires="x14">
            <control shapeId="2606731" r:id="rId145" name="Drop Down 3723">
              <controlPr defaultSize="0" autoLine="0" autoPict="0">
                <anchor moveWithCells="1">
                  <from>
                    <xdr:col>3</xdr:col>
                    <xdr:colOff>400050</xdr:colOff>
                    <xdr:row>191</xdr:row>
                    <xdr:rowOff>0</xdr:rowOff>
                  </from>
                  <to>
                    <xdr:col>3</xdr:col>
                    <xdr:colOff>1085850</xdr:colOff>
                    <xdr:row>192</xdr:row>
                    <xdr:rowOff>12700</xdr:rowOff>
                  </to>
                </anchor>
              </controlPr>
            </control>
          </mc:Choice>
        </mc:AlternateContent>
        <mc:AlternateContent xmlns:mc="http://schemas.openxmlformats.org/markup-compatibility/2006">
          <mc:Choice Requires="x14">
            <control shapeId="2606732" r:id="rId146" name="Drop Down 3724">
              <controlPr defaultSize="0" autoLine="0" autoPict="0">
                <anchor moveWithCells="1">
                  <from>
                    <xdr:col>5</xdr:col>
                    <xdr:colOff>393700</xdr:colOff>
                    <xdr:row>191</xdr:row>
                    <xdr:rowOff>12700</xdr:rowOff>
                  </from>
                  <to>
                    <xdr:col>5</xdr:col>
                    <xdr:colOff>1085850</xdr:colOff>
                    <xdr:row>192</xdr:row>
                    <xdr:rowOff>12700</xdr:rowOff>
                  </to>
                </anchor>
              </controlPr>
            </control>
          </mc:Choice>
        </mc:AlternateContent>
        <mc:AlternateContent xmlns:mc="http://schemas.openxmlformats.org/markup-compatibility/2006">
          <mc:Choice Requires="x14">
            <control shapeId="2606733" r:id="rId147" name="Drop Down 3725">
              <controlPr defaultSize="0" autoLine="0" autoPict="0">
                <anchor moveWithCells="1">
                  <from>
                    <xdr:col>7</xdr:col>
                    <xdr:colOff>393700</xdr:colOff>
                    <xdr:row>191</xdr:row>
                    <xdr:rowOff>6350</xdr:rowOff>
                  </from>
                  <to>
                    <xdr:col>7</xdr:col>
                    <xdr:colOff>1085850</xdr:colOff>
                    <xdr:row>192</xdr:row>
                    <xdr:rowOff>12700</xdr:rowOff>
                  </to>
                </anchor>
              </controlPr>
            </control>
          </mc:Choice>
        </mc:AlternateContent>
        <mc:AlternateContent xmlns:mc="http://schemas.openxmlformats.org/markup-compatibility/2006">
          <mc:Choice Requires="x14">
            <control shapeId="2606734" r:id="rId148" name="Drop Down 3726">
              <controlPr defaultSize="0" autoLine="0" autoPict="0">
                <anchor moveWithCells="1">
                  <from>
                    <xdr:col>3</xdr:col>
                    <xdr:colOff>400050</xdr:colOff>
                    <xdr:row>192</xdr:row>
                    <xdr:rowOff>0</xdr:rowOff>
                  </from>
                  <to>
                    <xdr:col>3</xdr:col>
                    <xdr:colOff>1085850</xdr:colOff>
                    <xdr:row>193</xdr:row>
                    <xdr:rowOff>12700</xdr:rowOff>
                  </to>
                </anchor>
              </controlPr>
            </control>
          </mc:Choice>
        </mc:AlternateContent>
        <mc:AlternateContent xmlns:mc="http://schemas.openxmlformats.org/markup-compatibility/2006">
          <mc:Choice Requires="x14">
            <control shapeId="2606735" r:id="rId149" name="Drop Down 3727">
              <controlPr defaultSize="0" autoLine="0" autoPict="0">
                <anchor moveWithCells="1">
                  <from>
                    <xdr:col>5</xdr:col>
                    <xdr:colOff>393700</xdr:colOff>
                    <xdr:row>192</xdr:row>
                    <xdr:rowOff>12700</xdr:rowOff>
                  </from>
                  <to>
                    <xdr:col>5</xdr:col>
                    <xdr:colOff>1085850</xdr:colOff>
                    <xdr:row>193</xdr:row>
                    <xdr:rowOff>12700</xdr:rowOff>
                  </to>
                </anchor>
              </controlPr>
            </control>
          </mc:Choice>
        </mc:AlternateContent>
        <mc:AlternateContent xmlns:mc="http://schemas.openxmlformats.org/markup-compatibility/2006">
          <mc:Choice Requires="x14">
            <control shapeId="2606736" r:id="rId150" name="Drop Down 3728">
              <controlPr defaultSize="0" autoLine="0" autoPict="0">
                <anchor moveWithCells="1">
                  <from>
                    <xdr:col>7</xdr:col>
                    <xdr:colOff>393700</xdr:colOff>
                    <xdr:row>192</xdr:row>
                    <xdr:rowOff>6350</xdr:rowOff>
                  </from>
                  <to>
                    <xdr:col>7</xdr:col>
                    <xdr:colOff>1085850</xdr:colOff>
                    <xdr:row>193</xdr:row>
                    <xdr:rowOff>12700</xdr:rowOff>
                  </to>
                </anchor>
              </controlPr>
            </control>
          </mc:Choice>
        </mc:AlternateContent>
        <mc:AlternateContent xmlns:mc="http://schemas.openxmlformats.org/markup-compatibility/2006">
          <mc:Choice Requires="x14">
            <control shapeId="2606737" r:id="rId151" name="Drop Down 3729">
              <controlPr defaultSize="0" autoLine="0" autoPict="0">
                <anchor moveWithCells="1">
                  <from>
                    <xdr:col>3</xdr:col>
                    <xdr:colOff>400050</xdr:colOff>
                    <xdr:row>194</xdr:row>
                    <xdr:rowOff>0</xdr:rowOff>
                  </from>
                  <to>
                    <xdr:col>3</xdr:col>
                    <xdr:colOff>1085850</xdr:colOff>
                    <xdr:row>195</xdr:row>
                    <xdr:rowOff>12700</xdr:rowOff>
                  </to>
                </anchor>
              </controlPr>
            </control>
          </mc:Choice>
        </mc:AlternateContent>
        <mc:AlternateContent xmlns:mc="http://schemas.openxmlformats.org/markup-compatibility/2006">
          <mc:Choice Requires="x14">
            <control shapeId="2606738" r:id="rId152" name="Drop Down 3730">
              <controlPr defaultSize="0" autoLine="0" autoPict="0">
                <anchor moveWithCells="1">
                  <from>
                    <xdr:col>5</xdr:col>
                    <xdr:colOff>393700</xdr:colOff>
                    <xdr:row>194</xdr:row>
                    <xdr:rowOff>12700</xdr:rowOff>
                  </from>
                  <to>
                    <xdr:col>5</xdr:col>
                    <xdr:colOff>1085850</xdr:colOff>
                    <xdr:row>195</xdr:row>
                    <xdr:rowOff>12700</xdr:rowOff>
                  </to>
                </anchor>
              </controlPr>
            </control>
          </mc:Choice>
        </mc:AlternateContent>
        <mc:AlternateContent xmlns:mc="http://schemas.openxmlformats.org/markup-compatibility/2006">
          <mc:Choice Requires="x14">
            <control shapeId="2606739" r:id="rId153" name="Drop Down 3731">
              <controlPr defaultSize="0" autoLine="0" autoPict="0">
                <anchor moveWithCells="1">
                  <from>
                    <xdr:col>7</xdr:col>
                    <xdr:colOff>393700</xdr:colOff>
                    <xdr:row>194</xdr:row>
                    <xdr:rowOff>6350</xdr:rowOff>
                  </from>
                  <to>
                    <xdr:col>7</xdr:col>
                    <xdr:colOff>1085850</xdr:colOff>
                    <xdr:row>195</xdr:row>
                    <xdr:rowOff>12700</xdr:rowOff>
                  </to>
                </anchor>
              </controlPr>
            </control>
          </mc:Choice>
        </mc:AlternateContent>
        <mc:AlternateContent xmlns:mc="http://schemas.openxmlformats.org/markup-compatibility/2006">
          <mc:Choice Requires="x14">
            <control shapeId="2606740" r:id="rId154" name="Drop Down 3732">
              <controlPr defaultSize="0" autoLine="0" autoPict="0">
                <anchor moveWithCells="1">
                  <from>
                    <xdr:col>3</xdr:col>
                    <xdr:colOff>400050</xdr:colOff>
                    <xdr:row>195</xdr:row>
                    <xdr:rowOff>0</xdr:rowOff>
                  </from>
                  <to>
                    <xdr:col>3</xdr:col>
                    <xdr:colOff>1085850</xdr:colOff>
                    <xdr:row>196</xdr:row>
                    <xdr:rowOff>12700</xdr:rowOff>
                  </to>
                </anchor>
              </controlPr>
            </control>
          </mc:Choice>
        </mc:AlternateContent>
        <mc:AlternateContent xmlns:mc="http://schemas.openxmlformats.org/markup-compatibility/2006">
          <mc:Choice Requires="x14">
            <control shapeId="2606741" r:id="rId155" name="Drop Down 3733">
              <controlPr defaultSize="0" autoLine="0" autoPict="0">
                <anchor moveWithCells="1">
                  <from>
                    <xdr:col>5</xdr:col>
                    <xdr:colOff>393700</xdr:colOff>
                    <xdr:row>195</xdr:row>
                    <xdr:rowOff>12700</xdr:rowOff>
                  </from>
                  <to>
                    <xdr:col>5</xdr:col>
                    <xdr:colOff>1085850</xdr:colOff>
                    <xdr:row>196</xdr:row>
                    <xdr:rowOff>12700</xdr:rowOff>
                  </to>
                </anchor>
              </controlPr>
            </control>
          </mc:Choice>
        </mc:AlternateContent>
        <mc:AlternateContent xmlns:mc="http://schemas.openxmlformats.org/markup-compatibility/2006">
          <mc:Choice Requires="x14">
            <control shapeId="2606742" r:id="rId156" name="Drop Down 3734">
              <controlPr defaultSize="0" autoLine="0" autoPict="0">
                <anchor moveWithCells="1">
                  <from>
                    <xdr:col>7</xdr:col>
                    <xdr:colOff>393700</xdr:colOff>
                    <xdr:row>195</xdr:row>
                    <xdr:rowOff>6350</xdr:rowOff>
                  </from>
                  <to>
                    <xdr:col>7</xdr:col>
                    <xdr:colOff>1085850</xdr:colOff>
                    <xdr:row>196</xdr:row>
                    <xdr:rowOff>12700</xdr:rowOff>
                  </to>
                </anchor>
              </controlPr>
            </control>
          </mc:Choice>
        </mc:AlternateContent>
        <mc:AlternateContent xmlns:mc="http://schemas.openxmlformats.org/markup-compatibility/2006">
          <mc:Choice Requires="x14">
            <control shapeId="2606743" r:id="rId157" name="Drop Down 3735">
              <controlPr defaultSize="0" autoLine="0" autoPict="0">
                <anchor moveWithCells="1">
                  <from>
                    <xdr:col>3</xdr:col>
                    <xdr:colOff>400050</xdr:colOff>
                    <xdr:row>196</xdr:row>
                    <xdr:rowOff>0</xdr:rowOff>
                  </from>
                  <to>
                    <xdr:col>3</xdr:col>
                    <xdr:colOff>1085850</xdr:colOff>
                    <xdr:row>197</xdr:row>
                    <xdr:rowOff>12700</xdr:rowOff>
                  </to>
                </anchor>
              </controlPr>
            </control>
          </mc:Choice>
        </mc:AlternateContent>
        <mc:AlternateContent xmlns:mc="http://schemas.openxmlformats.org/markup-compatibility/2006">
          <mc:Choice Requires="x14">
            <control shapeId="2606744" r:id="rId158" name="Drop Down 3736">
              <controlPr defaultSize="0" autoLine="0" autoPict="0">
                <anchor moveWithCells="1">
                  <from>
                    <xdr:col>5</xdr:col>
                    <xdr:colOff>393700</xdr:colOff>
                    <xdr:row>196</xdr:row>
                    <xdr:rowOff>12700</xdr:rowOff>
                  </from>
                  <to>
                    <xdr:col>5</xdr:col>
                    <xdr:colOff>1085850</xdr:colOff>
                    <xdr:row>197</xdr:row>
                    <xdr:rowOff>12700</xdr:rowOff>
                  </to>
                </anchor>
              </controlPr>
            </control>
          </mc:Choice>
        </mc:AlternateContent>
        <mc:AlternateContent xmlns:mc="http://schemas.openxmlformats.org/markup-compatibility/2006">
          <mc:Choice Requires="x14">
            <control shapeId="2606745" r:id="rId159" name="Drop Down 3737">
              <controlPr defaultSize="0" autoLine="0" autoPict="0">
                <anchor moveWithCells="1">
                  <from>
                    <xdr:col>7</xdr:col>
                    <xdr:colOff>393700</xdr:colOff>
                    <xdr:row>196</xdr:row>
                    <xdr:rowOff>6350</xdr:rowOff>
                  </from>
                  <to>
                    <xdr:col>7</xdr:col>
                    <xdr:colOff>1085850</xdr:colOff>
                    <xdr:row>197</xdr:row>
                    <xdr:rowOff>12700</xdr:rowOff>
                  </to>
                </anchor>
              </controlPr>
            </control>
          </mc:Choice>
        </mc:AlternateContent>
        <mc:AlternateContent xmlns:mc="http://schemas.openxmlformats.org/markup-compatibility/2006">
          <mc:Choice Requires="x14">
            <control shapeId="2606746" r:id="rId160" name="Drop Down 3738">
              <controlPr defaultSize="0" autoLine="0" autoPict="0">
                <anchor moveWithCells="1">
                  <from>
                    <xdr:col>5</xdr:col>
                    <xdr:colOff>393700</xdr:colOff>
                    <xdr:row>52</xdr:row>
                    <xdr:rowOff>12700</xdr:rowOff>
                  </from>
                  <to>
                    <xdr:col>5</xdr:col>
                    <xdr:colOff>1085850</xdr:colOff>
                    <xdr:row>53</xdr:row>
                    <xdr:rowOff>12700</xdr:rowOff>
                  </to>
                </anchor>
              </controlPr>
            </control>
          </mc:Choice>
        </mc:AlternateContent>
        <mc:AlternateContent xmlns:mc="http://schemas.openxmlformats.org/markup-compatibility/2006">
          <mc:Choice Requires="x14">
            <control shapeId="2606747" r:id="rId161" name="Drop Down 3739">
              <controlPr defaultSize="0" autoLine="0" autoPict="0">
                <anchor moveWithCells="1">
                  <from>
                    <xdr:col>7</xdr:col>
                    <xdr:colOff>393700</xdr:colOff>
                    <xdr:row>52</xdr:row>
                    <xdr:rowOff>6350</xdr:rowOff>
                  </from>
                  <to>
                    <xdr:col>7</xdr:col>
                    <xdr:colOff>1085850</xdr:colOff>
                    <xdr:row>53</xdr:row>
                    <xdr:rowOff>12700</xdr:rowOff>
                  </to>
                </anchor>
              </controlPr>
            </control>
          </mc:Choice>
        </mc:AlternateContent>
        <mc:AlternateContent xmlns:mc="http://schemas.openxmlformats.org/markup-compatibility/2006">
          <mc:Choice Requires="x14">
            <control shapeId="2606748" r:id="rId162" name="Drop Down 3740">
              <controlPr defaultSize="0" autoLine="0" autoPict="0">
                <anchor moveWithCells="1">
                  <from>
                    <xdr:col>3</xdr:col>
                    <xdr:colOff>406400</xdr:colOff>
                    <xdr:row>53</xdr:row>
                    <xdr:rowOff>0</xdr:rowOff>
                  </from>
                  <to>
                    <xdr:col>3</xdr:col>
                    <xdr:colOff>1098550</xdr:colOff>
                    <xdr:row>54</xdr:row>
                    <xdr:rowOff>0</xdr:rowOff>
                  </to>
                </anchor>
              </controlPr>
            </control>
          </mc:Choice>
        </mc:AlternateContent>
        <mc:AlternateContent xmlns:mc="http://schemas.openxmlformats.org/markup-compatibility/2006">
          <mc:Choice Requires="x14">
            <control shapeId="2606749" r:id="rId163" name="Drop Down 3741">
              <controlPr defaultSize="0" autoLine="0" autoPict="0">
                <anchor moveWithCells="1">
                  <from>
                    <xdr:col>5</xdr:col>
                    <xdr:colOff>393700</xdr:colOff>
                    <xdr:row>53</xdr:row>
                    <xdr:rowOff>12700</xdr:rowOff>
                  </from>
                  <to>
                    <xdr:col>5</xdr:col>
                    <xdr:colOff>1085850</xdr:colOff>
                    <xdr:row>54</xdr:row>
                    <xdr:rowOff>12700</xdr:rowOff>
                  </to>
                </anchor>
              </controlPr>
            </control>
          </mc:Choice>
        </mc:AlternateContent>
        <mc:AlternateContent xmlns:mc="http://schemas.openxmlformats.org/markup-compatibility/2006">
          <mc:Choice Requires="x14">
            <control shapeId="2606750" r:id="rId164" name="Drop Down 3742">
              <controlPr defaultSize="0" autoLine="0" autoPict="0">
                <anchor moveWithCells="1">
                  <from>
                    <xdr:col>7</xdr:col>
                    <xdr:colOff>393700</xdr:colOff>
                    <xdr:row>53</xdr:row>
                    <xdr:rowOff>12700</xdr:rowOff>
                  </from>
                  <to>
                    <xdr:col>7</xdr:col>
                    <xdr:colOff>1085850</xdr:colOff>
                    <xdr:row>54</xdr:row>
                    <xdr:rowOff>12700</xdr:rowOff>
                  </to>
                </anchor>
              </controlPr>
            </control>
          </mc:Choice>
        </mc:AlternateContent>
        <mc:AlternateContent xmlns:mc="http://schemas.openxmlformats.org/markup-compatibility/2006">
          <mc:Choice Requires="x14">
            <control shapeId="2606751" r:id="rId165" name="Drop Down 3743">
              <controlPr defaultSize="0" autoLine="0" autoPict="0">
                <anchor moveWithCells="1">
                  <from>
                    <xdr:col>3</xdr:col>
                    <xdr:colOff>400050</xdr:colOff>
                    <xdr:row>87</xdr:row>
                    <xdr:rowOff>0</xdr:rowOff>
                  </from>
                  <to>
                    <xdr:col>3</xdr:col>
                    <xdr:colOff>1085850</xdr:colOff>
                    <xdr:row>88</xdr:row>
                    <xdr:rowOff>0</xdr:rowOff>
                  </to>
                </anchor>
              </controlPr>
            </control>
          </mc:Choice>
        </mc:AlternateContent>
        <mc:AlternateContent xmlns:mc="http://schemas.openxmlformats.org/markup-compatibility/2006">
          <mc:Choice Requires="x14">
            <control shapeId="2606752" r:id="rId166" name="Drop Down 3744">
              <controlPr defaultSize="0" autoLine="0" autoPict="0">
                <anchor moveWithCells="1">
                  <from>
                    <xdr:col>5</xdr:col>
                    <xdr:colOff>393700</xdr:colOff>
                    <xdr:row>87</xdr:row>
                    <xdr:rowOff>12700</xdr:rowOff>
                  </from>
                  <to>
                    <xdr:col>5</xdr:col>
                    <xdr:colOff>1085850</xdr:colOff>
                    <xdr:row>88</xdr:row>
                    <xdr:rowOff>19050</xdr:rowOff>
                  </to>
                </anchor>
              </controlPr>
            </control>
          </mc:Choice>
        </mc:AlternateContent>
        <mc:AlternateContent xmlns:mc="http://schemas.openxmlformats.org/markup-compatibility/2006">
          <mc:Choice Requires="x14">
            <control shapeId="2606753" r:id="rId167" name="Drop Down 3745">
              <controlPr defaultSize="0" autoLine="0" autoPict="0">
                <anchor moveWithCells="1">
                  <from>
                    <xdr:col>7</xdr:col>
                    <xdr:colOff>393700</xdr:colOff>
                    <xdr:row>87</xdr:row>
                    <xdr:rowOff>6350</xdr:rowOff>
                  </from>
                  <to>
                    <xdr:col>7</xdr:col>
                    <xdr:colOff>1085850</xdr:colOff>
                    <xdr:row>88</xdr:row>
                    <xdr:rowOff>19050</xdr:rowOff>
                  </to>
                </anchor>
              </controlPr>
            </control>
          </mc:Choice>
        </mc:AlternateContent>
        <mc:AlternateContent xmlns:mc="http://schemas.openxmlformats.org/markup-compatibility/2006">
          <mc:Choice Requires="x14">
            <control shapeId="2606754" r:id="rId168" name="Drop Down 3746">
              <controlPr defaultSize="0" autoLine="0" autoPict="0">
                <anchor moveWithCells="1">
                  <from>
                    <xdr:col>3</xdr:col>
                    <xdr:colOff>400050</xdr:colOff>
                    <xdr:row>88</xdr:row>
                    <xdr:rowOff>0</xdr:rowOff>
                  </from>
                  <to>
                    <xdr:col>3</xdr:col>
                    <xdr:colOff>1085850</xdr:colOff>
                    <xdr:row>89</xdr:row>
                    <xdr:rowOff>0</xdr:rowOff>
                  </to>
                </anchor>
              </controlPr>
            </control>
          </mc:Choice>
        </mc:AlternateContent>
        <mc:AlternateContent xmlns:mc="http://schemas.openxmlformats.org/markup-compatibility/2006">
          <mc:Choice Requires="x14">
            <control shapeId="2606755" r:id="rId169" name="Drop Down 3747">
              <controlPr defaultSize="0" autoLine="0" autoPict="0">
                <anchor moveWithCells="1">
                  <from>
                    <xdr:col>5</xdr:col>
                    <xdr:colOff>393700</xdr:colOff>
                    <xdr:row>88</xdr:row>
                    <xdr:rowOff>12700</xdr:rowOff>
                  </from>
                  <to>
                    <xdr:col>5</xdr:col>
                    <xdr:colOff>1085850</xdr:colOff>
                    <xdr:row>89</xdr:row>
                    <xdr:rowOff>19050</xdr:rowOff>
                  </to>
                </anchor>
              </controlPr>
            </control>
          </mc:Choice>
        </mc:AlternateContent>
        <mc:AlternateContent xmlns:mc="http://schemas.openxmlformats.org/markup-compatibility/2006">
          <mc:Choice Requires="x14">
            <control shapeId="2606756" r:id="rId170" name="Drop Down 3748">
              <controlPr defaultSize="0" autoLine="0" autoPict="0">
                <anchor moveWithCells="1">
                  <from>
                    <xdr:col>7</xdr:col>
                    <xdr:colOff>393700</xdr:colOff>
                    <xdr:row>88</xdr:row>
                    <xdr:rowOff>6350</xdr:rowOff>
                  </from>
                  <to>
                    <xdr:col>7</xdr:col>
                    <xdr:colOff>1085850</xdr:colOff>
                    <xdr:row>89</xdr:row>
                    <xdr:rowOff>19050</xdr:rowOff>
                  </to>
                </anchor>
              </controlPr>
            </control>
          </mc:Choice>
        </mc:AlternateContent>
        <mc:AlternateContent xmlns:mc="http://schemas.openxmlformats.org/markup-compatibility/2006">
          <mc:Choice Requires="x14">
            <control shapeId="2606757" r:id="rId171" name="Drop Down 3749">
              <controlPr defaultSize="0" autoLine="0" autoPict="0">
                <anchor moveWithCells="1">
                  <from>
                    <xdr:col>3</xdr:col>
                    <xdr:colOff>400050</xdr:colOff>
                    <xdr:row>122</xdr:row>
                    <xdr:rowOff>0</xdr:rowOff>
                  </from>
                  <to>
                    <xdr:col>3</xdr:col>
                    <xdr:colOff>1085850</xdr:colOff>
                    <xdr:row>123</xdr:row>
                    <xdr:rowOff>12700</xdr:rowOff>
                  </to>
                </anchor>
              </controlPr>
            </control>
          </mc:Choice>
        </mc:AlternateContent>
        <mc:AlternateContent xmlns:mc="http://schemas.openxmlformats.org/markup-compatibility/2006">
          <mc:Choice Requires="x14">
            <control shapeId="2606758" r:id="rId172" name="Drop Down 3750">
              <controlPr defaultSize="0" autoLine="0" autoPict="0">
                <anchor moveWithCells="1">
                  <from>
                    <xdr:col>5</xdr:col>
                    <xdr:colOff>393700</xdr:colOff>
                    <xdr:row>122</xdr:row>
                    <xdr:rowOff>12700</xdr:rowOff>
                  </from>
                  <to>
                    <xdr:col>5</xdr:col>
                    <xdr:colOff>1085850</xdr:colOff>
                    <xdr:row>123</xdr:row>
                    <xdr:rowOff>31750</xdr:rowOff>
                  </to>
                </anchor>
              </controlPr>
            </control>
          </mc:Choice>
        </mc:AlternateContent>
        <mc:AlternateContent xmlns:mc="http://schemas.openxmlformats.org/markup-compatibility/2006">
          <mc:Choice Requires="x14">
            <control shapeId="2606759" r:id="rId173" name="Drop Down 3751">
              <controlPr defaultSize="0" autoLine="0" autoPict="0">
                <anchor moveWithCells="1">
                  <from>
                    <xdr:col>7</xdr:col>
                    <xdr:colOff>393700</xdr:colOff>
                    <xdr:row>122</xdr:row>
                    <xdr:rowOff>6350</xdr:rowOff>
                  </from>
                  <to>
                    <xdr:col>7</xdr:col>
                    <xdr:colOff>1085850</xdr:colOff>
                    <xdr:row>123</xdr:row>
                    <xdr:rowOff>31750</xdr:rowOff>
                  </to>
                </anchor>
              </controlPr>
            </control>
          </mc:Choice>
        </mc:AlternateContent>
        <mc:AlternateContent xmlns:mc="http://schemas.openxmlformats.org/markup-compatibility/2006">
          <mc:Choice Requires="x14">
            <control shapeId="2606760" r:id="rId174" name="Drop Down 3752">
              <controlPr defaultSize="0" autoLine="0" autoPict="0">
                <anchor moveWithCells="1">
                  <from>
                    <xdr:col>3</xdr:col>
                    <xdr:colOff>400050</xdr:colOff>
                    <xdr:row>122</xdr:row>
                    <xdr:rowOff>0</xdr:rowOff>
                  </from>
                  <to>
                    <xdr:col>3</xdr:col>
                    <xdr:colOff>1085850</xdr:colOff>
                    <xdr:row>123</xdr:row>
                    <xdr:rowOff>12700</xdr:rowOff>
                  </to>
                </anchor>
              </controlPr>
            </control>
          </mc:Choice>
        </mc:AlternateContent>
        <mc:AlternateContent xmlns:mc="http://schemas.openxmlformats.org/markup-compatibility/2006">
          <mc:Choice Requires="x14">
            <control shapeId="2606761" r:id="rId175" name="Drop Down 3753">
              <controlPr defaultSize="0" autoLine="0" autoPict="0">
                <anchor moveWithCells="1">
                  <from>
                    <xdr:col>5</xdr:col>
                    <xdr:colOff>393700</xdr:colOff>
                    <xdr:row>122</xdr:row>
                    <xdr:rowOff>12700</xdr:rowOff>
                  </from>
                  <to>
                    <xdr:col>5</xdr:col>
                    <xdr:colOff>1085850</xdr:colOff>
                    <xdr:row>123</xdr:row>
                    <xdr:rowOff>31750</xdr:rowOff>
                  </to>
                </anchor>
              </controlPr>
            </control>
          </mc:Choice>
        </mc:AlternateContent>
        <mc:AlternateContent xmlns:mc="http://schemas.openxmlformats.org/markup-compatibility/2006">
          <mc:Choice Requires="x14">
            <control shapeId="2606762" r:id="rId176" name="Drop Down 3754">
              <controlPr defaultSize="0" autoLine="0" autoPict="0">
                <anchor moveWithCells="1">
                  <from>
                    <xdr:col>7</xdr:col>
                    <xdr:colOff>393700</xdr:colOff>
                    <xdr:row>122</xdr:row>
                    <xdr:rowOff>6350</xdr:rowOff>
                  </from>
                  <to>
                    <xdr:col>7</xdr:col>
                    <xdr:colOff>1085850</xdr:colOff>
                    <xdr:row>123</xdr:row>
                    <xdr:rowOff>31750</xdr:rowOff>
                  </to>
                </anchor>
              </controlPr>
            </control>
          </mc:Choice>
        </mc:AlternateContent>
        <mc:AlternateContent xmlns:mc="http://schemas.openxmlformats.org/markup-compatibility/2006">
          <mc:Choice Requires="x14">
            <control shapeId="2606763" r:id="rId177" name="Drop Down 3755">
              <controlPr defaultSize="0" autoLine="0" autoPict="0">
                <anchor moveWithCells="1">
                  <from>
                    <xdr:col>3</xdr:col>
                    <xdr:colOff>400050</xdr:colOff>
                    <xdr:row>123</xdr:row>
                    <xdr:rowOff>0</xdr:rowOff>
                  </from>
                  <to>
                    <xdr:col>3</xdr:col>
                    <xdr:colOff>1085850</xdr:colOff>
                    <xdr:row>124</xdr:row>
                    <xdr:rowOff>12700</xdr:rowOff>
                  </to>
                </anchor>
              </controlPr>
            </control>
          </mc:Choice>
        </mc:AlternateContent>
        <mc:AlternateContent xmlns:mc="http://schemas.openxmlformats.org/markup-compatibility/2006">
          <mc:Choice Requires="x14">
            <control shapeId="2606764" r:id="rId178" name="Drop Down 3756">
              <controlPr defaultSize="0" autoLine="0" autoPict="0">
                <anchor moveWithCells="1">
                  <from>
                    <xdr:col>5</xdr:col>
                    <xdr:colOff>393700</xdr:colOff>
                    <xdr:row>123</xdr:row>
                    <xdr:rowOff>12700</xdr:rowOff>
                  </from>
                  <to>
                    <xdr:col>5</xdr:col>
                    <xdr:colOff>1085850</xdr:colOff>
                    <xdr:row>124</xdr:row>
                    <xdr:rowOff>38100</xdr:rowOff>
                  </to>
                </anchor>
              </controlPr>
            </control>
          </mc:Choice>
        </mc:AlternateContent>
        <mc:AlternateContent xmlns:mc="http://schemas.openxmlformats.org/markup-compatibility/2006">
          <mc:Choice Requires="x14">
            <control shapeId="2606765" r:id="rId179" name="Drop Down 3757">
              <controlPr defaultSize="0" autoLine="0" autoPict="0">
                <anchor moveWithCells="1">
                  <from>
                    <xdr:col>7</xdr:col>
                    <xdr:colOff>393700</xdr:colOff>
                    <xdr:row>123</xdr:row>
                    <xdr:rowOff>6350</xdr:rowOff>
                  </from>
                  <to>
                    <xdr:col>7</xdr:col>
                    <xdr:colOff>1085850</xdr:colOff>
                    <xdr:row>124</xdr:row>
                    <xdr:rowOff>38100</xdr:rowOff>
                  </to>
                </anchor>
              </controlPr>
            </control>
          </mc:Choice>
        </mc:AlternateContent>
        <mc:AlternateContent xmlns:mc="http://schemas.openxmlformats.org/markup-compatibility/2006">
          <mc:Choice Requires="x14">
            <control shapeId="2606766" r:id="rId180" name="Drop Down 3758">
              <controlPr defaultSize="0" autoLine="0" autoPict="0">
                <anchor moveWithCells="1">
                  <from>
                    <xdr:col>3</xdr:col>
                    <xdr:colOff>400050</xdr:colOff>
                    <xdr:row>157</xdr:row>
                    <xdr:rowOff>0</xdr:rowOff>
                  </from>
                  <to>
                    <xdr:col>3</xdr:col>
                    <xdr:colOff>1085850</xdr:colOff>
                    <xdr:row>158</xdr:row>
                    <xdr:rowOff>0</xdr:rowOff>
                  </to>
                </anchor>
              </controlPr>
            </control>
          </mc:Choice>
        </mc:AlternateContent>
        <mc:AlternateContent xmlns:mc="http://schemas.openxmlformats.org/markup-compatibility/2006">
          <mc:Choice Requires="x14">
            <control shapeId="2606767" r:id="rId181" name="Drop Down 3759">
              <controlPr defaultSize="0" autoLine="0" autoPict="0">
                <anchor moveWithCells="1">
                  <from>
                    <xdr:col>5</xdr:col>
                    <xdr:colOff>393700</xdr:colOff>
                    <xdr:row>157</xdr:row>
                    <xdr:rowOff>12700</xdr:rowOff>
                  </from>
                  <to>
                    <xdr:col>5</xdr:col>
                    <xdr:colOff>1085850</xdr:colOff>
                    <xdr:row>158</xdr:row>
                    <xdr:rowOff>19050</xdr:rowOff>
                  </to>
                </anchor>
              </controlPr>
            </control>
          </mc:Choice>
        </mc:AlternateContent>
        <mc:AlternateContent xmlns:mc="http://schemas.openxmlformats.org/markup-compatibility/2006">
          <mc:Choice Requires="x14">
            <control shapeId="2606768" r:id="rId182" name="Drop Down 3760">
              <controlPr defaultSize="0" autoLine="0" autoPict="0">
                <anchor moveWithCells="1">
                  <from>
                    <xdr:col>7</xdr:col>
                    <xdr:colOff>393700</xdr:colOff>
                    <xdr:row>157</xdr:row>
                    <xdr:rowOff>6350</xdr:rowOff>
                  </from>
                  <to>
                    <xdr:col>7</xdr:col>
                    <xdr:colOff>1085850</xdr:colOff>
                    <xdr:row>158</xdr:row>
                    <xdr:rowOff>19050</xdr:rowOff>
                  </to>
                </anchor>
              </controlPr>
            </control>
          </mc:Choice>
        </mc:AlternateContent>
        <mc:AlternateContent xmlns:mc="http://schemas.openxmlformats.org/markup-compatibility/2006">
          <mc:Choice Requires="x14">
            <control shapeId="2606769" r:id="rId183" name="Drop Down 3761">
              <controlPr defaultSize="0" autoLine="0" autoPict="0">
                <anchor moveWithCells="1">
                  <from>
                    <xdr:col>3</xdr:col>
                    <xdr:colOff>400050</xdr:colOff>
                    <xdr:row>158</xdr:row>
                    <xdr:rowOff>0</xdr:rowOff>
                  </from>
                  <to>
                    <xdr:col>3</xdr:col>
                    <xdr:colOff>1085850</xdr:colOff>
                    <xdr:row>159</xdr:row>
                    <xdr:rowOff>0</xdr:rowOff>
                  </to>
                </anchor>
              </controlPr>
            </control>
          </mc:Choice>
        </mc:AlternateContent>
        <mc:AlternateContent xmlns:mc="http://schemas.openxmlformats.org/markup-compatibility/2006">
          <mc:Choice Requires="x14">
            <control shapeId="2606770" r:id="rId184" name="Drop Down 3762">
              <controlPr defaultSize="0" autoLine="0" autoPict="0">
                <anchor moveWithCells="1">
                  <from>
                    <xdr:col>5</xdr:col>
                    <xdr:colOff>393700</xdr:colOff>
                    <xdr:row>158</xdr:row>
                    <xdr:rowOff>12700</xdr:rowOff>
                  </from>
                  <to>
                    <xdr:col>5</xdr:col>
                    <xdr:colOff>1085850</xdr:colOff>
                    <xdr:row>159</xdr:row>
                    <xdr:rowOff>31750</xdr:rowOff>
                  </to>
                </anchor>
              </controlPr>
            </control>
          </mc:Choice>
        </mc:AlternateContent>
        <mc:AlternateContent xmlns:mc="http://schemas.openxmlformats.org/markup-compatibility/2006">
          <mc:Choice Requires="x14">
            <control shapeId="2606771" r:id="rId185" name="Drop Down 3763">
              <controlPr defaultSize="0" autoLine="0" autoPict="0">
                <anchor moveWithCells="1">
                  <from>
                    <xdr:col>7</xdr:col>
                    <xdr:colOff>393700</xdr:colOff>
                    <xdr:row>158</xdr:row>
                    <xdr:rowOff>6350</xdr:rowOff>
                  </from>
                  <to>
                    <xdr:col>7</xdr:col>
                    <xdr:colOff>1085850</xdr:colOff>
                    <xdr:row>159</xdr:row>
                    <xdr:rowOff>31750</xdr:rowOff>
                  </to>
                </anchor>
              </controlPr>
            </control>
          </mc:Choice>
        </mc:AlternateContent>
        <mc:AlternateContent xmlns:mc="http://schemas.openxmlformats.org/markup-compatibility/2006">
          <mc:Choice Requires="x14">
            <control shapeId="2606772" r:id="rId186" name="Drop Down 3764">
              <controlPr defaultSize="0" autoLine="0" autoPict="0">
                <anchor moveWithCells="1">
                  <from>
                    <xdr:col>5</xdr:col>
                    <xdr:colOff>393700</xdr:colOff>
                    <xdr:row>192</xdr:row>
                    <xdr:rowOff>12700</xdr:rowOff>
                  </from>
                  <to>
                    <xdr:col>5</xdr:col>
                    <xdr:colOff>1085850</xdr:colOff>
                    <xdr:row>193</xdr:row>
                    <xdr:rowOff>12700</xdr:rowOff>
                  </to>
                </anchor>
              </controlPr>
            </control>
          </mc:Choice>
        </mc:AlternateContent>
        <mc:AlternateContent xmlns:mc="http://schemas.openxmlformats.org/markup-compatibility/2006">
          <mc:Choice Requires="x14">
            <control shapeId="2606773" r:id="rId187" name="Drop Down 3765">
              <controlPr defaultSize="0" autoLine="0" autoPict="0">
                <anchor moveWithCells="1">
                  <from>
                    <xdr:col>7</xdr:col>
                    <xdr:colOff>393700</xdr:colOff>
                    <xdr:row>192</xdr:row>
                    <xdr:rowOff>6350</xdr:rowOff>
                  </from>
                  <to>
                    <xdr:col>7</xdr:col>
                    <xdr:colOff>1085850</xdr:colOff>
                    <xdr:row>193</xdr:row>
                    <xdr:rowOff>12700</xdr:rowOff>
                  </to>
                </anchor>
              </controlPr>
            </control>
          </mc:Choice>
        </mc:AlternateContent>
        <mc:AlternateContent xmlns:mc="http://schemas.openxmlformats.org/markup-compatibility/2006">
          <mc:Choice Requires="x14">
            <control shapeId="2606774" r:id="rId188" name="Drop Down 3766">
              <controlPr defaultSize="0" autoLine="0" autoPict="0">
                <anchor moveWithCells="1">
                  <from>
                    <xdr:col>3</xdr:col>
                    <xdr:colOff>400050</xdr:colOff>
                    <xdr:row>193</xdr:row>
                    <xdr:rowOff>0</xdr:rowOff>
                  </from>
                  <to>
                    <xdr:col>3</xdr:col>
                    <xdr:colOff>1085850</xdr:colOff>
                    <xdr:row>194</xdr:row>
                    <xdr:rowOff>12700</xdr:rowOff>
                  </to>
                </anchor>
              </controlPr>
            </control>
          </mc:Choice>
        </mc:AlternateContent>
        <mc:AlternateContent xmlns:mc="http://schemas.openxmlformats.org/markup-compatibility/2006">
          <mc:Choice Requires="x14">
            <control shapeId="2606775" r:id="rId189" name="Drop Down 3767">
              <controlPr defaultSize="0" autoLine="0" autoPict="0">
                <anchor moveWithCells="1">
                  <from>
                    <xdr:col>5</xdr:col>
                    <xdr:colOff>393700</xdr:colOff>
                    <xdr:row>193</xdr:row>
                    <xdr:rowOff>12700</xdr:rowOff>
                  </from>
                  <to>
                    <xdr:col>5</xdr:col>
                    <xdr:colOff>1085850</xdr:colOff>
                    <xdr:row>194</xdr:row>
                    <xdr:rowOff>12700</xdr:rowOff>
                  </to>
                </anchor>
              </controlPr>
            </control>
          </mc:Choice>
        </mc:AlternateContent>
        <mc:AlternateContent xmlns:mc="http://schemas.openxmlformats.org/markup-compatibility/2006">
          <mc:Choice Requires="x14">
            <control shapeId="2606776" r:id="rId190" name="Drop Down 3768">
              <controlPr defaultSize="0" autoLine="0" autoPict="0">
                <anchor moveWithCells="1">
                  <from>
                    <xdr:col>7</xdr:col>
                    <xdr:colOff>393700</xdr:colOff>
                    <xdr:row>193</xdr:row>
                    <xdr:rowOff>6350</xdr:rowOff>
                  </from>
                  <to>
                    <xdr:col>7</xdr:col>
                    <xdr:colOff>1085850</xdr:colOff>
                    <xdr:row>194</xdr:row>
                    <xdr:rowOff>12700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197BD-83CD-4B6F-81D1-555517F4C72C}">
  <dimension ref="A1:E24"/>
  <sheetViews>
    <sheetView workbookViewId="0">
      <selection activeCell="G12" sqref="G12"/>
    </sheetView>
  </sheetViews>
  <sheetFormatPr defaultRowHeight="12.5" x14ac:dyDescent="0.25"/>
  <cols>
    <col min="1" max="1" width="43.90625" style="219" bestFit="1" customWidth="1"/>
    <col min="2" max="2" width="10.453125" style="219" bestFit="1" customWidth="1"/>
    <col min="3" max="3" width="11.7265625" style="219" customWidth="1"/>
    <col min="4" max="4" width="12.54296875" style="219" customWidth="1"/>
    <col min="5" max="16384" width="8.7265625" style="219"/>
  </cols>
  <sheetData>
    <row r="1" spans="1:5" ht="13" x14ac:dyDescent="0.25">
      <c r="A1" s="249" t="s">
        <v>13</v>
      </c>
      <c r="B1" s="249" t="s">
        <v>98</v>
      </c>
      <c r="C1" s="249" t="s">
        <v>99</v>
      </c>
      <c r="D1" s="249" t="s">
        <v>100</v>
      </c>
      <c r="E1" s="262" t="s">
        <v>14</v>
      </c>
    </row>
    <row r="2" spans="1:5" ht="13" x14ac:dyDescent="0.25">
      <c r="A2" s="250" t="s">
        <v>15</v>
      </c>
      <c r="B2" s="250"/>
      <c r="C2" s="251"/>
      <c r="D2" s="251"/>
      <c r="E2" s="252"/>
    </row>
    <row r="3" spans="1:5" ht="14.5" x14ac:dyDescent="0.25">
      <c r="A3" s="253" t="s">
        <v>37</v>
      </c>
      <c r="B3" s="253" t="s">
        <v>101</v>
      </c>
      <c r="C3" s="254">
        <v>2880</v>
      </c>
      <c r="D3" s="254">
        <v>2880</v>
      </c>
      <c r="E3" s="252" t="s">
        <v>162</v>
      </c>
    </row>
    <row r="4" spans="1:5" x14ac:dyDescent="0.25">
      <c r="A4" s="253" t="s">
        <v>17</v>
      </c>
      <c r="B4" s="253" t="s">
        <v>102</v>
      </c>
      <c r="C4" s="251">
        <v>0.5</v>
      </c>
      <c r="D4" s="251">
        <v>0.5</v>
      </c>
      <c r="E4" s="255" t="s">
        <v>18</v>
      </c>
    </row>
    <row r="5" spans="1:5" ht="14.5" x14ac:dyDescent="0.25">
      <c r="A5" s="253" t="s">
        <v>19</v>
      </c>
      <c r="B5" s="253" t="s">
        <v>103</v>
      </c>
      <c r="C5" s="251">
        <v>6</v>
      </c>
      <c r="D5" s="251">
        <v>8</v>
      </c>
      <c r="E5" s="252" t="s">
        <v>163</v>
      </c>
    </row>
    <row r="6" spans="1:5" x14ac:dyDescent="0.25">
      <c r="A6" s="253" t="s">
        <v>20</v>
      </c>
      <c r="B6" s="253" t="s">
        <v>104</v>
      </c>
      <c r="C6" s="251">
        <v>4</v>
      </c>
      <c r="D6" s="251">
        <v>7</v>
      </c>
      <c r="E6" s="252" t="s">
        <v>21</v>
      </c>
    </row>
    <row r="7" spans="1:5" x14ac:dyDescent="0.25">
      <c r="A7" s="253" t="s">
        <v>22</v>
      </c>
      <c r="B7" s="253" t="s">
        <v>105</v>
      </c>
      <c r="C7" s="251">
        <v>1</v>
      </c>
      <c r="D7" s="251">
        <v>1</v>
      </c>
      <c r="E7" s="252" t="s">
        <v>21</v>
      </c>
    </row>
    <row r="8" spans="1:5" ht="14.5" x14ac:dyDescent="0.25">
      <c r="A8" s="253" t="s">
        <v>23</v>
      </c>
      <c r="B8" s="253" t="s">
        <v>106</v>
      </c>
      <c r="C8" s="256">
        <v>1.5200000000000001E-3</v>
      </c>
      <c r="D8" s="256">
        <v>1.6559999999999999E-3</v>
      </c>
      <c r="E8" s="252" t="s">
        <v>164</v>
      </c>
    </row>
    <row r="9" spans="1:5" x14ac:dyDescent="0.25">
      <c r="A9" s="253" t="s">
        <v>24</v>
      </c>
      <c r="B9" s="253" t="s">
        <v>107</v>
      </c>
      <c r="C9" s="251">
        <v>0.47</v>
      </c>
      <c r="D9" s="251">
        <v>0.47</v>
      </c>
      <c r="E9" s="255" t="s">
        <v>18</v>
      </c>
    </row>
    <row r="10" spans="1:5" x14ac:dyDescent="0.25">
      <c r="A10" s="253" t="s">
        <v>25</v>
      </c>
      <c r="B10" s="253" t="s">
        <v>108</v>
      </c>
      <c r="C10" s="251">
        <v>0.25</v>
      </c>
      <c r="D10" s="251">
        <v>0.25</v>
      </c>
      <c r="E10" s="255" t="s">
        <v>18</v>
      </c>
    </row>
    <row r="11" spans="1:5" x14ac:dyDescent="0.25">
      <c r="A11" s="253" t="s">
        <v>26</v>
      </c>
      <c r="B11" s="253" t="s">
        <v>109</v>
      </c>
      <c r="C11" s="257">
        <v>1</v>
      </c>
      <c r="D11" s="257">
        <v>1</v>
      </c>
      <c r="E11" s="255" t="s">
        <v>18</v>
      </c>
    </row>
    <row r="12" spans="1:5" x14ac:dyDescent="0.25">
      <c r="A12" s="253" t="s">
        <v>27</v>
      </c>
      <c r="B12" s="253" t="s">
        <v>110</v>
      </c>
      <c r="C12" s="254">
        <v>150</v>
      </c>
      <c r="D12" s="254">
        <v>140</v>
      </c>
      <c r="E12" s="258" t="s">
        <v>21</v>
      </c>
    </row>
    <row r="13" spans="1:5" ht="14.5" x14ac:dyDescent="0.25">
      <c r="A13" s="253" t="s">
        <v>28</v>
      </c>
      <c r="B13" s="253" t="s">
        <v>111</v>
      </c>
      <c r="C13" s="251">
        <v>5.0000000000000001E-3</v>
      </c>
      <c r="D13" s="251">
        <v>5.0000000000000001E-3</v>
      </c>
      <c r="E13" s="252" t="s">
        <v>165</v>
      </c>
    </row>
    <row r="14" spans="1:5" ht="25" x14ac:dyDescent="0.25">
      <c r="A14" s="253" t="s">
        <v>112</v>
      </c>
      <c r="B14" s="253" t="s">
        <v>113</v>
      </c>
      <c r="C14" s="251">
        <v>0</v>
      </c>
      <c r="D14" s="251">
        <v>0</v>
      </c>
      <c r="E14" s="252" t="s">
        <v>21</v>
      </c>
    </row>
    <row r="15" spans="1:5" x14ac:dyDescent="0.25">
      <c r="A15" s="253" t="s">
        <v>16</v>
      </c>
      <c r="B15" s="253" t="s">
        <v>114</v>
      </c>
      <c r="C15" s="251">
        <v>1</v>
      </c>
      <c r="D15" s="251">
        <v>1</v>
      </c>
      <c r="E15" s="252" t="s">
        <v>42</v>
      </c>
    </row>
    <row r="16" spans="1:5" x14ac:dyDescent="0.25">
      <c r="A16" s="253" t="s">
        <v>115</v>
      </c>
      <c r="B16" s="253" t="s">
        <v>116</v>
      </c>
      <c r="C16" s="251">
        <v>1</v>
      </c>
      <c r="D16" s="251">
        <v>1</v>
      </c>
      <c r="E16" s="252" t="s">
        <v>18</v>
      </c>
    </row>
    <row r="17" spans="1:5" ht="13" x14ac:dyDescent="0.25">
      <c r="A17" s="259" t="s">
        <v>29</v>
      </c>
      <c r="B17" s="259"/>
      <c r="C17" s="260"/>
      <c r="D17" s="260"/>
      <c r="E17" s="255"/>
    </row>
    <row r="18" spans="1:5" x14ac:dyDescent="0.25">
      <c r="A18" s="253" t="s">
        <v>30</v>
      </c>
      <c r="B18" s="253" t="s">
        <v>117</v>
      </c>
      <c r="C18" s="257">
        <v>3</v>
      </c>
      <c r="D18" s="257">
        <v>3</v>
      </c>
      <c r="E18" s="255" t="s">
        <v>18</v>
      </c>
    </row>
    <row r="19" spans="1:5" ht="13" x14ac:dyDescent="0.25">
      <c r="A19" s="259" t="s">
        <v>118</v>
      </c>
    </row>
    <row r="20" spans="1:5" x14ac:dyDescent="0.25">
      <c r="A20" s="253" t="s">
        <v>119</v>
      </c>
      <c r="B20" s="219" t="s">
        <v>120</v>
      </c>
      <c r="C20" s="219">
        <v>50</v>
      </c>
      <c r="D20" s="219">
        <v>50</v>
      </c>
      <c r="E20" s="219" t="s">
        <v>21</v>
      </c>
    </row>
    <row r="21" spans="1:5" x14ac:dyDescent="0.25">
      <c r="A21" s="219" t="s">
        <v>10</v>
      </c>
      <c r="B21" s="219" t="s">
        <v>121</v>
      </c>
      <c r="C21" s="219">
        <v>0</v>
      </c>
      <c r="D21" s="219">
        <v>0</v>
      </c>
      <c r="E21" s="252" t="s">
        <v>21</v>
      </c>
    </row>
    <row r="22" spans="1:5" x14ac:dyDescent="0.25">
      <c r="A22" s="219" t="s">
        <v>8</v>
      </c>
      <c r="B22" s="219" t="s">
        <v>122</v>
      </c>
      <c r="C22" s="219">
        <v>0</v>
      </c>
      <c r="D22" s="219">
        <v>0</v>
      </c>
      <c r="E22" s="252" t="s">
        <v>21</v>
      </c>
    </row>
    <row r="23" spans="1:5" x14ac:dyDescent="0.25">
      <c r="A23" s="261" t="s">
        <v>0</v>
      </c>
      <c r="B23" s="219" t="s">
        <v>123</v>
      </c>
      <c r="C23" s="219">
        <v>0</v>
      </c>
      <c r="D23" s="219">
        <v>0</v>
      </c>
      <c r="E23" s="252" t="s">
        <v>21</v>
      </c>
    </row>
    <row r="24" spans="1:5" x14ac:dyDescent="0.25">
      <c r="A24" s="219" t="s">
        <v>36</v>
      </c>
      <c r="B24" s="219" t="s">
        <v>124</v>
      </c>
      <c r="C24" s="219">
        <v>0</v>
      </c>
      <c r="D24" s="219">
        <v>0</v>
      </c>
      <c r="E24" s="252" t="s">
        <v>21</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0654A-2F25-4DEF-81A5-C4289EF6BCE3}">
  <dimension ref="A1:F10"/>
  <sheetViews>
    <sheetView workbookViewId="0">
      <selection activeCell="H4" sqref="H4"/>
    </sheetView>
  </sheetViews>
  <sheetFormatPr defaultRowHeight="12.5" x14ac:dyDescent="0.25"/>
  <cols>
    <col min="1" max="1" width="11.26953125" bestFit="1" customWidth="1"/>
    <col min="2" max="2" width="11.6328125" bestFit="1" customWidth="1"/>
    <col min="3" max="3" width="10" bestFit="1" customWidth="1"/>
    <col min="4" max="4" width="11.81640625" bestFit="1" customWidth="1"/>
    <col min="5" max="5" width="7.6328125" bestFit="1" customWidth="1"/>
    <col min="6" max="6" width="5.26953125" bestFit="1" customWidth="1"/>
  </cols>
  <sheetData>
    <row r="1" spans="1:6" ht="13" x14ac:dyDescent="0.3">
      <c r="A1" s="263" t="s">
        <v>125</v>
      </c>
      <c r="B1" s="263" t="s">
        <v>126</v>
      </c>
      <c r="C1" s="263" t="s">
        <v>127</v>
      </c>
      <c r="D1" s="263" t="s">
        <v>128</v>
      </c>
      <c r="E1" s="263" t="s">
        <v>129</v>
      </c>
      <c r="F1" s="263" t="s">
        <v>130</v>
      </c>
    </row>
    <row r="2" spans="1:6" x14ac:dyDescent="0.25">
      <c r="A2" t="s">
        <v>131</v>
      </c>
      <c r="B2" t="s">
        <v>132</v>
      </c>
      <c r="C2" t="s">
        <v>133</v>
      </c>
      <c r="D2">
        <f>LN(2)/E2</f>
        <v>0.34657359027997264</v>
      </c>
      <c r="E2">
        <v>2</v>
      </c>
      <c r="F2">
        <v>1</v>
      </c>
    </row>
    <row r="3" spans="1:6" x14ac:dyDescent="0.25">
      <c r="A3" t="s">
        <v>131</v>
      </c>
      <c r="B3" t="s">
        <v>134</v>
      </c>
      <c r="C3" t="s">
        <v>135</v>
      </c>
      <c r="D3">
        <f t="shared" ref="D3:D10" si="0">LN(2)/E3</f>
        <v>2.7725887222397813E-2</v>
      </c>
      <c r="E3">
        <v>25</v>
      </c>
      <c r="F3">
        <v>1</v>
      </c>
    </row>
    <row r="4" spans="1:6" x14ac:dyDescent="0.25">
      <c r="A4" t="s">
        <v>131</v>
      </c>
      <c r="B4" t="s">
        <v>136</v>
      </c>
      <c r="C4" t="s">
        <v>137</v>
      </c>
      <c r="D4">
        <f t="shared" si="0"/>
        <v>1.980420515885558E-2</v>
      </c>
      <c r="E4">
        <v>35</v>
      </c>
      <c r="F4">
        <v>1</v>
      </c>
    </row>
    <row r="5" spans="1:6" x14ac:dyDescent="0.25">
      <c r="A5" t="s">
        <v>131</v>
      </c>
      <c r="B5" t="s">
        <v>138</v>
      </c>
      <c r="C5" t="s">
        <v>139</v>
      </c>
      <c r="D5">
        <f t="shared" si="0"/>
        <v>0.24843984966306282</v>
      </c>
      <c r="E5">
        <v>2.79</v>
      </c>
      <c r="F5">
        <v>1</v>
      </c>
    </row>
    <row r="6" spans="1:6" x14ac:dyDescent="0.25">
      <c r="A6" t="s">
        <v>140</v>
      </c>
      <c r="B6" t="s">
        <v>141</v>
      </c>
      <c r="C6" t="s">
        <v>142</v>
      </c>
      <c r="D6">
        <f t="shared" si="0"/>
        <v>0.56353429313816694</v>
      </c>
      <c r="E6">
        <v>1.23</v>
      </c>
      <c r="F6">
        <v>1</v>
      </c>
    </row>
    <row r="7" spans="1:6" x14ac:dyDescent="0.25">
      <c r="A7" t="s">
        <v>140</v>
      </c>
      <c r="B7" t="s">
        <v>143</v>
      </c>
      <c r="C7" t="s">
        <v>144</v>
      </c>
      <c r="D7">
        <f t="shared" si="0"/>
        <v>5.3319013889226559E-2</v>
      </c>
      <c r="E7">
        <v>13</v>
      </c>
      <c r="F7">
        <v>1</v>
      </c>
    </row>
    <row r="8" spans="1:6" x14ac:dyDescent="0.25">
      <c r="A8" t="s">
        <v>140</v>
      </c>
      <c r="B8" t="s">
        <v>145</v>
      </c>
      <c r="C8" t="s">
        <v>146</v>
      </c>
      <c r="D8">
        <f t="shared" si="0"/>
        <v>3.6481430555786593E-2</v>
      </c>
      <c r="E8">
        <v>19</v>
      </c>
      <c r="F8">
        <v>1</v>
      </c>
    </row>
    <row r="9" spans="1:6" x14ac:dyDescent="0.25">
      <c r="A9" t="s">
        <v>140</v>
      </c>
      <c r="B9" t="s">
        <v>147</v>
      </c>
      <c r="C9" t="s">
        <v>148</v>
      </c>
      <c r="D9">
        <f t="shared" si="0"/>
        <v>0.24843984966306282</v>
      </c>
      <c r="E9">
        <v>2.79</v>
      </c>
      <c r="F9">
        <v>1</v>
      </c>
    </row>
    <row r="10" spans="1:6" x14ac:dyDescent="0.25">
      <c r="A10" t="s">
        <v>140</v>
      </c>
      <c r="B10" t="s">
        <v>149</v>
      </c>
      <c r="C10" t="s">
        <v>150</v>
      </c>
      <c r="D10">
        <f t="shared" si="0"/>
        <v>0.24843984966306282</v>
      </c>
      <c r="E10">
        <v>2.79</v>
      </c>
      <c r="F10">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A443B-76B7-4ADE-AD54-F5907BC420A4}">
  <dimension ref="A1:H16"/>
  <sheetViews>
    <sheetView workbookViewId="0">
      <selection activeCell="C16" sqref="C16"/>
    </sheetView>
  </sheetViews>
  <sheetFormatPr defaultRowHeight="12.5" x14ac:dyDescent="0.25"/>
  <cols>
    <col min="2" max="2" width="13.1796875" bestFit="1" customWidth="1"/>
    <col min="3" max="3" width="11.453125" bestFit="1" customWidth="1"/>
  </cols>
  <sheetData>
    <row r="1" spans="1:8" ht="13" x14ac:dyDescent="0.3">
      <c r="A1" s="263" t="s">
        <v>151</v>
      </c>
      <c r="B1" s="263" t="s">
        <v>152</v>
      </c>
      <c r="C1" s="263" t="s">
        <v>161</v>
      </c>
      <c r="D1" s="263" t="s">
        <v>153</v>
      </c>
      <c r="E1" s="263" t="s">
        <v>154</v>
      </c>
      <c r="F1" s="263" t="s">
        <v>155</v>
      </c>
      <c r="G1" s="263" t="s">
        <v>156</v>
      </c>
      <c r="H1" s="263" t="s">
        <v>157</v>
      </c>
    </row>
    <row r="2" spans="1:8" x14ac:dyDescent="0.25">
      <c r="A2" t="s">
        <v>116</v>
      </c>
      <c r="B2" t="s">
        <v>158</v>
      </c>
      <c r="C2" t="s">
        <v>100</v>
      </c>
      <c r="D2" s="220">
        <v>0.12550529999999999</v>
      </c>
      <c r="E2" s="220">
        <v>7.9110609999999998E-2</v>
      </c>
      <c r="F2" s="220">
        <v>-1.2173969999999999E-2</v>
      </c>
      <c r="G2" s="220">
        <v>9.8886739999999996E-4</v>
      </c>
      <c r="H2" s="220">
        <v>-2.749263E-5</v>
      </c>
    </row>
    <row r="3" spans="1:8" x14ac:dyDescent="0.25">
      <c r="A3" t="s">
        <v>159</v>
      </c>
      <c r="B3" t="s">
        <v>158</v>
      </c>
      <c r="C3" t="s">
        <v>100</v>
      </c>
      <c r="D3" s="220">
        <v>-1.8501139999999999E-3</v>
      </c>
      <c r="E3" s="220">
        <v>6.2660170000000001E-2</v>
      </c>
      <c r="F3" s="220">
        <v>-5.5241619999999998E-4</v>
      </c>
      <c r="G3" s="220">
        <v>2.6055509999999999E-5</v>
      </c>
      <c r="H3">
        <v>0</v>
      </c>
    </row>
    <row r="4" spans="1:8" x14ac:dyDescent="0.25">
      <c r="A4" t="s">
        <v>116</v>
      </c>
      <c r="B4" t="s">
        <v>160</v>
      </c>
      <c r="C4" t="s">
        <v>100</v>
      </c>
      <c r="D4" s="220">
        <v>7.2214650000000005E-2</v>
      </c>
      <c r="E4" s="220">
        <v>0.21171693999999999</v>
      </c>
      <c r="F4" s="220">
        <v>0.26354071000000001</v>
      </c>
      <c r="G4" s="220">
        <v>-9.9735950000000004E-2</v>
      </c>
      <c r="H4" s="220">
        <v>0</v>
      </c>
    </row>
    <row r="5" spans="1:8" x14ac:dyDescent="0.25">
      <c r="A5" t="s">
        <v>116</v>
      </c>
      <c r="B5" t="s">
        <v>158</v>
      </c>
      <c r="C5" t="s">
        <v>99</v>
      </c>
      <c r="D5" s="220">
        <v>0.1128803</v>
      </c>
      <c r="E5" s="220">
        <v>0.13783139999999999</v>
      </c>
      <c r="F5" s="220">
        <v>-2.4068889999999999E-2</v>
      </c>
      <c r="G5" s="220">
        <v>6.55287009E-2</v>
      </c>
      <c r="H5" s="220">
        <v>-7.7324819999999997E-5</v>
      </c>
    </row>
    <row r="6" spans="1:8" x14ac:dyDescent="0.25">
      <c r="A6" t="s">
        <v>159</v>
      </c>
      <c r="B6" t="s">
        <v>158</v>
      </c>
      <c r="C6" t="s">
        <v>99</v>
      </c>
      <c r="D6" s="220">
        <v>6.55287009E-2</v>
      </c>
      <c r="E6" s="220">
        <v>8.4521816E-2</v>
      </c>
      <c r="F6" s="220">
        <v>9.7538376000000006E-3</v>
      </c>
      <c r="G6" s="220">
        <v>-4.4453279999999998E-4</v>
      </c>
      <c r="H6" s="220">
        <v>0</v>
      </c>
    </row>
    <row r="7" spans="1:8" x14ac:dyDescent="0.25">
      <c r="A7" t="s">
        <v>116</v>
      </c>
      <c r="B7" t="s">
        <v>160</v>
      </c>
      <c r="C7" t="s">
        <v>99</v>
      </c>
      <c r="D7" s="220">
        <v>0.12530286199999999</v>
      </c>
      <c r="E7" s="220">
        <v>0.38619093199999999</v>
      </c>
      <c r="F7" s="220">
        <v>-7.2512729999999999E-3</v>
      </c>
      <c r="G7" s="220">
        <v>1.3542422E-2</v>
      </c>
      <c r="H7" s="220">
        <v>0</v>
      </c>
    </row>
    <row r="12" spans="1:8" x14ac:dyDescent="0.25">
      <c r="B12" s="220"/>
    </row>
    <row r="16" spans="1:8" x14ac:dyDescent="0.25">
      <c r="B16" s="22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Forestry input data</vt:lpstr>
      <vt:lpstr>3PG parms</vt:lpstr>
      <vt:lpstr>Decay rate parms</vt:lpstr>
      <vt:lpstr>fE YC coefficients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Smith, Dr Joanne U.</dc:creator>
  <cp:lastModifiedBy>Jacob O'Sullivan</cp:lastModifiedBy>
  <cp:lastPrinted>2012-11-07T13:39:51Z</cp:lastPrinted>
  <dcterms:created xsi:type="dcterms:W3CDTF">1996-10-14T23:33:28Z</dcterms:created>
  <dcterms:modified xsi:type="dcterms:W3CDTF">2026-03-18T12:32:25Z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